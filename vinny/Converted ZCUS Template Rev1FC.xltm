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C:\Users\jason\Desktop\Netsuite ZCUS Drafts\"/>
    </mc:Choice>
  </mc:AlternateContent>
  <xr:revisionPtr revIDLastSave="0" documentId="13_ncr:1_{68AE8B8E-3767-489C-BFA5-003D31A1027B}" xr6:coauthVersionLast="47" xr6:coauthVersionMax="47" xr10:uidLastSave="{00000000-0000-0000-0000-000000000000}"/>
  <bookViews>
    <workbookView xWindow="57480" yWindow="-2940" windowWidth="29040" windowHeight="15840" firstSheet="1" activeTab="1" xr2:uid="{00000000-000D-0000-FFFF-FFFF00000000}"/>
  </bookViews>
  <sheets>
    <sheet name="Field Restrictions" sheetId="1" state="hidden" r:id="rId1"/>
    <sheet name="Sheet2" sheetId="16" r:id="rId2"/>
    <sheet name="ZCALC Instructions" sheetId="13" r:id="rId3"/>
    <sheet name="ZCONVERT" sheetId="15" r:id="rId4"/>
    <sheet name="Main" sheetId="2" r:id="rId5"/>
    <sheet name="Product Data" sheetId="3" r:id="rId6"/>
    <sheet name="Pricing" sheetId="11" r:id="rId7"/>
    <sheet name="Location" sheetId="5" r:id="rId8"/>
    <sheet name="Vendor" sheetId="8" r:id="rId9"/>
    <sheet name="Bins" sheetId="6" r:id="rId10"/>
    <sheet name="Unused Fields" sheetId="7" r:id="rId11"/>
    <sheet name="Removed Fields" sheetId="9" r:id="rId12"/>
  </sheets>
  <definedNames>
    <definedName name="_xlnm._FilterDatabase" localSheetId="9" hidden="1">Bins!$A$2:$E$7</definedName>
    <definedName name="_xlnm._FilterDatabase" localSheetId="5" hidden="1">'Product Data'!$A$7:$M$7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8" i="3" l="1"/>
  <c r="I8" i="3"/>
  <c r="H8" i="3"/>
  <c r="G8" i="3"/>
  <c r="F8" i="8"/>
  <c r="D8" i="11" a="1"/>
  <c r="D8" i="11" s="1"/>
  <c r="J8" i="2"/>
  <c r="A8" i="2" a="1"/>
  <c r="A8" i="2" s="1"/>
  <c r="B8" i="2" s="1"/>
  <c r="I10" i="15"/>
  <c r="I11" i="15"/>
  <c r="I16" i="15"/>
  <c r="K16" i="15" s="1"/>
  <c r="E23" i="15" s="1"/>
  <c r="J16" i="15"/>
  <c r="A8" i="3" l="1"/>
  <c r="M4" i="15"/>
  <c r="I23" i="15"/>
  <c r="G23" i="15"/>
  <c r="H23" i="15" s="1"/>
  <c r="A8" i="8" l="1"/>
  <c r="A8" i="6" s="1"/>
  <c r="B8" i="3"/>
  <c r="M3" i="15"/>
  <c r="J23" i="15"/>
  <c r="M5" i="15" l="1"/>
  <c r="M6" i="15"/>
  <c r="B8" i="6" l="1"/>
  <c r="B8" i="8"/>
  <c r="G8" i="11" l="1"/>
  <c r="A8" i="5"/>
  <c r="B8" i="5" s="1"/>
  <c r="A8" i="11" l="1"/>
  <c r="B8" i="1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<sst xmlns="http://schemas.openxmlformats.org/spreadsheetml/2006/main" count="6272" uniqueCount="1202">
  <si>
    <t>Field</t>
  </si>
  <si>
    <t>Data Type</t>
  </si>
  <si>
    <t>Character Limit</t>
  </si>
  <si>
    <t>itemID</t>
  </si>
  <si>
    <t>Alpha Numeric</t>
  </si>
  <si>
    <t>name</t>
  </si>
  <si>
    <t>displayName</t>
  </si>
  <si>
    <t>vendorName</t>
  </si>
  <si>
    <t>parentRef</t>
  </si>
  <si>
    <t>List</t>
  </si>
  <si>
    <t>purchaseDescription</t>
  </si>
  <si>
    <t>cost</t>
  </si>
  <si>
    <t>Numbers</t>
  </si>
  <si>
    <t>cogsAccountRef</t>
  </si>
  <si>
    <t>vendorRef</t>
  </si>
  <si>
    <t>preferredVendor</t>
  </si>
  <si>
    <t>Boolean</t>
  </si>
  <si>
    <t>TRUE/FALSE</t>
  </si>
  <si>
    <t>salesDescription</t>
  </si>
  <si>
    <t>incomeAccountRef</t>
  </si>
  <si>
    <t>taxCodeRef</t>
  </si>
  <si>
    <t>purchaseTaxCodeRef</t>
  </si>
  <si>
    <t>salesPrice</t>
  </si>
  <si>
    <t>itemPriceLine1_itemPriceTypeRef</t>
  </si>
  <si>
    <t>itemPriceLine1_currencyRef</t>
  </si>
  <si>
    <t>itemPriceLine1_itemPrice</t>
  </si>
  <si>
    <t>itemPriceLine2_itemPriceTypeRef</t>
  </si>
  <si>
    <t>itemPriceLine2_currencyRef</t>
  </si>
  <si>
    <t>itemPriceLine2_itemPrice</t>
  </si>
  <si>
    <t>itemPriceLine3_itemPriceTypeRef</t>
  </si>
  <si>
    <t>itemPriceLine3_currencyRef</t>
  </si>
  <si>
    <t>itemPriceLine3_itemPrice</t>
  </si>
  <si>
    <t>assetAccountRef</t>
  </si>
  <si>
    <t>quantityOnHand</t>
  </si>
  <si>
    <t>serialNumbers</t>
  </si>
  <si>
    <t>reorderPoint</t>
  </si>
  <si>
    <t>preferredStockLevel</t>
  </si>
  <si>
    <t>itemLocationLine1_locationRef</t>
  </si>
  <si>
    <t>itemLocationLine1_quantityOnHand</t>
  </si>
  <si>
    <t>itemLocationLine1_serialNumbers</t>
  </si>
  <si>
    <t>itemLocationLine1_reorderPoint</t>
  </si>
  <si>
    <t>itemLocationLine1_preferredStockLevel</t>
  </si>
  <si>
    <t>itemLocationLine2_locationRef</t>
  </si>
  <si>
    <t>itemLocationLine2_quantityOnHand</t>
  </si>
  <si>
    <t>itemLocationLine2_serialNumbers</t>
  </si>
  <si>
    <t>itemLocationLine2_reorderPoint</t>
  </si>
  <si>
    <t>itemLocationLine2_preferredStockLevel</t>
  </si>
  <si>
    <t>departmentRef</t>
  </si>
  <si>
    <t>classRef</t>
  </si>
  <si>
    <t>locationRef</t>
  </si>
  <si>
    <t>deferredRevenueAccountRef</t>
  </si>
  <si>
    <t>revenueRecognitionTemplateRef</t>
  </si>
  <si>
    <t>shippingCost</t>
  </si>
  <si>
    <t>handlingCost</t>
  </si>
  <si>
    <t>weight</t>
  </si>
  <si>
    <t>weightUnitRef</t>
  </si>
  <si>
    <t>costingMethodRef</t>
  </si>
  <si>
    <t>isTaxable</t>
  </si>
  <si>
    <t>isInactive</t>
  </si>
  <si>
    <t>offerSupport</t>
  </si>
  <si>
    <t>storeDisplayName</t>
  </si>
  <si>
    <t>storeCategoryLine_storeCategoryRef</t>
  </si>
  <si>
    <t>storeDescription</t>
  </si>
  <si>
    <t>storeDisplayThumbnailRef</t>
  </si>
  <si>
    <t>storeDetailedDescription</t>
  </si>
  <si>
    <t>storeDisplayImageRef</t>
  </si>
  <si>
    <t>onSpecial</t>
  </si>
  <si>
    <t>specialsDescription</t>
  </si>
  <si>
    <t>isFeatured</t>
  </si>
  <si>
    <t>featuredDescription</t>
  </si>
  <si>
    <t>itemDrilldownTemplateRef</t>
  </si>
  <si>
    <t>isDropShipItem</t>
  </si>
  <si>
    <t>isSpecialOrderItem</t>
  </si>
  <si>
    <t>unitsTypeRef</t>
  </si>
  <si>
    <t>stockUnitRef</t>
  </si>
  <si>
    <t>saleUnitRef</t>
  </si>
  <si>
    <t>purchaseUnitRef</t>
  </si>
  <si>
    <t>upcCode</t>
  </si>
  <si>
    <t>subsidiary</t>
  </si>
  <si>
    <t>externalid</t>
  </si>
  <si>
    <t>itemId</t>
  </si>
  <si>
    <t>displayname</t>
  </si>
  <si>
    <t>unitstype</t>
  </si>
  <si>
    <t>stockunit</t>
  </si>
  <si>
    <t>purchaseunit</t>
  </si>
  <si>
    <t>saleunits</t>
  </si>
  <si>
    <t>parent</t>
  </si>
  <si>
    <t>description</t>
  </si>
  <si>
    <t>includechildren</t>
  </si>
  <si>
    <t>Class</t>
  </si>
  <si>
    <t>location</t>
  </si>
  <si>
    <t>itemimage</t>
  </si>
  <si>
    <t>tracklandedcost</t>
  </si>
  <si>
    <t>costingmethod</t>
  </si>
  <si>
    <t>costcategory</t>
  </si>
  <si>
    <t>purchasedescription</t>
  </si>
  <si>
    <t>stockdescription</t>
  </si>
  <si>
    <t>matchbilltoreceipt</t>
  </si>
  <si>
    <t>atpmethod</t>
  </si>
  <si>
    <t>supplyreplenishmentmethod</t>
  </si>
  <si>
    <t>alternatedemandsourceitem</t>
  </si>
  <si>
    <t>autopreferredstocklevel</t>
  </si>
  <si>
    <t>reordermultiple</t>
  </si>
  <si>
    <t>autoreorderpoint</t>
  </si>
  <si>
    <t>autoleadtime</t>
  </si>
  <si>
    <t>leadtime</t>
  </si>
  <si>
    <t>safetystocklevel</t>
  </si>
  <si>
    <t>safetystockleveldays</t>
  </si>
  <si>
    <t>seasonaldemand</t>
  </si>
  <si>
    <t>demandmodifier</t>
  </si>
  <si>
    <t>transferprice</t>
  </si>
  <si>
    <t>manufacturer</t>
  </si>
  <si>
    <t>mpn</t>
  </si>
  <si>
    <t>countryofmanufacture</t>
  </si>
  <si>
    <t>usebins</t>
  </si>
  <si>
    <t>preferredlocation</t>
  </si>
  <si>
    <t>itembinlocation1</t>
  </si>
  <si>
    <t>itembinnumber1</t>
  </si>
  <si>
    <t>preferredperlocation1</t>
  </si>
  <si>
    <t>vendor1_name</t>
  </si>
  <si>
    <t>vendor1_subsidiary</t>
  </si>
  <si>
    <t>vendor1_preferred</t>
  </si>
  <si>
    <t>vendor1_purchaseprice</t>
  </si>
  <si>
    <t>vendor1_schedule</t>
  </si>
  <si>
    <t>vendor1_code</t>
  </si>
  <si>
    <t>itemLocationLine1_location</t>
  </si>
  <si>
    <t>itemLocationLine1_backwardconsumptiondays</t>
  </si>
  <si>
    <t>itemLocationLine1_defaultreturncost</t>
  </si>
  <si>
    <t>itemLocationLine1_demandsource</t>
  </si>
  <si>
    <t>itemLocationLine1_demandtimefence</t>
  </si>
  <si>
    <t>itemLocationLine1_forwardconsumptiondays</t>
  </si>
  <si>
    <t>itemLocationLine1_periodsofsupplyincrement</t>
  </si>
  <si>
    <t>itemLocationLine1_periodsofsupplytype</t>
  </si>
  <si>
    <t>itemLocationLine1_preferredstocklevel</t>
  </si>
  <si>
    <t>itemLocationLine1_reorderpoint</t>
  </si>
  <si>
    <t>itemLocationLine1_lotsizingmethod</t>
  </si>
  <si>
    <t>itemLocationLine1_planningtimefence</t>
  </si>
  <si>
    <t>costestimatetype</t>
  </si>
  <si>
    <t>costestimate</t>
  </si>
  <si>
    <t>softdescriptor</t>
  </si>
  <si>
    <t>minimumquantity</t>
  </si>
  <si>
    <t>enforceminqtyinternally</t>
  </si>
  <si>
    <t>pricinggroup</t>
  </si>
  <si>
    <t>itemPriceLine1_quantityPricing</t>
  </si>
  <si>
    <t>cogsaccount</t>
  </si>
  <si>
    <t>incomeaccount</t>
  </si>
  <si>
    <t>assetaccount</t>
  </si>
  <si>
    <t>taxSchedule</t>
  </si>
  <si>
    <t>ExternalID</t>
  </si>
  <si>
    <t>Item Name/Number</t>
  </si>
  <si>
    <t>Display Name/Code</t>
  </si>
  <si>
    <t>Vendor Name/Code</t>
  </si>
  <si>
    <t xml:space="preserve">Units Type </t>
  </si>
  <si>
    <t xml:space="preserve">Stock Units </t>
  </si>
  <si>
    <t>Purchase Units</t>
  </si>
  <si>
    <t>Sale Units</t>
  </si>
  <si>
    <t>Subitem Of</t>
  </si>
  <si>
    <t>Description</t>
  </si>
  <si>
    <t>Subsidiary</t>
  </si>
  <si>
    <t>Include Children</t>
  </si>
  <si>
    <t>Location</t>
  </si>
  <si>
    <t>Item Image</t>
  </si>
  <si>
    <t>Track Landed Cost</t>
  </si>
  <si>
    <t xml:space="preserve">Costing Method </t>
  </si>
  <si>
    <t>Cost Category</t>
  </si>
  <si>
    <t>Purchase Price</t>
  </si>
  <si>
    <t>Purchase Description</t>
  </si>
  <si>
    <t>Stock Descrption</t>
  </si>
  <si>
    <t>Match to Bill Receipt</t>
  </si>
  <si>
    <t>Default ATP</t>
  </si>
  <si>
    <t>Replenishment Method</t>
  </si>
  <si>
    <t>Alternate Source Item</t>
  </si>
  <si>
    <t>Auto-Calculate Preferred Stock Level</t>
  </si>
  <si>
    <t>Reorder Multiple</t>
  </si>
  <si>
    <t>Auto-Calculate Reorder Point</t>
  </si>
  <si>
    <t>Auto-Calculate Lead Time</t>
  </si>
  <si>
    <t>Lead Time</t>
  </si>
  <si>
    <t>Safety Stock Level</t>
  </si>
  <si>
    <t>Safety Stock Level - Days</t>
  </si>
  <si>
    <t>Seasonal Demand</t>
  </si>
  <si>
    <t>Expected Demand Change</t>
  </si>
  <si>
    <t>Transfer Price</t>
  </si>
  <si>
    <t>Manufacturer</t>
  </si>
  <si>
    <t>MPN</t>
  </si>
  <si>
    <t>Country of Manufacture</t>
  </si>
  <si>
    <t>Use Bins</t>
  </si>
  <si>
    <t>Preferred Location</t>
  </si>
  <si>
    <t>Item Bin Location 1</t>
  </si>
  <si>
    <t>Item Bin Number 1</t>
  </si>
  <si>
    <t>Preferred (per Location)</t>
  </si>
  <si>
    <t>Vendor 1 Name</t>
  </si>
  <si>
    <t>Vendor 1 Subsidiary</t>
  </si>
  <si>
    <t>Vendor 1 Preferred</t>
  </si>
  <si>
    <t>Vendor 1 Purchase Price</t>
  </si>
  <si>
    <t>Vendor 1 Schedule</t>
  </si>
  <si>
    <t>Vendor 1 Code</t>
  </si>
  <si>
    <t>Item Location 1 Location</t>
  </si>
  <si>
    <t>Location 1 Backward Consumption Days</t>
  </si>
  <si>
    <t>Location 1 Default Return Cost</t>
  </si>
  <si>
    <t>Location 1 Demand Source</t>
  </si>
  <si>
    <t>Item Location 1 Demand Time Fence</t>
  </si>
  <si>
    <t>Item Location 1 Forward Consumption Days</t>
  </si>
  <si>
    <t>Item Location 1 Periods of Supply Increment</t>
  </si>
  <si>
    <t>Item Location 1 Periods of Supply Type</t>
  </si>
  <si>
    <t>Item Location 1 Preferred Stock Level</t>
  </si>
  <si>
    <t>Item Location 1 Reorder Point</t>
  </si>
  <si>
    <t>Item Location 1 Lot Sizing Method</t>
  </si>
  <si>
    <t>Item Location 1 Planning Time Fence</t>
  </si>
  <si>
    <t>Cost Estimate Type</t>
  </si>
  <si>
    <t>Item Defined Cost</t>
  </si>
  <si>
    <t>Soft Descriptor</t>
  </si>
  <si>
    <t>Minimum Quantity</t>
  </si>
  <si>
    <t>Enforce Internally</t>
  </si>
  <si>
    <t>Pricing Group</t>
  </si>
  <si>
    <t>Price Level (Req)</t>
  </si>
  <si>
    <t>Price (Req)</t>
  </si>
  <si>
    <t>Quantity</t>
  </si>
  <si>
    <t>COGS Account</t>
  </si>
  <si>
    <t xml:space="preserve">Income Account </t>
  </si>
  <si>
    <t>Asset Account</t>
  </si>
  <si>
    <t>Tax Schedule</t>
  </si>
  <si>
    <r>
      <rPr>
        <b/>
        <sz val="10"/>
        <color rgb="FF0000FF"/>
        <rFont val="Arial"/>
        <family val="2"/>
      </rPr>
      <t>HEADER</t>
    </r>
    <r>
      <rPr>
        <b/>
        <sz val="10"/>
        <color rgb="FF0000FF"/>
        <rFont val="Arial"/>
        <family val="2"/>
      </rPr>
      <t xml:space="preserve">
</t>
    </r>
    <r>
      <rPr>
        <b/>
        <sz val="10"/>
        <color rgb="FFFF0000"/>
        <rFont val="Arial"/>
        <family val="2"/>
      </rPr>
      <t>This is the unique backend identifier for  Inventory Item. Should be unique for all the Item records. This can be used to create a Parent-Child Relationship and to link other record sets with these Items.</t>
    </r>
  </si>
  <si>
    <r>
      <rPr>
        <b/>
        <sz val="10"/>
        <color rgb="FF0000FF"/>
        <rFont val="Arial"/>
        <family val="2"/>
      </rPr>
      <t>HEADER</t>
    </r>
    <r>
      <rPr>
        <b/>
        <sz val="10"/>
        <color rgb="FF0000FF"/>
        <rFont val="Arial"/>
        <family val="2"/>
      </rPr>
      <t xml:space="preserve">
</t>
    </r>
    <r>
      <rPr>
        <b/>
        <sz val="10"/>
        <color rgb="FFFF0000"/>
        <rFont val="Arial"/>
        <family val="2"/>
      </rPr>
      <t>Enter here item name/number of the item. This name appears in lists on transactions.</t>
    </r>
  </si>
  <si>
    <r>
      <rPr>
        <b/>
        <sz val="10"/>
        <color rgb="FF0000FF"/>
        <rFont val="Arial"/>
        <family val="2"/>
      </rPr>
      <t>HEADER</t>
    </r>
    <r>
      <rPr>
        <b/>
        <sz val="10"/>
        <color rgb="FF0000FF"/>
        <rFont val="Arial"/>
        <family val="2"/>
      </rPr>
      <t xml:space="preserve">
You can enter an optional name for an item in addition to the Item Name. The display name prints in the Item column of transaction forms. If you do not enter a display name, the item name appears on printed forms.</t>
    </r>
  </si>
  <si>
    <r>
      <rPr>
        <b/>
        <sz val="10"/>
        <color rgb="FF0000FF"/>
        <rFont val="Arial"/>
        <family val="2"/>
      </rPr>
      <t>HEADER</t>
    </r>
    <r>
      <rPr>
        <b/>
        <sz val="10"/>
        <color rgb="FF0000FF"/>
        <rFont val="Arial"/>
        <family val="2"/>
      </rPr>
      <t xml:space="preserve">
If your vendor uses a name for this item that is different from the name you use, you can enter up to 60 characters as the vendor's name for this item here.
The vendor's name for this item prints in the Item column of purchase forms.
If you do not enter a vendor name, the item name prints in the Item column of purchase forms. If you have entered a display name, it will print on purchases instead of the item name.</t>
    </r>
  </si>
  <si>
    <r>
      <rPr>
        <b/>
        <sz val="10"/>
        <color rgb="FF0000FF"/>
        <rFont val="Arial"/>
        <family val="2"/>
      </rPr>
      <t>HEADER</t>
    </r>
    <r>
      <rPr>
        <b/>
        <sz val="10"/>
        <color rgb="FF0000FF"/>
        <rFont val="Arial"/>
        <family val="2"/>
      </rPr>
      <t xml:space="preserve">
This is a reference to a Unit type that must exist in </t>
    </r>
    <r>
      <rPr>
        <b/>
        <u/>
        <sz val="10"/>
        <color rgb="FF0000FF"/>
        <rFont val="Arial"/>
        <family val="2"/>
      </rPr>
      <t>Lists &gt; Accounting &gt; Units of Measure</t>
    </r>
    <r>
      <rPr>
        <b/>
        <sz val="10"/>
        <color rgb="FF0000FF"/>
        <rFont val="Arial"/>
        <family val="2"/>
      </rPr>
      <t xml:space="preserve"> prior to importing.
</t>
    </r>
    <r>
      <rPr>
        <b/>
        <sz val="10"/>
        <color rgb="FFFF0000"/>
        <rFont val="Arial"/>
        <family val="2"/>
      </rPr>
      <t>Please note that once imported, Units Type cannot be updated</t>
    </r>
  </si>
  <si>
    <r>
      <rPr>
        <b/>
        <sz val="10"/>
        <color rgb="FF0000FF"/>
        <rFont val="Arial"/>
        <family val="2"/>
      </rPr>
      <t>HEADER</t>
    </r>
    <r>
      <rPr>
        <b/>
        <sz val="10"/>
        <color rgb="FF0000FF"/>
        <rFont val="Arial"/>
        <family val="2"/>
      </rPr>
      <t xml:space="preserve">
This is a reference to the Stock Unit type that must exist in your account prior to importing.</t>
    </r>
  </si>
  <si>
    <r>
      <rPr>
        <b/>
        <sz val="10"/>
        <color rgb="FF0000FF"/>
        <rFont val="Arial"/>
        <family val="2"/>
      </rPr>
      <t>HEADER</t>
    </r>
    <r>
      <rPr>
        <b/>
        <sz val="10"/>
        <color rgb="FF0000FF"/>
        <rFont val="Arial"/>
        <family val="2"/>
      </rPr>
      <t xml:space="preserve">
Select the unit you use to purchase this item from the vendor.</t>
    </r>
  </si>
  <si>
    <r>
      <rPr>
        <b/>
        <sz val="10"/>
        <color rgb="FF0000FF"/>
        <rFont val="Arial"/>
        <family val="2"/>
      </rPr>
      <t>HEADER</t>
    </r>
    <r>
      <rPr>
        <b/>
        <sz val="10"/>
        <color rgb="FF0000FF"/>
        <rFont val="Arial"/>
        <family val="2"/>
      </rPr>
      <t xml:space="preserve">
This is a reference to the Sale Unit type that must exist in your account prior to importing.</t>
    </r>
  </si>
  <si>
    <r>
      <rPr>
        <b/>
        <sz val="10"/>
        <color rgb="FF0000FF"/>
        <rFont val="Arial"/>
        <family val="2"/>
      </rPr>
      <t>HEADER</t>
    </r>
    <r>
      <rPr>
        <b/>
        <sz val="10"/>
        <color rgb="FF0000FF"/>
        <rFont val="Arial"/>
        <family val="2"/>
      </rPr>
      <t xml:space="preserve">
ParentRef field is used to create the Parent-Child Relationship for the Items.  You can either use Parent Item Number\Name or Parent Item ExternalID to create this relationship.
Please make sure to populate the template such that the Parent Records are given in rows above the Child records.</t>
    </r>
  </si>
  <si>
    <r>
      <rPr>
        <b/>
        <sz val="10"/>
        <color rgb="FF0000FF"/>
        <rFont val="Arial"/>
        <family val="2"/>
      </rPr>
      <t>HEADER</t>
    </r>
    <r>
      <rPr>
        <b/>
        <sz val="10"/>
        <color rgb="FF0000FF"/>
        <rFont val="Arial"/>
        <family val="2"/>
      </rPr>
      <t xml:space="preserve">
Enter a description for this item. This description will appear in the Description column of sales forms.</t>
    </r>
  </si>
  <si>
    <r>
      <rPr>
        <b/>
        <sz val="10"/>
        <color rgb="FF0000FF"/>
        <rFont val="Arial"/>
        <family val="2"/>
      </rPr>
      <t>HEADER</t>
    </r>
    <r>
      <rPr>
        <b/>
        <sz val="10"/>
        <color rgb="FF0000FF"/>
        <rFont val="Arial"/>
        <family val="2"/>
      </rPr>
      <t xml:space="preserve">
</t>
    </r>
    <r>
      <rPr>
        <b/>
        <sz val="10"/>
        <color rgb="FFFF0000"/>
        <rFont val="Arial"/>
        <family val="2"/>
      </rPr>
      <t xml:space="preserve">
This is a reference to the subsidiary which must be created in your account prior to import.  
In case you want to refer a child subsidiary the complete hierarchy must be provided in the format: </t>
    </r>
    <r>
      <rPr>
        <b/>
        <u/>
        <sz val="10"/>
        <color rgb="FFFF0000"/>
        <rFont val="Arial"/>
        <family val="2"/>
      </rPr>
      <t>Parent Subsidiary Name : Child Subsidiary Name</t>
    </r>
    <r>
      <rPr>
        <b/>
        <sz val="10"/>
        <color rgb="FFFF0000"/>
        <rFont val="Arial"/>
        <family val="2"/>
      </rPr>
      <t>.
The delimiter to be used for selecting multiple subsidiaries is a pipe ( | ), without spaces between the two subsidiary references.  This field becomes mandatory if you are using a NetSuite One-World account.</t>
    </r>
  </si>
  <si>
    <r>
      <rPr>
        <b/>
        <sz val="10"/>
        <color rgb="FF0000FF"/>
        <rFont val="Arial"/>
        <family val="2"/>
      </rPr>
      <t xml:space="preserve">HEADER
</t>
    </r>
    <r>
      <rPr>
        <b/>
        <sz val="10"/>
        <color rgb="FF0000FF"/>
        <rFont val="Arial"/>
        <family val="2"/>
      </rPr>
      <t xml:space="preserve">
</t>
    </r>
    <r>
      <rPr>
        <b/>
        <sz val="10"/>
        <color rgb="FFFF0000"/>
        <rFont val="Arial"/>
        <family val="2"/>
      </rPr>
      <t>Put TRUE if the item has to be shared with the child subsidiaries</t>
    </r>
  </si>
  <si>
    <r>
      <rPr>
        <b/>
        <sz val="10"/>
        <color rgb="FF0000FF"/>
        <rFont val="Arial"/>
        <family val="2"/>
      </rPr>
      <t>HEADER</t>
    </r>
    <r>
      <rPr>
        <b/>
        <sz val="10"/>
        <color rgb="FF0000FF"/>
        <rFont val="Arial"/>
        <family val="2"/>
      </rPr>
      <t xml:space="preserve">
Provide the reference to the class in this field.  In order to reference a sub class provide the complete hierarchy in the format: </t>
    </r>
    <r>
      <rPr>
        <b/>
        <u/>
        <sz val="10"/>
        <color rgb="FF0000FF"/>
        <rFont val="Arial"/>
        <family val="2"/>
      </rPr>
      <t>Parent Class : Child Class</t>
    </r>
    <r>
      <rPr>
        <b/>
        <sz val="10"/>
        <color rgb="FF0000FF"/>
        <rFont val="Arial"/>
        <family val="2"/>
      </rPr>
      <t xml:space="preserve">.
This should be created in </t>
    </r>
    <r>
      <rPr>
        <b/>
        <u/>
        <sz val="10"/>
        <color rgb="FF0000FF"/>
        <rFont val="Arial"/>
        <family val="2"/>
      </rPr>
      <t>Setup &gt; Company &gt; Classes</t>
    </r>
    <r>
      <rPr>
        <b/>
        <sz val="10"/>
        <color rgb="FF0000FF"/>
        <rFont val="Arial"/>
        <family val="2"/>
      </rPr>
      <t xml:space="preserve"> prior to import. </t>
    </r>
  </si>
  <si>
    <r>
      <rPr>
        <b/>
        <sz val="10"/>
        <color rgb="FF0000FF"/>
        <rFont val="Arial"/>
        <family val="2"/>
      </rPr>
      <t>HEADER</t>
    </r>
    <r>
      <rPr>
        <b/>
        <sz val="10"/>
        <color rgb="FF0000FF"/>
        <rFont val="Arial"/>
        <family val="2"/>
      </rPr>
      <t xml:space="preserve">
Provide the reference to the Location in this field. In order to reference a sub Location provide the complete hierarchy in the format </t>
    </r>
    <r>
      <rPr>
        <b/>
        <u/>
        <sz val="10"/>
        <color rgb="FF0000FF"/>
        <rFont val="Arial"/>
        <family val="2"/>
      </rPr>
      <t>Parent Location : Child Location</t>
    </r>
    <r>
      <rPr>
        <b/>
        <sz val="10"/>
        <color rgb="FF0000FF"/>
        <rFont val="Arial"/>
        <family val="2"/>
      </rPr>
      <t xml:space="preserve">.
This should be created in </t>
    </r>
    <r>
      <rPr>
        <b/>
        <u/>
        <sz val="10"/>
        <color rgb="FF0000FF"/>
        <rFont val="Arial"/>
        <family val="2"/>
      </rPr>
      <t>Setup &gt; Company &gt; Locations</t>
    </r>
    <r>
      <rPr>
        <b/>
        <sz val="10"/>
        <color rgb="FF0000FF"/>
        <rFont val="Arial"/>
        <family val="2"/>
      </rPr>
      <t xml:space="preserve"> prior to import. 
</t>
    </r>
    <r>
      <rPr>
        <b/>
        <sz val="10"/>
        <color rgb="FFFF0000"/>
        <rFont val="Arial"/>
        <family val="2"/>
      </rPr>
      <t xml:space="preserve">
NOTE: Setting a Location on an item will make it available ONLY at that location.</t>
    </r>
  </si>
  <si>
    <r>
      <rPr>
        <b/>
        <sz val="10"/>
        <color rgb="FF0000FF"/>
        <rFont val="Arial"/>
        <family val="2"/>
      </rPr>
      <t xml:space="preserve">HEADER
</t>
    </r>
    <r>
      <rPr>
        <b/>
        <sz val="10"/>
        <color theme="1"/>
        <rFont val="Arial"/>
        <family val="2"/>
      </rPr>
      <t>Select the item image for this non-inventory item. The image should be uploaded into the File Cabinet prior to import.</t>
    </r>
  </si>
  <si>
    <r>
      <rPr>
        <b/>
        <sz val="10"/>
        <color rgb="FF0000FF"/>
        <rFont val="Arial"/>
        <family val="2"/>
      </rPr>
      <t xml:space="preserve">PURCHASING/INVENTORY
</t>
    </r>
    <r>
      <rPr>
        <b/>
        <sz val="10"/>
        <color rgb="FF000000"/>
        <rFont val="Arial"/>
        <family val="2"/>
      </rPr>
      <t>Enter TRUE here to track landed costs associated with this item.
NOTE: you must include an item that tracks landed costs on transactions you want to source for landed costs.
For ex: on the landed costs subtab of item receipts, a vendor bill shows in the source transaction list only if the bill includes a landed cost item.</t>
    </r>
  </si>
  <si>
    <r>
      <rPr>
        <b/>
        <sz val="10"/>
        <color rgb="FF0000FF"/>
        <rFont val="Arial"/>
        <family val="2"/>
      </rPr>
      <t>PURCHASING/INVENTORY</t>
    </r>
    <r>
      <rPr>
        <b/>
        <sz val="10"/>
        <color rgb="FF0000FF"/>
        <rFont val="Arial"/>
        <family val="2"/>
      </rPr>
      <t xml:space="preserve">
</t>
    </r>
    <r>
      <rPr>
        <b/>
        <sz val="10"/>
        <color rgb="FFFF0000"/>
        <rFont val="Arial"/>
        <family val="2"/>
      </rPr>
      <t xml:space="preserve">
Enter the Method of Costing which is used for this item (Average, FIFO or LIFO).
Please note that once imported, Costing Method cannot be updated</t>
    </r>
  </si>
  <si>
    <r>
      <rPr>
        <b/>
        <sz val="10"/>
        <color rgb="FF0000FF"/>
        <rFont val="Arial"/>
        <family val="2"/>
      </rPr>
      <t xml:space="preserve">PURCHASING/INVENTORY
</t>
    </r>
    <r>
      <rPr>
        <b/>
        <sz val="10"/>
        <color rgb="FFFF0000"/>
        <rFont val="Arial"/>
        <family val="2"/>
      </rPr>
      <t>This field is only mandatory when Standard Costing is enabled.
Cost category records are used to classify different types of costs associated with your items. Using cost categories helps you to track costs and variances in the manufacturing workflow.
Select a category to associate with this item. 
View existing categories at Setup &gt; Accounting &gt; Accounting Lists</t>
    </r>
  </si>
  <si>
    <r>
      <rPr>
        <b/>
        <sz val="10"/>
        <color rgb="FF0000FF"/>
        <rFont val="Arial"/>
        <family val="2"/>
      </rPr>
      <t xml:space="preserve">PURCHASING/INVENTORY
</t>
    </r>
    <r>
      <rPr>
        <b/>
        <sz val="10"/>
        <color rgb="FF0000FF"/>
        <rFont val="Arial"/>
        <family val="2"/>
      </rPr>
      <t xml:space="preserve">
Enter the price you pay for this item.
If you do not enter a price, purchase orders for this item show the most recent purchase price by default.
If you select a preferred vendor for this item, the price is shown in the currency selected on the vendor's record. If no preferred vendor is selected, the price is shown in your base currency.</t>
    </r>
  </si>
  <si>
    <r>
      <rPr>
        <b/>
        <sz val="10"/>
        <color rgb="FF0000FF"/>
        <rFont val="Arial"/>
        <family val="2"/>
      </rPr>
      <t xml:space="preserve">PURCHASING/INVENTORY
</t>
    </r>
    <r>
      <rPr>
        <b/>
        <sz val="10"/>
        <color rgb="FF0000FF"/>
        <rFont val="Arial"/>
        <family val="2"/>
      </rPr>
      <t xml:space="preserve">
Enter up to 999 characters of text for a description of this item to appear on vendor orders. Include the unit of measure in this description.</t>
    </r>
  </si>
  <si>
    <r>
      <rPr>
        <b/>
        <sz val="10"/>
        <color rgb="FF0000FF"/>
        <rFont val="Arial"/>
        <family val="2"/>
      </rPr>
      <t xml:space="preserve">PURCHASING/INVENTORY
</t>
    </r>
    <r>
      <rPr>
        <b/>
        <sz val="10"/>
        <color rgb="FF0000FF"/>
        <rFont val="Arial"/>
        <family val="2"/>
      </rPr>
      <t>Enter up to 21 characters to specify information about this item.</t>
    </r>
  </si>
  <si>
    <r>
      <rPr>
        <b/>
        <sz val="10"/>
        <color rgb="FF0000FF"/>
        <rFont val="Arial"/>
        <family val="2"/>
      </rPr>
      <t xml:space="preserve">PURCHASING/INVENTORY
</t>
    </r>
    <r>
      <rPr>
        <b/>
        <sz val="10"/>
        <color rgb="FF0000FF"/>
        <rFont val="Arial"/>
        <family val="2"/>
      </rPr>
      <t>Enter TRUE to if you want the Match Bill to Receipt box on transaction lines to be checked by default for this item. This enables you to generate variances based on vendor bill lines.  Then, on the Post Vendor Bill Variances page, you must select Bill in the Transaction Type field to generate the variance postings.</t>
    </r>
  </si>
  <si>
    <r>
      <rPr>
        <b/>
        <sz val="10"/>
        <color rgb="FF0000FF"/>
        <rFont val="Arial"/>
        <family val="2"/>
      </rPr>
      <t xml:space="preserve">PURCHASING/INVENTORY
</t>
    </r>
    <r>
      <rPr>
        <b/>
        <sz val="10"/>
        <color rgb="FFFF0000"/>
        <rFont val="Arial"/>
        <family val="2"/>
      </rPr>
      <t>In the Default ATP Method field, select a method.
Discrete ATP – The discrete ATP method reviews the amount available in each supply order and provides an available date for the given quantity.
Cumulative ATP with Look Ahead – Using the Cumulative ATP with Look Ahead method, supply estimates are cumulative based on all outstanding orders within a horizon. This allows you to account for shortages that may occur in the future. 
These supply calculations are based on future-dated non-posting transactions: purchase orders, sales orders and work orders.
For more details and examples, click Help and read Available to Promise Methods.</t>
    </r>
  </si>
  <si>
    <r>
      <rPr>
        <b/>
        <sz val="10"/>
        <color rgb="FF0000FF"/>
        <rFont val="Arial"/>
        <family val="2"/>
      </rPr>
      <t xml:space="preserve">PURCHASING/INVENTORY
</t>
    </r>
    <r>
      <rPr>
        <b/>
        <sz val="10"/>
        <color rgb="FF000000"/>
        <rFont val="Arial"/>
        <family val="2"/>
      </rPr>
      <t xml:space="preserve">Choose a method to use for calculating item replenishment requirements:
</t>
    </r>
    <r>
      <rPr>
        <b/>
        <sz val="10"/>
        <color rgb="FFFF0000"/>
        <rFont val="Arial"/>
        <family val="2"/>
      </rPr>
      <t>Reorder Point</t>
    </r>
    <r>
      <rPr>
        <b/>
        <sz val="10"/>
        <color rgb="FF000000"/>
        <rFont val="Arial"/>
        <family val="2"/>
      </rPr>
      <t xml:space="preserve"> – Choose this setting to use Advanced Inventory Management settings for demand calculations instead of using Demand Planning. This is the default setting for new item records.
Orders are created based on replenishment reminders generated from the Order Items page, Replenish Items, and Mass Create Work Orders.
</t>
    </r>
    <r>
      <rPr>
        <b/>
        <sz val="10"/>
        <color rgb="FFFF0000"/>
        <rFont val="Arial"/>
        <family val="2"/>
      </rPr>
      <t>Time Phased</t>
    </r>
    <r>
      <rPr>
        <b/>
        <sz val="10"/>
        <color rgb="FF000000"/>
        <rFont val="Arial"/>
        <family val="2"/>
      </rPr>
      <t xml:space="preserve"> – When you choose this setting, orders are created based on item demand plans instead of the Advanced Inventory Management settings.
When you choose this setting, other fields on the record that are used by Advanced Inventory Management to calculate demand are no longer available. These unavailable fields are: Seasonal Demand, Build Point, Reorder Point, Preferred Stock Level, Safety Stock Days.
The Auto calculate settings are cleared and cannot be changed for Demand Per Day, Reorder Point, Preferred Stock Level, Lead Time.</t>
    </r>
  </si>
  <si>
    <r>
      <rPr>
        <b/>
        <sz val="10"/>
        <color rgb="FF0000FF"/>
        <rFont val="Arial"/>
        <family val="2"/>
      </rPr>
      <t xml:space="preserve">PURCHASING/INVENTORY
</t>
    </r>
    <r>
      <rPr>
        <b/>
        <sz val="10"/>
        <color rgb="FF000000"/>
        <rFont val="Arial"/>
        <family val="2"/>
      </rPr>
      <t>For demand planning purposes, choose another item if you want to examine the historical sales of an item other than the one on the current record. When this field is left blank, the source for historical data is the original item.
For example, if you are setting up Item A for demand planning, but Item A does not have an extensive sales history, you can choose Item B as an alternate source for historical data. Then, when demand calculations need to be made for Item A, NetSuite uses Item B’s history for the calculations.
Note: You can select only an item that is of the same item type to be an alternate source. For example, if the original item is an inventory item, the alternate source item must also be an inventory item.</t>
    </r>
  </si>
  <si>
    <r>
      <rPr>
        <b/>
        <sz val="10"/>
        <color rgb="FF0000FF"/>
        <rFont val="Arial"/>
        <family val="2"/>
      </rPr>
      <t>PURCHASING/INVENTORY</t>
    </r>
    <r>
      <rPr>
        <b/>
        <sz val="10"/>
        <color rgb="FF0000FF"/>
        <rFont val="Arial"/>
        <family val="2"/>
      </rPr>
      <t xml:space="preserve">
The preferred stock level is the optimum quantity to maintain in stock of an item.
The quantity you enter here is used to determine your replenishment needs on the Order Items page. It is the quantity you want to have in stock after an order is placed.
Auto-Calculating – Check the Auto-Calculate box if you want NetSuite to calculate the preferred stock level based on demand for the item.
The preferred stock level is calculated as:
(daily demand * number of days supply preferred).
If no preferred stock level is identified, then the default preferred stock level is used from the Set Up Inventory Management page.</t>
    </r>
  </si>
  <si>
    <r>
      <rPr>
        <b/>
        <sz val="10"/>
        <color rgb="FF0000FF"/>
        <rFont val="Arial"/>
        <family val="2"/>
      </rPr>
      <t>PURCHASING/INVENTORY</t>
    </r>
    <r>
      <rPr>
        <b/>
        <sz val="10"/>
        <color rgb="FF0000FF"/>
        <rFont val="Arial"/>
        <family val="2"/>
      </rPr>
      <t xml:space="preserve">
Enter the quantity you prefer to order of this item each time. Then, the Order Items page suggests ordering a quantity of this item that is always a multiple of the number you enter.
For example, if the vendor only accepts orders in multiples of one thousand, you would enter 1000 in this field. Then, the Order items page might suggest that you order 1000 or 2000, but not 1500.
Note: If you use the Multiple Units of Measure feature, the reorder multiple always functions in base units.</t>
    </r>
  </si>
  <si>
    <r>
      <rPr>
        <b/>
        <sz val="10"/>
        <color rgb="FF0000FF"/>
        <rFont val="Arial"/>
        <family val="2"/>
      </rPr>
      <t xml:space="preserve">PURCHASING/INVENTORY
</t>
    </r>
    <r>
      <rPr>
        <b/>
        <sz val="10"/>
        <color rgb="FF0000FF"/>
        <rFont val="Arial"/>
        <family val="2"/>
      </rPr>
      <t xml:space="preserve">
Enter the point at which to reorder or build more of this item.
The Reorder Point is the quantity level at which you need to reorder or build more of this item.
Auto-Calculating – Check the Auto-Calculate box if you want NetSuite to calculate the reorder point based on demand for the item over time. The reorder point depends on the safety stock definition and is calculated as follows:
Without safety stock defined: 
Reorder point = (average lead time days * demand)
With safety stock defined in days: 
Reorder point = [(average lead time days + safety stock days) * demand]
With safety stock quantity defined: 
Reorder point = [(average lead time days * demand) + safety stock quantity)
Manually Calculating – Clear the Auto-Calculate box if you want to manually enter the point at which to reorder or build more of this item.
If you go to Home &gt; User Preferences and place a check mark in the Inventory Level Warnings box, NetSuite reminds you when you have reached the reorder point.</t>
    </r>
  </si>
  <si>
    <r>
      <rPr>
        <b/>
        <sz val="10"/>
        <color rgb="FF0000FF"/>
        <rFont val="Arial"/>
        <family val="2"/>
      </rPr>
      <t xml:space="preserve">PURCHASING/INVENTORY
</t>
    </r>
    <r>
      <rPr>
        <b/>
        <sz val="10"/>
        <color rgb="FF0000FF"/>
        <rFont val="Arial"/>
        <family val="2"/>
      </rPr>
      <t xml:space="preserve">
Lead time is the average number of days between ordering this item from the vendor and receiving it. 
Enter True here if you want NetSuite to calculate the lead time based on the most recent order history of this item. This is calculated by taking the number of days between the order entry and receipt on the three most recent purchase orders, and dividing by three.
If there are multiple receipts for the item against the same purchase order, only the first receipt is used for the calculation.
Lead time calculation is not weighted by number of units received.
More recent purchase orders without receipts are ignored.</t>
    </r>
  </si>
  <si>
    <r>
      <rPr>
        <b/>
        <sz val="10"/>
        <color rgb="FF0000FF"/>
        <rFont val="Arial"/>
        <family val="2"/>
      </rPr>
      <t xml:space="preserve">PURCHASING/INVENTORY
</t>
    </r>
    <r>
      <rPr>
        <b/>
        <sz val="10"/>
        <color rgb="FF000000"/>
        <rFont val="Arial"/>
        <family val="2"/>
      </rPr>
      <t xml:space="preserve">Lead time is the average number of days between ordering this item from the vendor and receiving it. </t>
    </r>
  </si>
  <si>
    <r>
      <rPr>
        <b/>
        <sz val="10"/>
        <color rgb="FF0000FF"/>
        <rFont val="Arial"/>
        <family val="2"/>
      </rPr>
      <t xml:space="preserve">PURCHASING/INVENTORY
</t>
    </r>
    <r>
      <rPr>
        <b/>
        <sz val="10"/>
        <color rgb="FF000000"/>
        <rFont val="Arial"/>
        <family val="2"/>
      </rPr>
      <t xml:space="preserve">Enter the amount of an item you prefer to keep in stock at all times. Safety stock can be a quantity or a number of days worth of stock. 
This amount is used to auto-calculate the reorder point of an item.
To define safety stock as a quantity, enter a value.
</t>
    </r>
  </si>
  <si>
    <r>
      <rPr>
        <b/>
        <sz val="10"/>
        <color rgb="FF0000FF"/>
        <rFont val="Arial"/>
        <family val="2"/>
      </rPr>
      <t xml:space="preserve">PURCHASING/INVENTORY
</t>
    </r>
    <r>
      <rPr>
        <b/>
        <sz val="10"/>
        <color rgb="FF000000"/>
        <rFont val="Arial"/>
        <family val="2"/>
      </rPr>
      <t>To define safety stock as a number of days, enter a value in the field next to Days.
If no safety stock value is entered, then the default value from the Set Up Inventory Management page is used.</t>
    </r>
  </si>
  <si>
    <r>
      <rPr>
        <b/>
        <sz val="10"/>
        <color rgb="FF0000FF"/>
        <rFont val="Arial"/>
        <family val="2"/>
      </rPr>
      <t xml:space="preserve">PURCHASING/INVENTORY
</t>
    </r>
    <r>
      <rPr>
        <b/>
        <sz val="10"/>
        <color rgb="FF000000"/>
        <rFont val="Arial"/>
        <family val="2"/>
      </rPr>
      <t>This setting defines the way NetSuite analyzes customer demand for this item. 
Customer demand for an item is used to auto-calculate reorder points and preferred stock levels. An item’s demand rate is calculated as the average sales quantity per day.
Historical Demand – Clear the Seasonal Demand box if you prefer to calculate the demand as average sales per day over a specific period. 
To set the number of months interval between analysis to evaluate sales orders and calculate item demand, go to Setup &gt; Accounting &gt; Set Up Inventory Management &gt; Order Analysis Interval field.
Seasonal Demand – Check the Seasonal Demand box to calculate the reorder quantity for this item based on inventory demand changes through the year. 
To set the number of months interval between analysis to evaluate sales orders and calculate item demand, go to Setup &gt; Accounting &gt; Set Up Inventory Management &gt; Order Analysis Interval field.</t>
    </r>
  </si>
  <si>
    <r>
      <rPr>
        <b/>
        <sz val="10"/>
        <color rgb="FF0000FF"/>
        <rFont val="Arial"/>
        <family val="2"/>
      </rPr>
      <t xml:space="preserve">PURCHASING/INVENTORY
</t>
    </r>
    <r>
      <rPr>
        <b/>
        <sz val="10"/>
        <color rgb="FF000000"/>
        <rFont val="Arial"/>
        <family val="2"/>
      </rPr>
      <t>Enter the default percentage of expected demand change to use for calculating item demand. 
For example, if you know that new customers will increase sales of this item in the future, you can enter a 10% expected demand change to be added on to previous sales totals.
If no expected demand change percentage is entered, then the default value from the Set Up Inventory Management page is used.</t>
    </r>
  </si>
  <si>
    <r>
      <rPr>
        <b/>
        <sz val="10"/>
        <color rgb="FF0000FF"/>
        <rFont val="Arial"/>
        <family val="2"/>
      </rPr>
      <t xml:space="preserve">PURCHASING/INVENTORY
</t>
    </r>
    <r>
      <rPr>
        <b/>
        <sz val="10"/>
        <color rgb="FF0000FF"/>
        <rFont val="Arial"/>
        <family val="2"/>
      </rPr>
      <t xml:space="preserve">
Enter a transfer price on an item record to set the default value used as the transfer price on transfer orders. You can still override this default by entering a new transfer price for an item on the transfer order.</t>
    </r>
  </si>
  <si>
    <r>
      <rPr>
        <b/>
        <sz val="10"/>
        <color rgb="FF0000FF"/>
        <rFont val="Arial"/>
        <family val="2"/>
      </rPr>
      <t xml:space="preserve">PURCHASING/INVENTORY
</t>
    </r>
    <r>
      <rPr>
        <b/>
        <sz val="10"/>
        <color rgb="FF0000FF"/>
        <rFont val="Arial"/>
        <family val="2"/>
      </rPr>
      <t xml:space="preserve">
Enter the name of the company that manufactures this item.</t>
    </r>
  </si>
  <si>
    <r>
      <rPr>
        <b/>
        <sz val="10"/>
        <color rgb="FF0000FF"/>
        <rFont val="Arial"/>
        <family val="2"/>
      </rPr>
      <t xml:space="preserve">PURCHASING/INVENTORY
</t>
    </r>
    <r>
      <rPr>
        <b/>
        <sz val="10"/>
        <color rgb="FF0000FF"/>
        <rFont val="Arial"/>
        <family val="2"/>
      </rPr>
      <t>MPN (Manufacturers Part Number) - Enter the part number used by the manufacturer to identify this item.</t>
    </r>
  </si>
  <si>
    <r>
      <rPr>
        <b/>
        <sz val="10"/>
        <color rgb="FF0000FF"/>
        <rFont val="Arial"/>
        <family val="2"/>
      </rPr>
      <t xml:space="preserve">PURCHASING/INVENTORY
</t>
    </r>
    <r>
      <rPr>
        <b/>
        <sz val="10"/>
        <color rgb="FF0000FF"/>
        <rFont val="Arial"/>
        <family val="2"/>
      </rPr>
      <t xml:space="preserve">
Enter the name of the country where this item is manufactured.
This information is used for customs purposes when shipping.</t>
    </r>
  </si>
  <si>
    <r>
      <rPr>
        <b/>
        <sz val="10"/>
        <color rgb="FF0000FF"/>
        <rFont val="Arial"/>
        <family val="2"/>
      </rPr>
      <t xml:space="preserve">PURCHASING/INVENTORY
</t>
    </r>
    <r>
      <rPr>
        <b/>
        <sz val="10"/>
        <color rgb="FFFF0000"/>
        <rFont val="Arial"/>
        <family val="2"/>
      </rPr>
      <t>Enter TRUE to track bin locations for this item.
If you choose to use bins for this item, you must assocaite at least one bin with the item using the Bin Numbers subtab.
You can associate multiple items with on bin and multiple bins with one item. You can also designate one preferred bin per location. The preferred bin is listed by default on receipt and fulfillment transactions. To create bin records that can be selected here, go to Lists&gt; Supply Chain &gt; Bins &gt; New</t>
    </r>
  </si>
  <si>
    <r>
      <rPr>
        <b/>
        <sz val="10"/>
        <color rgb="FF0000FF"/>
        <rFont val="Arial"/>
        <family val="2"/>
      </rPr>
      <t xml:space="preserve">PURCHASING/INVENTORY
</t>
    </r>
    <r>
      <rPr>
        <b/>
        <sz val="10"/>
        <color rgb="FF0000FF"/>
        <rFont val="Arial"/>
        <family val="2"/>
      </rPr>
      <t xml:space="preserve">
Enter the location you would like to associate with this item. This should be setup in </t>
    </r>
    <r>
      <rPr>
        <b/>
        <u/>
        <sz val="10"/>
        <color rgb="FF0000FF"/>
        <rFont val="Arial"/>
        <family val="2"/>
      </rPr>
      <t>Setup &gt; Company &gt; Locations</t>
    </r>
    <r>
      <rPr>
        <b/>
        <sz val="10"/>
        <color rgb="FF0000FF"/>
        <rFont val="Arial"/>
        <family val="2"/>
      </rPr>
      <t xml:space="preserve"> prior to import.
This location will autofill on sales orders that show locations on a line-item basis.</t>
    </r>
  </si>
  <si>
    <r>
      <rPr>
        <b/>
        <sz val="10"/>
        <color rgb="FF0000FF"/>
        <rFont val="Arial"/>
        <family val="2"/>
      </rPr>
      <t xml:space="preserve">PURCHASING/INVENTORY
</t>
    </r>
    <r>
      <rPr>
        <b/>
        <sz val="10"/>
        <color theme="1"/>
        <rFont val="Arial"/>
        <family val="2"/>
      </rPr>
      <t xml:space="preserve">
Enter TRUE if this bin number is preferred for the location selected.</t>
    </r>
  </si>
  <si>
    <r>
      <rPr>
        <b/>
        <sz val="10"/>
        <color rgb="FF0000FF"/>
        <rFont val="Arial"/>
        <family val="2"/>
      </rPr>
      <t xml:space="preserve">PURCHASING/INVENTORY
</t>
    </r>
    <r>
      <rPr>
        <b/>
        <sz val="10"/>
        <color theme="1"/>
        <rFont val="Arial"/>
        <family val="2"/>
      </rPr>
      <t>Enter the subsidiary that this vendor is related to.</t>
    </r>
  </si>
  <si>
    <r>
      <rPr>
        <b/>
        <sz val="10"/>
        <color rgb="FF0000FF"/>
        <rFont val="Arial"/>
        <family val="2"/>
      </rPr>
      <t xml:space="preserve">PURCHASING/INVENTORY
</t>
    </r>
    <r>
      <rPr>
        <b/>
        <sz val="10"/>
        <color theme="1"/>
        <rFont val="Arial"/>
        <family val="2"/>
      </rPr>
      <t>Enter TRUE here if this is the preferred vendor for this item</t>
    </r>
  </si>
  <si>
    <r>
      <rPr>
        <b/>
        <sz val="10"/>
        <color rgb="FF0000FF"/>
        <rFont val="Arial"/>
        <family val="2"/>
      </rPr>
      <t xml:space="preserve">PURCHASING/INVENTORY
</t>
    </r>
    <r>
      <rPr>
        <b/>
        <sz val="10"/>
        <color theme="1"/>
        <rFont val="Arial"/>
        <family val="2"/>
      </rPr>
      <t>Enter the purchase price for this item associated to this vendor.</t>
    </r>
  </si>
  <si>
    <r>
      <rPr>
        <b/>
        <sz val="10"/>
        <color rgb="FF0000FF"/>
        <rFont val="Arial"/>
        <family val="2"/>
      </rPr>
      <t xml:space="preserve">PURCHASING/INVENTORY
</t>
    </r>
    <r>
      <rPr>
        <b/>
        <sz val="10"/>
        <color theme="1"/>
        <rFont val="Arial"/>
        <family val="2"/>
      </rPr>
      <t>Select a quantity pricing schedule associated to this vendor. 
NOTE: this schedule must already exist in the system</t>
    </r>
  </si>
  <si>
    <r>
      <rPr>
        <b/>
        <sz val="10"/>
        <color rgb="FF0000FF"/>
        <rFont val="Arial"/>
        <family val="2"/>
      </rPr>
      <t xml:space="preserve">PURCHASING/INVENTORY
</t>
    </r>
    <r>
      <rPr>
        <b/>
        <sz val="10"/>
        <color theme="1"/>
        <rFont val="Arial"/>
        <family val="2"/>
      </rPr>
      <t>Enter the vendor's code for this item.</t>
    </r>
  </si>
  <si>
    <r>
      <rPr>
        <b/>
        <sz val="10"/>
        <color rgb="FF0000FF"/>
        <rFont val="Arial"/>
        <family val="2"/>
      </rPr>
      <t xml:space="preserve">PURCHASING/INVENTORY
</t>
    </r>
    <r>
      <rPr>
        <b/>
        <sz val="10"/>
        <color theme="1"/>
        <rFont val="Arial"/>
        <family val="2"/>
      </rPr>
      <t>Enter the number of days of backward consumption for this item to be used in demand planning.</t>
    </r>
  </si>
  <si>
    <r>
      <rPr>
        <b/>
        <sz val="10"/>
        <color rgb="FF0000FF"/>
        <rFont val="Arial"/>
        <family val="2"/>
      </rPr>
      <t xml:space="preserve">PURCHASING/INVENTORY
</t>
    </r>
    <r>
      <rPr>
        <b/>
        <sz val="10"/>
        <color rgb="FF0000FF"/>
        <rFont val="Arial"/>
        <family val="2"/>
      </rPr>
      <t xml:space="preserve">
Enter the rate you want to default to show as the cost for this item when it is returned.</t>
    </r>
  </si>
  <si>
    <r>
      <rPr>
        <b/>
        <sz val="10"/>
        <color rgb="FF0000FF"/>
        <rFont val="Arial"/>
        <family val="2"/>
      </rPr>
      <t xml:space="preserve">PURCHASING/INVENTORY
</t>
    </r>
    <r>
      <rPr>
        <b/>
        <sz val="10"/>
        <color rgb="FF0000FF"/>
        <rFont val="Arial"/>
        <family val="2"/>
      </rPr>
      <t xml:space="preserve">
This determines where demand data is sourced for an item. Possible values are:
-Forecast from Demand Plan
-Select Entered and Planned Orders </t>
    </r>
  </si>
  <si>
    <r>
      <rPr>
        <b/>
        <sz val="10"/>
        <color rgb="FF0000FF"/>
        <rFont val="Arial"/>
        <family val="2"/>
      </rPr>
      <t xml:space="preserve">PURCHASING/INVENTORY
</t>
    </r>
    <r>
      <rPr>
        <b/>
        <sz val="10"/>
        <color rgb="FF0000FF"/>
        <rFont val="Arial"/>
        <family val="2"/>
      </rPr>
      <t xml:space="preserve">
This determines where demand data is sourced for an item. Possible values are:
-Forecast from Demand Plan
-Select Entered and Planned Orders</t>
    </r>
  </si>
  <si>
    <r>
      <rPr>
        <b/>
        <sz val="10"/>
        <color rgb="FF0000FF"/>
        <rFont val="Arial"/>
        <family val="2"/>
      </rPr>
      <t xml:space="preserve">PURCHASING/INVENTORY
</t>
    </r>
    <r>
      <rPr>
        <b/>
        <sz val="10"/>
        <color theme="1"/>
        <rFont val="Arial"/>
        <family val="2"/>
      </rPr>
      <t xml:space="preserve">
Enter the number of days of forward consumption for this item to be used in demand planning.</t>
    </r>
  </si>
  <si>
    <r>
      <rPr>
        <b/>
        <sz val="10"/>
        <color rgb="FF0000FF"/>
        <rFont val="Arial"/>
        <family val="2"/>
      </rPr>
      <t xml:space="preserve">PURCHASING/INVENTORY
</t>
    </r>
    <r>
      <rPr>
        <b/>
        <sz val="10"/>
        <color theme="1"/>
        <rFont val="Arial"/>
        <family val="2"/>
      </rPr>
      <t>Enter the periods of supply increment here.</t>
    </r>
  </si>
  <si>
    <r>
      <rPr>
        <b/>
        <sz val="10"/>
        <color rgb="FF0000FF"/>
        <rFont val="Arial"/>
        <family val="2"/>
      </rPr>
      <t xml:space="preserve">PURCHASING/INVENTORY
</t>
    </r>
    <r>
      <rPr>
        <b/>
        <sz val="10"/>
        <color theme="1"/>
        <rFont val="Arial"/>
        <family val="2"/>
      </rPr>
      <t>Enter the periods of supply type for this item. Options are: Interval, Monthly, Weekly.</t>
    </r>
  </si>
  <si>
    <r>
      <rPr>
        <b/>
        <sz val="10"/>
        <color rgb="FF0000FF"/>
        <rFont val="Arial"/>
        <family val="2"/>
      </rPr>
      <t xml:space="preserve">PURCHASING/INVENTORY
</t>
    </r>
    <r>
      <rPr>
        <b/>
        <sz val="10"/>
        <color theme="1"/>
        <rFont val="Arial"/>
        <family val="2"/>
      </rPr>
      <t>Enter the periods of supply increment here.BR3</t>
    </r>
  </si>
  <si>
    <r>
      <rPr>
        <b/>
        <sz val="10"/>
        <color rgb="FF0000FF"/>
        <rFont val="Arial"/>
        <family val="2"/>
      </rPr>
      <t xml:space="preserve">PURCHASING/INVENTORY
</t>
    </r>
    <r>
      <rPr>
        <b/>
        <sz val="10"/>
        <color theme="1"/>
        <rFont val="Arial"/>
        <family val="2"/>
      </rPr>
      <t>Enter the quantity at which you need to place an order to replenish stock or build more of this item.</t>
    </r>
  </si>
  <si>
    <r>
      <rPr>
        <b/>
        <sz val="10"/>
        <color rgb="FF0000FF"/>
        <rFont val="Arial"/>
        <family val="2"/>
      </rPr>
      <t xml:space="preserve">PURCHASING/INVENTORY
</t>
    </r>
    <r>
      <rPr>
        <b/>
        <sz val="10"/>
        <color theme="1"/>
        <rFont val="Arial"/>
        <family val="2"/>
      </rPr>
      <t>Possible values include:
-Lot For Lot – Orders are suggested for procurement based on the exact projections for that day. The suggested order quantity may vary from day to day depending on demand calculations.
-Fixed Lot Size – Orders are suggested for procurement based on a fixed amount or a multiple of the fixed amount.
-Periods of Supply – Select this option to generate aggregated purchase orders or work orders based on the overall demand requirements extended over a designated period, such as weekly or monthly.</t>
    </r>
  </si>
  <si>
    <r>
      <rPr>
        <b/>
        <sz val="10"/>
        <color rgb="FF0000FF"/>
        <rFont val="Arial"/>
        <family val="2"/>
      </rPr>
      <t xml:space="preserve">PURCHASING/INVENTORY
</t>
    </r>
    <r>
      <rPr>
        <b/>
        <sz val="10"/>
        <color theme="1"/>
        <rFont val="Arial"/>
        <family val="2"/>
      </rPr>
      <t>Enter a number between 0 and 365 to determine the planning time fence for this item.</t>
    </r>
  </si>
  <si>
    <r>
      <rPr>
        <b/>
        <sz val="10"/>
        <color rgb="FF0000FF"/>
        <rFont val="Arial"/>
        <family val="2"/>
      </rPr>
      <t xml:space="preserve">SALES/PRICING
</t>
    </r>
    <r>
      <rPr>
        <b/>
        <sz val="10"/>
        <color rgb="FF000000"/>
        <rFont val="Arial"/>
        <family val="2"/>
      </rPr>
      <t xml:space="preserve">The Cost Estimate Type determines what value NetSuite uses to calculate estimated Gross Profit. 
The estimated Gross Profit for Items on a transaction provides the data needed to calculate the total estimated Gross Profit on that transaction. 
The individual line items that you enter in a transaction determine the amounts that post in NetSuite when you process that transaction.
The following Cost Estimate Types on Items are available: 
</t>
    </r>
    <r>
      <rPr>
        <b/>
        <sz val="10"/>
        <color rgb="FFFF0000"/>
        <rFont val="Arial"/>
        <family val="2"/>
      </rPr>
      <t>Item Defined Cost</t>
    </r>
    <r>
      <rPr>
        <b/>
        <sz val="10"/>
        <color rgb="FF000000"/>
        <rFont val="Arial"/>
        <family val="2"/>
      </rPr>
      <t xml:space="preserve"> - a user-defined amount, entered into the Item Defined Cost field on the Item definition page.
</t>
    </r>
    <r>
      <rPr>
        <b/>
        <sz val="10"/>
        <color rgb="FFFF0000"/>
        <rFont val="Arial"/>
        <family val="2"/>
      </rPr>
      <t>Average Cost</t>
    </r>
    <r>
      <rPr>
        <b/>
        <sz val="10"/>
        <color rgb="FF000000"/>
        <rFont val="Arial"/>
        <family val="2"/>
      </rPr>
      <t xml:space="preserve"> - NetSuite calculates an average cost of the units purchased. With Multi-Location Inventory enabled, NetSuite calculates the average across all locations. Otherwise, the average calculation uses location-specific costs.
</t>
    </r>
    <r>
      <rPr>
        <b/>
        <sz val="10"/>
        <color rgb="FFFF0000"/>
        <rFont val="Arial"/>
        <family val="2"/>
      </rPr>
      <t>Last Purchase Price</t>
    </r>
    <r>
      <rPr>
        <b/>
        <sz val="10"/>
        <color rgb="FF000000"/>
        <rFont val="Arial"/>
        <family val="2"/>
      </rPr>
      <t xml:space="preserve"> - This field displays the most recent purchase price of the item as determined by purchase order receipt transactions. If you make multiple purchases on the same day that use different rates, this field shows the highest purchase price on that day, per location if applicable. When you use the Multiple-Location Inventory feature, the last purchase price reflects the most recent receipt at any location. If you track Cost of Goods Sold (COGS), NetSuite identifies the cost of the item based on your COGS settings.
</t>
    </r>
    <r>
      <rPr>
        <b/>
        <sz val="10"/>
        <color rgb="FFFF0000"/>
        <rFont val="Arial"/>
        <family val="2"/>
      </rPr>
      <t>Purchase Price</t>
    </r>
    <r>
      <rPr>
        <b/>
        <sz val="10"/>
        <color rgb="FF000000"/>
        <rFont val="Arial"/>
        <family val="2"/>
      </rPr>
      <t xml:space="preserve"> - Enter the price that you pay for this item. If you do not enter a price, then the most recent purchase price from purchase orders provides the price for this item by default.
</t>
    </r>
    <r>
      <rPr>
        <b/>
        <sz val="10"/>
        <color rgb="FFFF0000"/>
        <rFont val="Arial"/>
        <family val="2"/>
      </rPr>
      <t>Preferred Vendor Rate</t>
    </r>
    <r>
      <rPr>
        <b/>
        <sz val="10"/>
        <color rgb="FF000000"/>
        <rFont val="Arial"/>
        <family val="2"/>
      </rPr>
      <t xml:space="preserve"> - This option is only meaningful if the Multi-Vendor feature is enabled and multiple vendors supply the same item. In order of precedence:
Preferred vendor rate, if defined on the Item record 
Purchase price
</t>
    </r>
    <r>
      <rPr>
        <b/>
        <sz val="10"/>
        <color rgb="FFFF0000"/>
        <rFont val="Arial"/>
        <family val="2"/>
      </rPr>
      <t>Purchase Order Rate</t>
    </r>
    <r>
      <rPr>
        <b/>
        <sz val="10"/>
        <color rgb="FF000000"/>
        <rFont val="Arial"/>
        <family val="2"/>
      </rPr>
      <t xml:space="preserve"> - Initially uses the Preferred Vendor Rate cost, and then after a purchase order is entered, this type uses the most recent actual purchase order rate. Special orders and drop-shipped items use this cost information.
</t>
    </r>
    <r>
      <rPr>
        <b/>
        <sz val="10"/>
        <color rgb="FFFF0000"/>
        <rFont val="Arial"/>
        <family val="2"/>
      </rPr>
      <t>Derived from Member Items</t>
    </r>
    <r>
      <rPr>
        <b/>
        <sz val="10"/>
        <color rgb="FF000000"/>
        <rFont val="Arial"/>
        <family val="2"/>
      </rPr>
      <t xml:space="preserve"> - Total costs of items currently included in a kit. This Cost Estimate Type only applies to kits and sums the estimated costs of each item in the kit, based on each of their individual Cost Estimate Types. Uses the latest definition of the kit, not its historical definition. </t>
    </r>
  </si>
  <si>
    <r>
      <rPr>
        <b/>
        <sz val="10"/>
        <color rgb="FF0000FF"/>
        <rFont val="Arial"/>
        <family val="2"/>
      </rPr>
      <t xml:space="preserve">SALES/PRICING
</t>
    </r>
    <r>
      <rPr>
        <b/>
        <sz val="10"/>
        <color rgb="FF000000"/>
        <rFont val="Arial"/>
        <family val="2"/>
      </rPr>
      <t>A user-defined amount, entered into the Item Defined Cost field on the Item definition page.</t>
    </r>
    <r>
      <rPr>
        <b/>
        <sz val="10"/>
        <color rgb="FF0000FF"/>
        <rFont val="Arial"/>
        <family val="2"/>
      </rPr>
      <t xml:space="preserve">
</t>
    </r>
  </si>
  <si>
    <r>
      <rPr>
        <b/>
        <sz val="10"/>
        <color rgb="FF0000FF"/>
        <rFont val="Arial"/>
        <family val="2"/>
      </rPr>
      <t xml:space="preserve">SALES/PRICING
</t>
    </r>
    <r>
      <rPr>
        <b/>
        <sz val="10"/>
        <color rgb="FF000000"/>
        <rFont val="Arial"/>
        <family val="2"/>
      </rPr>
      <t>Select the brand name or name that should appear on customers' credit card statements when this item is purchased.
Enter soft descriptors to select in this field at: Setup &gt; Accounting &gt; Credit Card Soft Descriptors</t>
    </r>
  </si>
  <si>
    <r>
      <rPr>
        <b/>
        <sz val="10"/>
        <color rgb="FF0000FF"/>
        <rFont val="Arial"/>
        <family val="2"/>
      </rPr>
      <t xml:space="preserve">SALES/PRICING
</t>
    </r>
    <r>
      <rPr>
        <b/>
        <sz val="10"/>
        <color rgb="FF000000"/>
        <rFont val="Arial"/>
        <family val="2"/>
      </rPr>
      <t>Enter the smallest quantity you allow customers to purchase for this item.
When customers add this item to their carts in the Web store, the quantity for this item is defaulted to the minimum number of items.
Web store customers receive a warning and cannot check out if they enter an item quantity below this minimum. If you use Advanced Site Customization, you can edit this warning at Setup &gt; Web Site &gt; Customize Web Site Text.
Leave this field empty to allow customers to check out with no minimum quantity restrictions.</t>
    </r>
  </si>
  <si>
    <r>
      <rPr>
        <b/>
        <sz val="10"/>
        <color rgb="FF0000FF"/>
        <rFont val="Arial"/>
        <family val="2"/>
      </rPr>
      <t xml:space="preserve">SALES/PRICING
</t>
    </r>
    <r>
      <rPr>
        <b/>
        <sz val="10"/>
        <color rgb="FF000000"/>
        <rFont val="Arial"/>
        <family val="2"/>
      </rPr>
      <t>Check this box to only allow sales orders created in NetSuite to be submitted when the minimum quantity of this item is ordered.
When the item is selected on a sales order, the quantity is set to the minimum by default. If the quantity is edited below the minimum amount, an alert pops up, and the item cannot be added to the order.
When you clear this box but enter a number in the Minimum Quantity field, the minimum only applies in the Web store.</t>
    </r>
  </si>
  <si>
    <r>
      <rPr>
        <b/>
        <sz val="10"/>
        <color rgb="FF0000FF"/>
        <rFont val="Arial"/>
        <family val="2"/>
      </rPr>
      <t xml:space="preserve">SALES/PRICING
</t>
    </r>
    <r>
      <rPr>
        <b/>
        <sz val="10"/>
        <color rgb="FF0000FF"/>
        <rFont val="Arial"/>
        <family val="2"/>
      </rPr>
      <t xml:space="preserve">
Enter the pricing group this item is a member of. 
Using pricing groups allows you to assign customer-specific price levels for a group of items. 
This must be setup in </t>
    </r>
    <r>
      <rPr>
        <b/>
        <u/>
        <sz val="10"/>
        <color rgb="FF0000FF"/>
        <rFont val="Arial"/>
        <family val="2"/>
      </rPr>
      <t>Setup &gt; Accounting &gt; Accounting Lists &gt; New &gt; Pricing Group</t>
    </r>
    <r>
      <rPr>
        <b/>
        <sz val="10"/>
        <color rgb="FF0000FF"/>
        <rFont val="Arial"/>
        <family val="2"/>
      </rPr>
      <t xml:space="preserve"> prior to import.</t>
    </r>
  </si>
  <si>
    <r>
      <rPr>
        <b/>
        <sz val="10"/>
        <color rgb="FF0000FF"/>
        <rFont val="Arial"/>
        <family val="2"/>
      </rPr>
      <t>ACCOUNTING</t>
    </r>
    <r>
      <rPr>
        <b/>
        <sz val="10"/>
        <color rgb="FF0000FF"/>
        <rFont val="Arial"/>
        <family val="2"/>
      </rPr>
      <t xml:space="preserve">
</t>
    </r>
    <r>
      <rPr>
        <b/>
        <sz val="10"/>
        <color rgb="FFFF0000"/>
        <rFont val="Arial"/>
        <family val="2"/>
      </rPr>
      <t xml:space="preserve">Required field if you activate the Advance Taxes. You can create Tax schedules at </t>
    </r>
    <r>
      <rPr>
        <b/>
        <u/>
        <sz val="10"/>
        <color rgb="FFFF0000"/>
        <rFont val="Arial"/>
        <family val="2"/>
      </rPr>
      <t>Set up&gt; Accounting&gt; Taxes&gt; Tax Schedules&gt; New</t>
    </r>
    <r>
      <rPr>
        <b/>
        <sz val="10"/>
        <color rgb="FFFF0000"/>
        <rFont val="Arial"/>
        <family val="2"/>
      </rPr>
      <t>. It is used for international versions only.</t>
    </r>
  </si>
  <si>
    <t>Image</t>
  </si>
  <si>
    <t>Number</t>
  </si>
  <si>
    <t>String</t>
  </si>
  <si>
    <t>Percentage</t>
  </si>
  <si>
    <t>Decimal</t>
  </si>
  <si>
    <t>String Max 60 Characters</t>
  </si>
  <si>
    <t>Max 60 chars</t>
  </si>
  <si>
    <t>Max 999 chars</t>
  </si>
  <si>
    <t>Max 21 Characters</t>
  </si>
  <si>
    <t>Max 200 Characters</t>
  </si>
  <si>
    <t>Max 100 Characters</t>
  </si>
  <si>
    <t>MCT360 Sensor Only</t>
  </si>
  <si>
    <t>Cumulative ATP with Look Ahead</t>
  </si>
  <si>
    <t>OPT Optical Bench Assy</t>
  </si>
  <si>
    <t>Material</t>
  </si>
  <si>
    <t>All Fields marked in RED are mandatory</t>
  </si>
  <si>
    <t>itemLocation List</t>
  </si>
  <si>
    <t>This is used only if you use multiple Locations. You can delete these columns if not applicable.</t>
  </si>
  <si>
    <t>itemPriceLine List</t>
  </si>
  <si>
    <t>This is used only if you have multiple Price Levels. You can delete these columns if not applicable.</t>
  </si>
  <si>
    <t>custitem_usas_material</t>
  </si>
  <si>
    <t>custitem_usas_productclass</t>
  </si>
  <si>
    <t>custitem_usas_rmparent_sku</t>
  </si>
  <si>
    <t>custitem_usas_rmparent_cost</t>
  </si>
  <si>
    <t>custitem_usas_rmparent_width</t>
  </si>
  <si>
    <t>custitem_usas_rmparent_length</t>
  </si>
  <si>
    <t>custitem_usas_rmpsaparent_sku</t>
  </si>
  <si>
    <t>custitem_usas_rmpsaparent_cost</t>
  </si>
  <si>
    <t>custitem_usas_rmpsaparent_width</t>
  </si>
  <si>
    <t>custitem_usas_tax1item</t>
  </si>
  <si>
    <t>custitem_usas_tax2field</t>
  </si>
  <si>
    <t>custitem_usas_rmthickness</t>
  </si>
  <si>
    <t>custitem_usas_rmwidth</t>
  </si>
  <si>
    <t>custitem_usas_rmlength</t>
  </si>
  <si>
    <t>custitem_usas_rmadhesive_backing</t>
  </si>
  <si>
    <t>custitem_usas_customnotes</t>
  </si>
  <si>
    <t>custitem_usas_rmmasterparent_sku</t>
  </si>
  <si>
    <t>custitem_usas_rmmasterparent_unitsft</t>
  </si>
  <si>
    <t>custitem_usas_rmmasterparent_unitsinch</t>
  </si>
  <si>
    <t>custitem_usas_legqnty_perunit</t>
  </si>
  <si>
    <t>Product Class</t>
  </si>
  <si>
    <t>RM Parent SKU</t>
  </si>
  <si>
    <t>RM Parent Cost</t>
  </si>
  <si>
    <t>RM Parent Width</t>
  </si>
  <si>
    <t>RM Parent Length</t>
  </si>
  <si>
    <t>RM PSA Parent SKU</t>
  </si>
  <si>
    <t>RM PSA Parent Cost</t>
  </si>
  <si>
    <t>RM PSA Parent Width</t>
  </si>
  <si>
    <t>RM PSA Parent Length</t>
  </si>
  <si>
    <t>Taxonomy 1</t>
  </si>
  <si>
    <t>Taxonomy 2</t>
  </si>
  <si>
    <t>RM Thickness</t>
  </si>
  <si>
    <t>RM Width</t>
  </si>
  <si>
    <t>RM Length</t>
  </si>
  <si>
    <t>Rm Adhesive Backing</t>
  </si>
  <si>
    <t>Custom Notes</t>
  </si>
  <si>
    <t>RM Master Parent SKU</t>
  </si>
  <si>
    <t>RM Master Parent Units Ft</t>
  </si>
  <si>
    <t>RM Master Parent Units Inch</t>
  </si>
  <si>
    <t>Leg Qnty Per Unit</t>
  </si>
  <si>
    <r>
      <rPr>
        <b/>
        <sz val="10"/>
        <color rgb="FF0000FF"/>
        <rFont val="Arial"/>
        <family val="2"/>
      </rPr>
      <t>HEADER</t>
    </r>
    <r>
      <rPr>
        <b/>
        <sz val="10"/>
        <color rgb="FF0000FF"/>
        <rFont val="Arial"/>
        <family val="2"/>
      </rPr>
      <t xml:space="preserve">
</t>
    </r>
    <r>
      <rPr>
        <b/>
        <sz val="10"/>
        <color rgb="FFFF0000"/>
        <rFont val="Arial"/>
        <family val="2"/>
      </rPr>
      <t>This is the unique backend identifier for  Inventory Item. Should be unique for all the Item records. This can be used to create a Parent-Child Relationship and to link other record sets with these Items.</t>
    </r>
  </si>
  <si>
    <r>
      <rPr>
        <b/>
        <sz val="10"/>
        <color rgb="FF0000FF"/>
        <rFont val="Arial"/>
        <family val="2"/>
      </rPr>
      <t>HEADER</t>
    </r>
    <r>
      <rPr>
        <b/>
        <sz val="10"/>
        <color rgb="FF0000FF"/>
        <rFont val="Arial"/>
        <family val="2"/>
      </rPr>
      <t xml:space="preserve">
</t>
    </r>
    <r>
      <rPr>
        <b/>
        <sz val="10"/>
        <color rgb="FFFF0000"/>
        <rFont val="Arial"/>
        <family val="2"/>
      </rPr>
      <t>Enter here item name/number of the item. This name appears in lists on transactions.</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</si>
  <si>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</si>
  <si>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</si>
  <si>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t>CUSTOM
This field is used to import the Value for the Custom field which must be created prior to data import. Please add more Columns to the right in case you have more than two custom fields to import data for.</t>
  </si>
  <si>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</si>
  <si>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</si>
  <si>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</si>
  <si>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</si>
  <si>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</si>
  <si>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</si>
  <si>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r>
      <rPr>
        <b/>
        <sz val="10"/>
        <color rgb="FF0000FF"/>
        <rFont val="Arial"/>
        <family val="2"/>
      </rPr>
      <t xml:space="preserve">CUSTOM
</t>
    </r>
    <r>
      <rPr>
        <b/>
        <sz val="10"/>
        <color rgb="FF0000FF"/>
        <rFont val="Arial"/>
        <family val="2"/>
      </rPr>
      <t xml:space="preserve">
This field is used to import the Value for the Custom field which must be created prior to data import. Please add more Columns to the right in case you have more than two custom fields to import data for.</t>
    </r>
  </si>
  <si>
    <t>List/Record</t>
  </si>
  <si>
    <t>Integer</t>
  </si>
  <si>
    <t>Checkbox</t>
  </si>
  <si>
    <t>Text Area</t>
  </si>
  <si>
    <t>ALWAYS 0</t>
  </si>
  <si>
    <t>Taxable</t>
  </si>
  <si>
    <t>ALWAYS TRUE</t>
  </si>
  <si>
    <t>ALWAYS 2</t>
  </si>
  <si>
    <t>Reorder Point</t>
  </si>
  <si>
    <t>itemLocationLine1_wip</t>
  </si>
  <si>
    <t>Item Location 1 WIP</t>
  </si>
  <si>
    <r>
      <t xml:space="preserve">PURCHASING/INVENTORY
</t>
    </r>
    <r>
      <rPr>
        <b/>
        <sz val="10"/>
        <color theme="1"/>
        <rFont val="Arial"/>
        <family val="2"/>
      </rPr>
      <t>Enter the location where this item is stored. NOTE: If there is more than 1 inventory location associated to this item, add MORE ROWS PER ITEM</t>
    </r>
  </si>
  <si>
    <r>
      <t xml:space="preserve">PURCHASING/INVENTORY
</t>
    </r>
    <r>
      <rPr>
        <b/>
        <sz val="10"/>
        <color theme="1"/>
        <rFont val="Arial"/>
        <family val="2"/>
      </rPr>
      <t>Enter the vendors you purchase this item from. If there are multiple vendors add additional rows per item here.</t>
    </r>
  </si>
  <si>
    <r>
      <t xml:space="preserve">PURCHASING/INVENTORY
</t>
    </r>
    <r>
      <rPr>
        <b/>
        <sz val="10"/>
        <color theme="1"/>
        <rFont val="Arial"/>
        <family val="2"/>
      </rPr>
      <t>Enter the bin number this item is stored in.
NOTE: add additional ros for every bin number this item is located in.</t>
    </r>
  </si>
  <si>
    <t>PURCHASING/INVENTORY
Enter the Location this bin is linked to.
NOTE: add additional rows for every bin number this item is located in.</t>
  </si>
  <si>
    <r>
      <t xml:space="preserve">ACCOUNTING
</t>
    </r>
    <r>
      <rPr>
        <b/>
        <sz val="10"/>
        <color rgb="FFFF0000"/>
        <rFont val="Arial"/>
        <family val="2"/>
      </rPr>
      <t xml:space="preserve">Select the COGS Account which tracks the Cost of Goods sold on this item.
The complete hierarchy of the accounts should be provided if you want to refer to a child account. The expected format is: </t>
    </r>
    <r>
      <rPr>
        <b/>
        <u/>
        <sz val="10"/>
        <color rgb="FFFF0000"/>
        <rFont val="Arial"/>
        <family val="2"/>
      </rPr>
      <t>Child Account Number and Parent Name : Child Account Name</t>
    </r>
    <r>
      <rPr>
        <b/>
        <sz val="10"/>
        <color rgb="FFFF0000"/>
        <rFont val="Arial"/>
        <family val="2"/>
      </rPr>
      <t xml:space="preserve">.
The COGS account must exist in </t>
    </r>
    <r>
      <rPr>
        <b/>
        <u/>
        <sz val="10"/>
        <color rgb="FFFF0000"/>
        <rFont val="Arial"/>
        <family val="2"/>
      </rPr>
      <t>Lists &gt; Accounting &gt; Account</t>
    </r>
    <r>
      <rPr>
        <b/>
        <sz val="10"/>
        <color rgb="FFFF0000"/>
        <rFont val="Arial"/>
        <family val="2"/>
      </rPr>
      <t xml:space="preserve"> prior to importing.</t>
    </r>
  </si>
  <si>
    <r>
      <t xml:space="preserve">ACCOUNTING
</t>
    </r>
    <r>
      <rPr>
        <b/>
        <sz val="10"/>
        <color rgb="FFFF0000"/>
        <rFont val="Arial"/>
        <family val="2"/>
      </rPr>
      <t xml:space="preserve">Select the income account that will be affected by the sale of this item.  
The complete hierarchy of the accounts should be provided if you want to refer to a child account. The expected format is:  </t>
    </r>
    <r>
      <rPr>
        <b/>
        <u/>
        <sz val="10"/>
        <color rgb="FFFF0000"/>
        <rFont val="Arial"/>
        <family val="2"/>
      </rPr>
      <t>Child Account Number and Parent Name : Child Account Name</t>
    </r>
    <r>
      <rPr>
        <b/>
        <sz val="10"/>
        <color rgb="FFFF0000"/>
        <rFont val="Arial"/>
        <family val="2"/>
      </rPr>
      <t xml:space="preserve">
The Income account must exist in </t>
    </r>
    <r>
      <rPr>
        <b/>
        <u/>
        <sz val="10"/>
        <color rgb="FFFF0000"/>
        <rFont val="Arial"/>
        <family val="2"/>
      </rPr>
      <t>Lists &gt; Accounting &gt; Account</t>
    </r>
    <r>
      <rPr>
        <b/>
        <sz val="10"/>
        <color rgb="FFFF0000"/>
        <rFont val="Arial"/>
        <family val="2"/>
      </rPr>
      <t xml:space="preserve"> prior to importing. 
</t>
    </r>
  </si>
  <si>
    <r>
      <t xml:space="preserve">ACCOUNTING
</t>
    </r>
    <r>
      <rPr>
        <b/>
        <sz val="10"/>
        <color rgb="FFFF0000"/>
        <rFont val="Arial"/>
        <family val="2"/>
      </rPr>
      <t xml:space="preserve">Select the asset account that tracks the value of the inventory on hand for this item.  The complete hierarchy of the accounts should be provided if you want to refer to a child account.  The expected format is: </t>
    </r>
    <r>
      <rPr>
        <b/>
        <u/>
        <sz val="10"/>
        <color rgb="FFFF0000"/>
        <rFont val="Arial"/>
        <family val="2"/>
      </rPr>
      <t>Child Account Number and Parent Name : Child Account Name</t>
    </r>
    <r>
      <rPr>
        <b/>
        <sz val="10"/>
        <color rgb="FFFF0000"/>
        <rFont val="Arial"/>
        <family val="2"/>
      </rPr>
      <t xml:space="preserve">
The asset account must exist in </t>
    </r>
    <r>
      <rPr>
        <b/>
        <u/>
        <sz val="10"/>
        <color rgb="FFFF0000"/>
        <rFont val="Arial"/>
        <family val="2"/>
      </rPr>
      <t>Lists &gt; Accounting &gt; Account</t>
    </r>
    <r>
      <rPr>
        <b/>
        <sz val="10"/>
        <color rgb="FFFF0000"/>
        <rFont val="Arial"/>
        <family val="2"/>
      </rPr>
      <t xml:space="preserve"> prior to importing. </t>
    </r>
  </si>
  <si>
    <t>Standard</t>
  </si>
  <si>
    <t>itemPriceLine2_quantityPricing</t>
  </si>
  <si>
    <t>itemPriceLine3_quantityPricing</t>
  </si>
  <si>
    <t>itemPriceLine4_itemPriceTypeRef</t>
  </si>
  <si>
    <t>itemPriceLine4_itemPrice</t>
  </si>
  <si>
    <t>itemPriceLine4_quantityPricing</t>
  </si>
  <si>
    <t>itemPriceLine5_itemPriceTypeRef</t>
  </si>
  <si>
    <t>itemPriceLine5_itemPrice</t>
  </si>
  <si>
    <t>itemPriceLine5_quantityPricing</t>
  </si>
  <si>
    <t>itemPriceLine6_itemPriceTypeRef</t>
  </si>
  <si>
    <t>itemPriceLine6_itemPrice</t>
  </si>
  <si>
    <t>itemPriceLine6_quantityPricing</t>
  </si>
  <si>
    <t>itemPriceLine7_itemPriceTypeRef</t>
  </si>
  <si>
    <t>itemPriceLine7_itemPrice</t>
  </si>
  <si>
    <t>itemPriceLine7_quantityPricing</t>
  </si>
  <si>
    <t>itemPriceLine8_itemPriceTypeRef</t>
  </si>
  <si>
    <t>itemPriceLine8_itemPrice</t>
  </si>
  <si>
    <t>itemPriceLine8_quantityPricing</t>
  </si>
  <si>
    <t>itemPriceLine9_itemPriceTypeRef</t>
  </si>
  <si>
    <t>itemPriceLine9_itemPrice</t>
  </si>
  <si>
    <t>itemPriceLine9_quantityPricing</t>
  </si>
  <si>
    <t>itemPriceLine10_itemPriceTypeRef</t>
  </si>
  <si>
    <t>itemPriceLine10_itemPrice</t>
  </si>
  <si>
    <t>itemPriceLine10_quantityPricing</t>
  </si>
  <si>
    <t>itemPriceLine11_itemPriceTypeRef</t>
  </si>
  <si>
    <t>itemPriceLine11_itemPrice</t>
  </si>
  <si>
    <t>itemPriceLine11_quantityPricing</t>
  </si>
  <si>
    <t>itemPriceLine12_itemPriceTypeRef</t>
  </si>
  <si>
    <t>itemPriceLine12_itemPrice</t>
  </si>
  <si>
    <t>itemPriceLine12_quantityPricing</t>
  </si>
  <si>
    <t>itemPriceLine13_itemPriceTypeRef</t>
  </si>
  <si>
    <t>itemPriceLine13_itemPrice</t>
  </si>
  <si>
    <t>itemPriceLine13_quantityPricing</t>
  </si>
  <si>
    <t>itemPriceLine14_itemPriceTypeRef</t>
  </si>
  <si>
    <t>itemPriceLine14_itemPrice</t>
  </si>
  <si>
    <t>itemPriceLine14_quantityPricing</t>
  </si>
  <si>
    <t>itemPriceLine15_itemPriceTypeRef</t>
  </si>
  <si>
    <t>itemPriceLine15_itemPrice</t>
  </si>
  <si>
    <t>itemPriceLine15_quantityPricing</t>
  </si>
  <si>
    <t>itemPriceLine16_itemPriceTypeRef</t>
  </si>
  <si>
    <t>itemPriceLine16_itemPrice</t>
  </si>
  <si>
    <t>itemPriceLine16_quantityPricing</t>
  </si>
  <si>
    <t>itemPriceLine17_itemPriceTypeRef</t>
  </si>
  <si>
    <t>itemPriceLine17_itemPrice</t>
  </si>
  <si>
    <t>itemPriceLine17_quantityPricing</t>
  </si>
  <si>
    <t>itemPriceLine18_itemPriceTypeRef</t>
  </si>
  <si>
    <t>itemPriceLine18_itemPrice</t>
  </si>
  <si>
    <t>itemPriceLine18_quantityPricing</t>
  </si>
  <si>
    <t>itemPriceLine19_itemPriceTypeRef</t>
  </si>
  <si>
    <t>itemPriceLine19_itemPrice</t>
  </si>
  <si>
    <t>itemPriceLine19_quantityPricing</t>
  </si>
  <si>
    <t>itemPriceLine20_itemPriceTypeRef</t>
  </si>
  <si>
    <t>itemPriceLine20_itemPrice</t>
  </si>
  <si>
    <t>itemPriceLine20_quantityPricing</t>
  </si>
  <si>
    <t>itemPriceLine21_itemPriceTypeRef</t>
  </si>
  <si>
    <t>itemPriceLine21_itemPrice</t>
  </si>
  <si>
    <t>itemPriceLine21_quantityPricing</t>
  </si>
  <si>
    <r>
      <t>SALES/PRICING</t>
    </r>
    <r>
      <rPr>
        <b/>
        <sz val="10"/>
        <rFont val="Arial"/>
        <family val="2"/>
      </rPr>
      <t xml:space="preserve">
Enter the Name of the Price Level which this item is to be sold.
This must be setup in </t>
    </r>
    <r>
      <rPr>
        <b/>
        <u/>
        <sz val="10"/>
        <rFont val="Arial"/>
        <family val="2"/>
      </rPr>
      <t>Setup &gt; Company &gt; Accounting Lists &gt; Price Level</t>
    </r>
    <r>
      <rPr>
        <b/>
        <sz val="10"/>
        <rFont val="Arial"/>
        <family val="2"/>
      </rPr>
      <t xml:space="preserve"> prior to import.</t>
    </r>
  </si>
  <si>
    <r>
      <t>SALES/PRICING</t>
    </r>
    <r>
      <rPr>
        <b/>
        <sz val="10"/>
        <rFont val="Arial"/>
        <family val="2"/>
      </rPr>
      <t xml:space="preserve">
Enter the relevant price for this item at this Price Level</t>
    </r>
  </si>
  <si>
    <r>
      <t>SALES/PRICING</t>
    </r>
    <r>
      <rPr>
        <b/>
        <sz val="10"/>
        <color indexed="10"/>
        <rFont val="Arial"/>
        <family val="2"/>
      </rPr>
      <t xml:space="preserve">
</t>
    </r>
    <r>
      <rPr>
        <b/>
        <sz val="10"/>
        <rFont val="Arial"/>
        <family val="2"/>
      </rPr>
      <t xml:space="preserve">
Enter the number of items required for this item at this Price Level</t>
    </r>
  </si>
  <si>
    <r>
      <t>SALES/PRICING</t>
    </r>
    <r>
      <rPr>
        <b/>
        <sz val="10"/>
        <color indexed="10"/>
        <rFont val="Arial"/>
        <family val="2"/>
      </rPr>
      <t xml:space="preserve">
</t>
    </r>
    <r>
      <rPr>
        <b/>
        <sz val="10"/>
        <rFont val="Arial"/>
        <family val="2"/>
      </rPr>
      <t xml:space="preserve">
Enter the number of items required for this item at this Price Level </t>
    </r>
  </si>
  <si>
    <t>BDI Price</t>
  </si>
  <si>
    <t>BlackHawk Price</t>
  </si>
  <si>
    <t>Walmart Price</t>
  </si>
  <si>
    <t/>
  </si>
  <si>
    <t>custitem_usas_purchased</t>
  </si>
  <si>
    <t>Purchased Only</t>
  </si>
  <si>
    <t>custitem_financial_taxonomy_2</t>
  </si>
  <si>
    <t>Financial Taxonomy 2</t>
  </si>
  <si>
    <t>12010 Inventory : Materials</t>
  </si>
  <si>
    <t>40000 Gross Sales</t>
  </si>
  <si>
    <t>50000 Cost of Goods Sold</t>
  </si>
  <si>
    <t>Pass Through</t>
  </si>
  <si>
    <t>Base Price</t>
  </si>
  <si>
    <t>Variant Price</t>
  </si>
  <si>
    <t>Grainger Price</t>
  </si>
  <si>
    <t>Zoro Price</t>
  </si>
  <si>
    <t>MSC Supply Price</t>
  </si>
  <si>
    <t>Fastenal Price</t>
  </si>
  <si>
    <t>Global Industrial Price</t>
  </si>
  <si>
    <t>Acklands-Grainger Price</t>
  </si>
  <si>
    <t>Amazon Price</t>
  </si>
  <si>
    <t>Affiliated Distributors Price</t>
  </si>
  <si>
    <t>Turtle &amp; Hughes Price</t>
  </si>
  <si>
    <t>Motion Industries Price</t>
  </si>
  <si>
    <t>Kaman Distribution Group Price</t>
  </si>
  <si>
    <t>Misumi Price</t>
  </si>
  <si>
    <t>Applied MSS Price</t>
  </si>
  <si>
    <t>Indica Price</t>
  </si>
  <si>
    <t>EIS Price</t>
  </si>
  <si>
    <t>Endries Price</t>
  </si>
  <si>
    <t>Each</t>
  </si>
  <si>
    <t>Jinan ZYSL Bearing Co.,Ltd</t>
  </si>
  <si>
    <t>Supply Type</t>
  </si>
  <si>
    <t>supply_type</t>
  </si>
  <si>
    <t>Standard Cost</t>
  </si>
  <si>
    <t>standard_cost</t>
  </si>
  <si>
    <t>custitem_solinedefaultlocation</t>
  </si>
  <si>
    <t>SO Line Default Location</t>
  </si>
  <si>
    <t>REQUIRED</t>
  </si>
  <si>
    <t>OPTIONAL</t>
  </si>
  <si>
    <t>CONDITIONALLY REQUIRED</t>
  </si>
  <si>
    <t>2 = Sonwil | 5 = Dorothy</t>
  </si>
  <si>
    <t>Product ID</t>
  </si>
  <si>
    <t>Product Description</t>
  </si>
  <si>
    <t>Each, Roll, or Set</t>
  </si>
  <si>
    <t>ALWAYS '1'</t>
  </si>
  <si>
    <t>ALWAYS "TRUE"</t>
  </si>
  <si>
    <t>ALWAYS "Other"</t>
  </si>
  <si>
    <t>ALWAYS "Standard"</t>
  </si>
  <si>
    <t>ALWAYS "Material"</t>
  </si>
  <si>
    <t>ALWAYS "Cumulative ATP with Look Ahead"</t>
  </si>
  <si>
    <t>ALWAYS "Reorder Point"</t>
  </si>
  <si>
    <t>ALWAYS "FALSE"</t>
  </si>
  <si>
    <t>ALWAYS '0'</t>
  </si>
  <si>
    <t>ALWAYS "50000 Cost of Goods Sold"</t>
  </si>
  <si>
    <t>ALWAYS "40000 Gross Sales"</t>
  </si>
  <si>
    <t>ALWAYS "12010 Inventory : Materials"</t>
  </si>
  <si>
    <t>ALWAYS "Taxable"</t>
  </si>
  <si>
    <t>ALWAYS "Production Ready"</t>
  </si>
  <si>
    <t>zcusItemStatus</t>
  </si>
  <si>
    <t>ZCUS Item Status</t>
  </si>
  <si>
    <t>"Pass Through" or "Converted"</t>
  </si>
  <si>
    <t>Taxonomy Level 1</t>
  </si>
  <si>
    <t>Taxonomy Level 2</t>
  </si>
  <si>
    <t>Plain, Acrylic Adhesive, or High Temp Adhesive</t>
  </si>
  <si>
    <t>TRUE = Passthrough | FALSE = Converted</t>
  </si>
  <si>
    <t>Supplier 1 Price</t>
  </si>
  <si>
    <t>ALWAYS "Purchase"</t>
  </si>
  <si>
    <t>ONLY PASS-THROUGH</t>
  </si>
  <si>
    <t xml:space="preserve"> Halsey Components </t>
  </si>
  <si>
    <t>Alan Lupton</t>
  </si>
  <si>
    <t>Lupton and Assocaites</t>
  </si>
  <si>
    <t>Jim Creech</t>
  </si>
  <si>
    <t xml:space="preserve">RC Turk </t>
  </si>
  <si>
    <t xml:space="preserve">Gary Smith </t>
  </si>
  <si>
    <t xml:space="preserve">GL Smith </t>
  </si>
  <si>
    <t>Gary H</t>
  </si>
  <si>
    <t>Solution Sales</t>
  </si>
  <si>
    <t>RJ Evans</t>
  </si>
  <si>
    <t>Midwest Conveying Solutions</t>
  </si>
  <si>
    <t xml:space="preserve">Harry Headt </t>
  </si>
  <si>
    <t>H&amp;H Sales</t>
  </si>
  <si>
    <t xml:space="preserve">Matt Callahan </t>
  </si>
  <si>
    <t>MJ Callahan Inc</t>
  </si>
  <si>
    <t>Lew Factor</t>
  </si>
  <si>
    <t xml:space="preserve">Factor Sales </t>
  </si>
  <si>
    <t xml:space="preserve">Chris Mallon </t>
  </si>
  <si>
    <t>VE Brackett Company</t>
  </si>
  <si>
    <t>Robert Webb</t>
  </si>
  <si>
    <t>RGW Sales Canada</t>
  </si>
  <si>
    <t xml:space="preserve">Dulin Erickson </t>
  </si>
  <si>
    <t>Erickson Systems</t>
  </si>
  <si>
    <t>Dell Todd</t>
  </si>
  <si>
    <t xml:space="preserve">Legacy Filters </t>
  </si>
  <si>
    <t>Hunter Gordon</t>
  </si>
  <si>
    <t xml:space="preserve">Champions Industrial </t>
  </si>
  <si>
    <t>John Golding</t>
  </si>
  <si>
    <t>Golding Sales</t>
  </si>
  <si>
    <t>JC Koch</t>
  </si>
  <si>
    <t>Stover Sensor Controls</t>
  </si>
  <si>
    <t>Tom Mongoven</t>
  </si>
  <si>
    <t>Advanced Sales LLC</t>
  </si>
  <si>
    <t>Jack LaCava</t>
  </si>
  <si>
    <t>LaCava Enterprises</t>
  </si>
  <si>
    <t>Mike Emmerichs</t>
  </si>
  <si>
    <t>Castings and More</t>
  </si>
  <si>
    <t>Paula larson</t>
  </si>
  <si>
    <t>Ltech Group LLC</t>
  </si>
  <si>
    <t>Jerry Scrocco</t>
  </si>
  <si>
    <t>Motion Tech LLC</t>
  </si>
  <si>
    <t>Paul LeMaitre</t>
  </si>
  <si>
    <t>Port Industrial Sales</t>
  </si>
  <si>
    <t xml:space="preserve">Jeff Bohlman </t>
  </si>
  <si>
    <t xml:space="preserve">Bohlman and Associates </t>
  </si>
  <si>
    <t>Paul Counts</t>
  </si>
  <si>
    <t>Counts and Associates</t>
  </si>
  <si>
    <t>Chris Berwanger and Lou Berwanger</t>
  </si>
  <si>
    <t>L.A  Berwanger and Co.</t>
  </si>
  <si>
    <t>Rohit Madaan</t>
  </si>
  <si>
    <t>Rohit</t>
  </si>
  <si>
    <t xml:space="preserve">Chris Pinkham and Brian Pinkham </t>
  </si>
  <si>
    <t>Dynaswine</t>
  </si>
  <si>
    <t>Cindi Williams</t>
  </si>
  <si>
    <t>Williams and Benson</t>
  </si>
  <si>
    <t xml:space="preserve">Mark Schneider and Peter Grimes </t>
  </si>
  <si>
    <t xml:space="preserve">Schneider and Associates </t>
  </si>
  <si>
    <t>Cheryl Lindstrom and Zack Lindstrom</t>
  </si>
  <si>
    <t>LMS Representatives</t>
  </si>
  <si>
    <t xml:space="preserve">Jim Finnegan </t>
  </si>
  <si>
    <t>J4 Sales</t>
  </si>
  <si>
    <t>Phil Couch</t>
  </si>
  <si>
    <t>Advanced Tech Industries</t>
  </si>
  <si>
    <t>Rep Fees</t>
  </si>
  <si>
    <t>9% Rebate</t>
  </si>
  <si>
    <t>Grainger</t>
  </si>
  <si>
    <t>MSC</t>
  </si>
  <si>
    <t>10% Rebate</t>
  </si>
  <si>
    <t>Fastenal</t>
  </si>
  <si>
    <t>4% Rebate</t>
  </si>
  <si>
    <t>Global Industrial</t>
  </si>
  <si>
    <t>1% Rebate</t>
  </si>
  <si>
    <t>McMaster-Carr</t>
  </si>
  <si>
    <r>
      <t xml:space="preserve">Distributor Rebates*
</t>
    </r>
    <r>
      <rPr>
        <b/>
        <sz val="9"/>
        <color theme="1"/>
        <rFont val="calibri"/>
        <family val="2"/>
        <scheme val="minor"/>
      </rPr>
      <t>(*Treat as Rep Fees)</t>
    </r>
  </si>
  <si>
    <t>Sinco Steel (Faye)</t>
  </si>
  <si>
    <t>Todo (Ivy)</t>
  </si>
  <si>
    <t>Beluns (Alice)</t>
  </si>
  <si>
    <t>Great Wall (Sara)</t>
  </si>
  <si>
    <r>
      <t xml:space="preserve">Additional Dscount Assumptions*
</t>
    </r>
    <r>
      <rPr>
        <b/>
        <sz val="9"/>
        <color theme="1"/>
        <rFont val="calibri"/>
        <family val="2"/>
        <scheme val="minor"/>
      </rPr>
      <t>(*Apply discount to the Tariff)</t>
    </r>
  </si>
  <si>
    <t>Assume 0%</t>
  </si>
  <si>
    <t>Domestic</t>
  </si>
  <si>
    <t>Assume 5%</t>
  </si>
  <si>
    <t>Import Non-China</t>
  </si>
  <si>
    <t>Assume 30% for tariff</t>
  </si>
  <si>
    <t>China</t>
  </si>
  <si>
    <t>Tariff Assumptions</t>
  </si>
  <si>
    <t>Assume 20% for shipping</t>
  </si>
  <si>
    <t>"Bulky" Parts / Raw Materials</t>
  </si>
  <si>
    <t>Assume 10% for shipping</t>
  </si>
  <si>
    <t>"Small" Parts</t>
  </si>
  <si>
    <t>Fusheng (David Chao)</t>
  </si>
  <si>
    <t>Assume 0 for shipping</t>
  </si>
  <si>
    <t>Xiamen Best Seal (Raven)</t>
  </si>
  <si>
    <t>Shipping Assumptions</t>
  </si>
  <si>
    <t>All Yellow Highlighted cells require an input. Start with the "Assumptions" portion of the calculator. Then move onto the QTY, Supplier Price and True Target Margin Cells.  Once the Yellow Highlighted cells have been filled out the remaining cells should be populated.</t>
  </si>
  <si>
    <t>Yellow Highlights</t>
  </si>
  <si>
    <t>Below are instructions as to how to utilize the pricing calculator as well as some assumptions to make depending on where the quote/product will be coming from.</t>
  </si>
  <si>
    <t>Instructions and Assumptions</t>
  </si>
  <si>
    <t>True Profit</t>
  </si>
  <si>
    <t>Sales Total</t>
  </si>
  <si>
    <t>QTY</t>
  </si>
  <si>
    <t>Part Number</t>
  </si>
  <si>
    <t xml:space="preserve">Profit Total </t>
  </si>
  <si>
    <t>Margin</t>
  </si>
  <si>
    <t>Rep Fee / Rebate</t>
  </si>
  <si>
    <t>Shipping</t>
  </si>
  <si>
    <t>Tariff</t>
  </si>
  <si>
    <t>Summary</t>
  </si>
  <si>
    <t>Assumptions</t>
  </si>
  <si>
    <t>Other</t>
  </si>
  <si>
    <t>Production Ready</t>
  </si>
  <si>
    <t>Custom</t>
  </si>
  <si>
    <t>Materials</t>
  </si>
  <si>
    <t>9500SA Silicone/Acrylic Tape</t>
  </si>
  <si>
    <t>Acrylic Plastic</t>
  </si>
  <si>
    <t>Adhesive</t>
  </si>
  <si>
    <t>Air Purifier</t>
  </si>
  <si>
    <t>Aluminum</t>
  </si>
  <si>
    <t>Antistatic Acetal Copolymer Plastic Rockwell M80</t>
  </si>
  <si>
    <t>Antistatic Cast Acrylic Plastic Rockwell M100</t>
  </si>
  <si>
    <t>Antistatic Polycarbonate Plastic Rockwell R120</t>
  </si>
  <si>
    <t>Antistatic UHMW Polyethylene Plastic 60D</t>
  </si>
  <si>
    <t>Aramid Compression Packing</t>
  </si>
  <si>
    <t>Aramid Fiber/Buna-N Rubber</t>
  </si>
  <si>
    <t>Aramid Fiber/EPDM Rubber</t>
  </si>
  <si>
    <t>Aramid Fiber/Neoprene Rubber</t>
  </si>
  <si>
    <t>Aramid Fiber/SBR Rubber</t>
  </si>
  <si>
    <t>Aramid with Buna-N Binder</t>
  </si>
  <si>
    <t>Aramid with EPDM Binder</t>
  </si>
  <si>
    <t>Aramid with Neoprene Binder</t>
  </si>
  <si>
    <t>Aramid with SBR Binder</t>
  </si>
  <si>
    <t>Buna-N Rubber</t>
  </si>
  <si>
    <t>Carbon Fiber Compression Packing</t>
  </si>
  <si>
    <t>Cast Acrylic Plastic</t>
  </si>
  <si>
    <t>CE Garolite</t>
  </si>
  <si>
    <t>Ceramic Fiber Round Rope Edge Seal</t>
  </si>
  <si>
    <t>Ceramic Fiber Square Rope Edge Seal</t>
  </si>
  <si>
    <t>Clear Acrylic Lighting Panel - Cracked Ice Pattern</t>
  </si>
  <si>
    <t>Clear Acrylic Lighting Panel - Prismatic Pattern</t>
  </si>
  <si>
    <t>Clear Polycarbonate Lighting Panel - Cracked Ice Pattern</t>
  </si>
  <si>
    <t>Clear Polycarbonate Lighting Panel - Prismatic Pattern</t>
  </si>
  <si>
    <t>Compressible ePTFE Plastic</t>
  </si>
  <si>
    <t>Compressible ePTFE Plastic Sheet</t>
  </si>
  <si>
    <t>Compressible ePTFE Tape with Adhesive</t>
  </si>
  <si>
    <t>Compressible Graphite Sheet - 1/16" Thick x 36" Wide</t>
  </si>
  <si>
    <t>Compressible Graphite Sheet - 1/8" Thick x 36" Wide</t>
  </si>
  <si>
    <t>Cork Sheet</t>
  </si>
  <si>
    <t>D.O.T. Nylon 12 Rubber 68D</t>
  </si>
  <si>
    <t>Divider</t>
  </si>
  <si>
    <t>Double-Sided Tape for Slotted Support Bracket - 1" Wide</t>
  </si>
  <si>
    <t>Economy Grade Neoprene Rubber 40A</t>
  </si>
  <si>
    <t>Economy Grade Neoprene Rubber 50A</t>
  </si>
  <si>
    <t>Economy Grade Neoprene Rubber 60A</t>
  </si>
  <si>
    <t>Economy Grade Neoprene Rubber 70A</t>
  </si>
  <si>
    <t>EPDM Rubber</t>
  </si>
  <si>
    <t>EPDM Rubber 60A</t>
  </si>
  <si>
    <t>EPDM Rubber 70A</t>
  </si>
  <si>
    <t>ePTFE Compression Packing</t>
  </si>
  <si>
    <t>Expanded Graphite Compression Packing</t>
  </si>
  <si>
    <t>Fabric Reinforced Neoprene Rubber</t>
  </si>
  <si>
    <t>Fabric-Reinforced Buna-N Rubber 60A</t>
  </si>
  <si>
    <t>Fabric-Reinforced Neoprene Rubber 60A</t>
  </si>
  <si>
    <t>Fabric-Reinforced Neoprene Rubber 70A</t>
  </si>
  <si>
    <t>Fabric-Reinforced SBR Rubber 75A</t>
  </si>
  <si>
    <t>Fabric-Reinforced Silicone Rubber 70A</t>
  </si>
  <si>
    <t>Fiberglass Fiber Round Rope Edge Seal</t>
  </si>
  <si>
    <t>Fiberglass Fiber Round Rope Edge Seal - 5/16" Wide</t>
  </si>
  <si>
    <t>Fiberglass Fiber Square Rope Edge Seal</t>
  </si>
  <si>
    <t>Fire Retardant Neoprene Foam 3 psi</t>
  </si>
  <si>
    <t>Fire Retardant Silicone Foam 10 psi</t>
  </si>
  <si>
    <t>Foil Reinforced Compressible Graphite</t>
  </si>
  <si>
    <t>Food Grade Buna-N Rubber 50A</t>
  </si>
  <si>
    <t>Food Grade Buna-N Rubber 60A</t>
  </si>
  <si>
    <t>Food Grade Buna-N Rubber 70A</t>
  </si>
  <si>
    <t>Food Grade FEP Rubber 55D</t>
  </si>
  <si>
    <t>Food Grade Neoprene Rubber</t>
  </si>
  <si>
    <t>Food Grade Neoprene Rubber 60A</t>
  </si>
  <si>
    <t>Food Grade Polyethylene Rubber 45D</t>
  </si>
  <si>
    <t>Food Grade Polyurethane Rubber 90A</t>
  </si>
  <si>
    <t>Food Grade PVC Rubber 65A</t>
  </si>
  <si>
    <t>Food Grade PVC Rubber 70A</t>
  </si>
  <si>
    <t>Food Grade Silicone Foam 9 psi</t>
  </si>
  <si>
    <t>Food Grade Silicone Rubber</t>
  </si>
  <si>
    <t>Food Grade Silicone Rubber 40A</t>
  </si>
  <si>
    <t>Food Grade Silicone Rubber 50A</t>
  </si>
  <si>
    <t>Food Grade Silicone Rubber 60A</t>
  </si>
  <si>
    <t>Food Grade Silicone Rubber 70A</t>
  </si>
  <si>
    <t>Food Grade Teflon PTFE Rubber 65D</t>
  </si>
  <si>
    <t>Fuel and Lubricant PVC Rubber 55A</t>
  </si>
  <si>
    <t>G-10 Garolite</t>
  </si>
  <si>
    <t>G-10/FR4 Garolite</t>
  </si>
  <si>
    <t>G-11 Garolite</t>
  </si>
  <si>
    <t>Garolite CE</t>
  </si>
  <si>
    <t>Garolite G-10</t>
  </si>
  <si>
    <t>Garolite G-10/FR4</t>
  </si>
  <si>
    <t>Garolite G-11</t>
  </si>
  <si>
    <t>Garolite G-7</t>
  </si>
  <si>
    <t>Garolite G-9</t>
  </si>
  <si>
    <t>Garolite LE</t>
  </si>
  <si>
    <t>Garolite XX</t>
  </si>
  <si>
    <t>Glass-Filled Nylon 6/6 Plastic Rockwell M88</t>
  </si>
  <si>
    <t>Glass-Filled PTFE Plastic 55D</t>
  </si>
  <si>
    <t>Glass-Filled PTFE Plastic 60D</t>
  </si>
  <si>
    <t>Glass-Filled UHMW Polyethylene Plastic 65D</t>
  </si>
  <si>
    <t>Grade F1 Felt</t>
  </si>
  <si>
    <t>Grade F13 Felt</t>
  </si>
  <si>
    <t>Grade F3 Felt</t>
  </si>
  <si>
    <t>Grade F5 Felt</t>
  </si>
  <si>
    <t>Graphite</t>
  </si>
  <si>
    <t>Graphite Rod</t>
  </si>
  <si>
    <t>Graphite-Wire Compression Packing</t>
  </si>
  <si>
    <t>High Strength Buna-N Rubber 40A</t>
  </si>
  <si>
    <t>High Strength Buna-N Rubber 50A</t>
  </si>
  <si>
    <t>High Strength Buna-N Rubber 60A</t>
  </si>
  <si>
    <t>High Strength Buna-N Rubber 70A</t>
  </si>
  <si>
    <t>High Strength Buna-N Rubber 80A</t>
  </si>
  <si>
    <t>High Strength Buna-N Rubber 90A</t>
  </si>
  <si>
    <t>High Strength EPDM Rubber 60A</t>
  </si>
  <si>
    <t>High Strength Neoprene Rubber 30A</t>
  </si>
  <si>
    <t>High Strength Neoprene Rubber 40A</t>
  </si>
  <si>
    <t>High Strength Neoprene Rubber 50A</t>
  </si>
  <si>
    <t>High Strength Neoprene Rubber 60A</t>
  </si>
  <si>
    <t>High Strength Neoprene Rubber 70A</t>
  </si>
  <si>
    <t>High Strength Neoprene Rubber 80A</t>
  </si>
  <si>
    <t>High Strength Neoprene Rubber 90A</t>
  </si>
  <si>
    <t>High Strength Polyurethane Rubber 60A</t>
  </si>
  <si>
    <t>High Strength SBR Rubber 60A</t>
  </si>
  <si>
    <t>High Temp Silicone Adhesive - 14"W</t>
  </si>
  <si>
    <t>High Temp Silicone Adhesive - 40"W</t>
  </si>
  <si>
    <t>In Finale not in Master</t>
  </si>
  <si>
    <t>Laboratory PVC Rubber 55A</t>
  </si>
  <si>
    <t>LE Garolite</t>
  </si>
  <si>
    <t>Low Compression Set Polyurethane Foam 6 psi</t>
  </si>
  <si>
    <t>Low Compression Set Silicone Foam 9 psi</t>
  </si>
  <si>
    <t>LSE Acrylic Adhesive</t>
  </si>
  <si>
    <t>Marine HDPE Plastic 64D</t>
  </si>
  <si>
    <t>MDS-Filled Nylon 6/6 Plastic Rockwell R110</t>
  </si>
  <si>
    <t>Medical Silicone Rubber 70A</t>
  </si>
  <si>
    <t>Metal Detectable Buna-N Rubber</t>
  </si>
  <si>
    <t>Metal Detectable Buna-N Rubber 60A</t>
  </si>
  <si>
    <t>Metal Detectable Silicone Rubber</t>
  </si>
  <si>
    <t>Metal Detectable Silicone Rubber 60A</t>
  </si>
  <si>
    <t>Metal Detectable Silicone Rubber 70A</t>
  </si>
  <si>
    <t>Military Grade Buna-N Rubber 40A</t>
  </si>
  <si>
    <t>Military Grade Buna-N Rubber 50A</t>
  </si>
  <si>
    <t>Military Grade Buna-N Rubber 60A</t>
  </si>
  <si>
    <t>Military Grade Buna-N Rubber 70A</t>
  </si>
  <si>
    <t>Military Grade Buna-N Rubber 80A</t>
  </si>
  <si>
    <t>Military Grade EPDM Rubber 40A</t>
  </si>
  <si>
    <t>Military Grade EPDM Rubber 50A</t>
  </si>
  <si>
    <t>Military Grade EPDM Rubber 60A</t>
  </si>
  <si>
    <t>Military Grade EPDM Rubber 70A</t>
  </si>
  <si>
    <t>Military Grade EPDM Rubber 80A</t>
  </si>
  <si>
    <t>Military Grade EPDM Rubber 85A</t>
  </si>
  <si>
    <t>Military Grade Neoprene Rubber 30A</t>
  </si>
  <si>
    <t>Military Grade Neoprene Rubber 40A</t>
  </si>
  <si>
    <t>Military Grade Neoprene Rubber 50A</t>
  </si>
  <si>
    <t>Military Grade Neoprene Rubber 60A</t>
  </si>
  <si>
    <t>Military Grade Neoprene Rubber 70A</t>
  </si>
  <si>
    <t>Military Grade Neoprene Rubber 80A</t>
  </si>
  <si>
    <t>Natural Rubber 40A</t>
  </si>
  <si>
    <t>Neoprene Foam</t>
  </si>
  <si>
    <t>Neoprene Foam 13psi</t>
  </si>
  <si>
    <t>Neoprene Rubber</t>
  </si>
  <si>
    <t>Neoprene Rubber 70A</t>
  </si>
  <si>
    <t>Oil-Filled UHMW Polyethylene Plastic 65D</t>
  </si>
  <si>
    <t>Opal Acrylic Lighting Panel - Prismatic Pattern</t>
  </si>
  <si>
    <t>Opal Polycarbonate Lighting Panel - Prismatic Pattern</t>
  </si>
  <si>
    <t>Opal Polycarbonate Lighting Panel - Smooth Pattern</t>
  </si>
  <si>
    <t>Pipe Fitting</t>
  </si>
  <si>
    <t>Plexi Glass</t>
  </si>
  <si>
    <t>Polycarbonate Plastic</t>
  </si>
  <si>
    <t>Polyester Plastic Film</t>
  </si>
  <si>
    <t>PTFE Compression Packing</t>
  </si>
  <si>
    <t>PTFE Plastic</t>
  </si>
  <si>
    <t>SBR Rubber</t>
  </si>
  <si>
    <t>SBR Rubber 70A</t>
  </si>
  <si>
    <t>Scratch &amp; UV Resistant Polycarbonate Plastic Rockwell R120</t>
  </si>
  <si>
    <t>Silicone Foam 70A</t>
  </si>
  <si>
    <t>Silicone Rubber 70A</t>
  </si>
  <si>
    <t>Standard ABS Plastic Rockwell R105</t>
  </si>
  <si>
    <t>Standard Acetal Copolymer Plastic Rockwell M90</t>
  </si>
  <si>
    <t>Standard Acetal Homopolymer (Delrin®) Plastic Rockwell M94</t>
  </si>
  <si>
    <t>Standard Acrylic Adhesive - 40"W</t>
  </si>
  <si>
    <t>Standard Acrylic Adhesive-14"W</t>
  </si>
  <si>
    <t>Standard Buna-N Foam 3 psi</t>
  </si>
  <si>
    <t>Standard Buna-N Foam 7 psi</t>
  </si>
  <si>
    <t>Standard Buna-N Rubber 40A</t>
  </si>
  <si>
    <t>Standard Buna-N Rubber 50A</t>
  </si>
  <si>
    <t>Standard Buna-N Rubber 60A</t>
  </si>
  <si>
    <t>Standard Buna-N Rubber 70A</t>
  </si>
  <si>
    <t>Standard Buna-N/PVC Foam 0.4 psi</t>
  </si>
  <si>
    <t>Standard Butyl Rubber 60A</t>
  </si>
  <si>
    <t>Standard Cast Acrylic Plastic Rockwell M95</t>
  </si>
  <si>
    <t>Standard CPVC Plastic Rockwell R115</t>
  </si>
  <si>
    <t>Standard EPDM Foam 1 psi</t>
  </si>
  <si>
    <t>Standard EPDM Foam 11 psi</t>
  </si>
  <si>
    <t>Standard EPDM Foam 4 psi</t>
  </si>
  <si>
    <t>Standard EPDM Foam 7 psi</t>
  </si>
  <si>
    <t>Standard EPDM Rubber 60A</t>
  </si>
  <si>
    <t>Standard EPDM Rubber 70A</t>
  </si>
  <si>
    <t>Standard EPDM Rubber Rubber 60A</t>
  </si>
  <si>
    <t>Standard EPDM Rubber Rubber 75A</t>
  </si>
  <si>
    <t>Standard EVA Foam 17 psi</t>
  </si>
  <si>
    <t>Standard HDPE Plastic 60D</t>
  </si>
  <si>
    <t>Standard Hypalon Rubber 60A</t>
  </si>
  <si>
    <t>Standard Hypalon Rubber 70A</t>
  </si>
  <si>
    <t>Standard Latex Rubber 40A</t>
  </si>
  <si>
    <t>Standard Natural Rubber Rubber 40A</t>
  </si>
  <si>
    <t>Standard Neoprene Foam 13 psi</t>
  </si>
  <si>
    <t>Standard Neoprene Foam 20 psi</t>
  </si>
  <si>
    <t>Standard Neoprene Rubber 30A</t>
  </si>
  <si>
    <t>Standard Neoprene Rubber 40A</t>
  </si>
  <si>
    <t>Standard Neoprene Rubber 50A</t>
  </si>
  <si>
    <t>Standard Neoprene Rubber 60A</t>
  </si>
  <si>
    <t>Standard Neoprene Rubber 70A</t>
  </si>
  <si>
    <t>Standard Nylon 6/12 Plastic Rockwell R115</t>
  </si>
  <si>
    <t>Standard Nylon 6/6 Plastic Rockwell M85</t>
  </si>
  <si>
    <t>Standard Nylon Rubber 70D</t>
  </si>
  <si>
    <t>Standard PEEK Plastic Rockwell M100</t>
  </si>
  <si>
    <t>Standard PEI (ULTEM™) Plastic Rockwell M109</t>
  </si>
  <si>
    <t>Standard PETG Plastic Rockwell R105</t>
  </si>
  <si>
    <t>Standard Polycarbonate Plastic 90 Degree Angle</t>
  </si>
  <si>
    <t>Standard Polycarbonate Plastic Rockwell R120</t>
  </si>
  <si>
    <t>Standard Polycarbonate Rockwell R120</t>
  </si>
  <si>
    <t>Standard Polyethylene Foam 7 psi</t>
  </si>
  <si>
    <t>Standard Polyimide Plastic</t>
  </si>
  <si>
    <t>Standard Polypropylene Plastic Rockwell M85</t>
  </si>
  <si>
    <t>Standard Polystyrene Plastic Rockwell R70</t>
  </si>
  <si>
    <t>Standard Polyurethane Foam 0.9 psi</t>
  </si>
  <si>
    <t>Standard PTFE Plastic</t>
  </si>
  <si>
    <t>Standard PTFE Plastic 55D</t>
  </si>
  <si>
    <t>Standard PVC Plastic 90 Degree Angle</t>
  </si>
  <si>
    <t>Standard PVC Rockwell R115</t>
  </si>
  <si>
    <t>Standard PVC Rubber 65A</t>
  </si>
  <si>
    <t>Standard PVC Type 1 Plastic Rockwell R115</t>
  </si>
  <si>
    <t>Standard PVC Type 2 Plastic Rockwell R110</t>
  </si>
  <si>
    <t>Standard Recycled Rubber Rubber 60A</t>
  </si>
  <si>
    <t>Standard Santoprene Rubber 55A</t>
  </si>
  <si>
    <t>Standard SBR Rubber 60A</t>
  </si>
  <si>
    <t>Standard SBR Rubber 75A</t>
  </si>
  <si>
    <t>Standard Silicone Rubber 50A</t>
  </si>
  <si>
    <t>Standard Silicone Rubber 70A</t>
  </si>
  <si>
    <t>Standard Silicone Foam 10 psi</t>
  </si>
  <si>
    <t>Standard Silicone Foam 11 psi</t>
  </si>
  <si>
    <t>Standard Silicone Foam 17 psi</t>
  </si>
  <si>
    <t>Standard Silicone Foam 7 psi</t>
  </si>
  <si>
    <t>Standard Silicone Rubber 30A</t>
  </si>
  <si>
    <t>Standard UHMW Polyethylene Plastic 70D</t>
  </si>
  <si>
    <t>Standard Vinyl Rubber 70A</t>
  </si>
  <si>
    <t>Standard Viton Foam 7 psi</t>
  </si>
  <si>
    <t>Standard Viton Rubber 70A</t>
  </si>
  <si>
    <t>Standard Viton Rubber 75A</t>
  </si>
  <si>
    <t>Twill Weave Carbon Fiber</t>
  </si>
  <si>
    <t>Ultra Strength Buna-N Rubber 50A</t>
  </si>
  <si>
    <t>Ultra Strength Buna-N Rubber 60A</t>
  </si>
  <si>
    <t>Ultra Strength Buna-N Rubber 70A</t>
  </si>
  <si>
    <t>Ultra Strength Neoprene Rubber 50A</t>
  </si>
  <si>
    <t>Ultra Strength Neoprene Rubber 60A</t>
  </si>
  <si>
    <t>Ultra Strength Neoprene Rubber 70A</t>
  </si>
  <si>
    <t>Unidirectional Carbon Fiber</t>
  </si>
  <si>
    <t>XX Garolite</t>
  </si>
  <si>
    <t>Air Cleaners</t>
  </si>
  <si>
    <t>Air Purifiers</t>
  </si>
  <si>
    <t>Bearings</t>
  </si>
  <si>
    <t>Bolts</t>
  </si>
  <si>
    <t>Cam and Groove Gaskets</t>
  </si>
  <si>
    <t>Composites</t>
  </si>
  <si>
    <t>Compression Packing</t>
  </si>
  <si>
    <t>Cord Stock</t>
  </si>
  <si>
    <t>Dynamic Seals</t>
  </si>
  <si>
    <t>Edge Trim</t>
  </si>
  <si>
    <t>Face Masks and Shields</t>
  </si>
  <si>
    <t>Felt</t>
  </si>
  <si>
    <t>Flange Gaskets &amp; Gasket Material</t>
  </si>
  <si>
    <t>Foam</t>
  </si>
  <si>
    <t>Freezers</t>
  </si>
  <si>
    <t>Grommets</t>
  </si>
  <si>
    <t>Hand Wash Stations</t>
  </si>
  <si>
    <t>High Temperature Adhesive</t>
  </si>
  <si>
    <t>Hose Fittings</t>
  </si>
  <si>
    <t>Lighting Panels</t>
  </si>
  <si>
    <t>O-Ring Kits</t>
  </si>
  <si>
    <t>O-Rings</t>
  </si>
  <si>
    <t>Pipe &amp; Fittings</t>
  </si>
  <si>
    <t>Plastic Dividers</t>
  </si>
  <si>
    <t>Plastics</t>
  </si>
  <si>
    <t>Plexiglass</t>
  </si>
  <si>
    <t>Rope Edge Seal</t>
  </si>
  <si>
    <t>Rubber</t>
  </si>
  <si>
    <t>Sanitary Gaskets</t>
  </si>
  <si>
    <t>Screws</t>
  </si>
  <si>
    <t>Seal Lubricants and Mold Release</t>
  </si>
  <si>
    <t>Spacers and Standoffs</t>
  </si>
  <si>
    <t>Standard Acrylic Adhesive</t>
  </si>
  <si>
    <t>Tent</t>
  </si>
  <si>
    <t>Touch-Free Water Bottle Filling Station</t>
  </si>
  <si>
    <t>Tube Fittings</t>
  </si>
  <si>
    <t>Tubing</t>
  </si>
  <si>
    <t>UV Disinfection Lights</t>
  </si>
  <si>
    <t>Valves</t>
  </si>
  <si>
    <t>Washers</t>
  </si>
  <si>
    <t xml:space="preserve">Financial Taxonomy </t>
  </si>
  <si>
    <t>Air Purifier Filters</t>
  </si>
  <si>
    <t>Cam and Groove Fittings</t>
  </si>
  <si>
    <t>Clear Plastics</t>
  </si>
  <si>
    <t>Flange Gaskets and Gasket Material</t>
  </si>
  <si>
    <t>Mounted Water Bottle Filling Station</t>
  </si>
  <si>
    <t>Plastic Welding</t>
  </si>
  <si>
    <t>Retrofit Water Bottle Filling Station</t>
  </si>
  <si>
    <t>Tents</t>
  </si>
  <si>
    <t>Washer</t>
  </si>
  <si>
    <t>Suppliers</t>
  </si>
  <si>
    <t>-Accountant-</t>
  </si>
  <si>
    <t>3 HTi, LLC</t>
  </si>
  <si>
    <t>A.N. Deringer</t>
  </si>
  <si>
    <t>Accurate Products</t>
  </si>
  <si>
    <t>Acorn Engineering (div of Morris Group)</t>
  </si>
  <si>
    <t>AdvantageTrucks.com, LLC</t>
  </si>
  <si>
    <t>Airways Freight</t>
  </si>
  <si>
    <t>Aistar</t>
  </si>
  <si>
    <t>All-Tech Vendor to Thornapple</t>
  </si>
  <si>
    <t>All-Tech Vendor to USA Sealing</t>
  </si>
  <si>
    <t>Alro</t>
  </si>
  <si>
    <t>Alro Steel Corporation</t>
  </si>
  <si>
    <t>American Tent</t>
  </si>
  <si>
    <t>APG</t>
  </si>
  <si>
    <t>ArcBest</t>
  </si>
  <si>
    <t>ARDL (Lab)</t>
  </si>
  <si>
    <t>Arrow Cryogenics, Inc</t>
  </si>
  <si>
    <t>Atlas Fibre</t>
  </si>
  <si>
    <t>Austin Air Systems Limited</t>
  </si>
  <si>
    <t>Automated Packaging Systems</t>
  </si>
  <si>
    <t>AverickMedia</t>
  </si>
  <si>
    <t>AXYZ Automation Group</t>
  </si>
  <si>
    <t>Barnes &amp; Thornburg LLP</t>
  </si>
  <si>
    <t>Berry Specialty Tapes LLC</t>
  </si>
  <si>
    <t>Bowman International Ltd.</t>
  </si>
  <si>
    <t>Bright Rubber Plastic</t>
  </si>
  <si>
    <t>BRP Manufacturing Company</t>
  </si>
  <si>
    <t>Buffalo Lift Trucks, Inc.</t>
  </si>
  <si>
    <t>Cangzhou Aistar Metalwares Co., Ltd.</t>
  </si>
  <si>
    <t>Cangzhou Ruyi Fluid Technology Co., Ltd</t>
  </si>
  <si>
    <t>Carrier Terminal Services Inc</t>
  </si>
  <si>
    <t>CDM Case Manufacturing</t>
  </si>
  <si>
    <t>Champions Industrial</t>
  </si>
  <si>
    <t>Chelus Herdzik Speyer &amp; Monte PC</t>
  </si>
  <si>
    <t>Chemcast</t>
  </si>
  <si>
    <t>Chief Rubber (QingDao Liansheng Rubber Co., Ltd.)</t>
  </si>
  <si>
    <t>CHONGQING SINKRAU INDUSTRY CO.,LTD</t>
  </si>
  <si>
    <t>CHUBB Limited</t>
  </si>
  <si>
    <t>Clarence Wall and Ceiling, Inc.</t>
  </si>
  <si>
    <t>Clip Strip Corp</t>
  </si>
  <si>
    <t>Core Business Solutions, Inc.</t>
  </si>
  <si>
    <t>Coyote Logistics</t>
  </si>
  <si>
    <t>Creative Concepts USA</t>
  </si>
  <si>
    <t>Curbell Plastics, Inc.</t>
  </si>
  <si>
    <t>CureUV</t>
  </si>
  <si>
    <t>Custom Laser, Inc.</t>
  </si>
  <si>
    <t>Custom Seals Industry (China) Co.,Ltd</t>
  </si>
  <si>
    <t>D&amp;W Diesel, Inc.</t>
  </si>
  <si>
    <t>Dain, Torpy, Le Ray, Wiest &amp; Garner, P.C.</t>
  </si>
  <si>
    <t>Debbie, Inc.</t>
  </si>
  <si>
    <t>Deltek</t>
  </si>
  <si>
    <t>DF Blast</t>
  </si>
  <si>
    <t>Diversified Silicone Products</t>
  </si>
  <si>
    <t>DLA Piper LLP (US)</t>
  </si>
  <si>
    <t>Dongguan City Huashun Hardware Products</t>
  </si>
  <si>
    <t>Dongguan Juli FRP Products Co., Ltd.</t>
  </si>
  <si>
    <t>Duke Holzman Photiadis &amp; Gresens LLP</t>
  </si>
  <si>
    <t>E&amp;T Plastics</t>
  </si>
  <si>
    <t>Eagle Elastomer</t>
  </si>
  <si>
    <t>Eastcooler</t>
  </si>
  <si>
    <t>Eastman Machine</t>
  </si>
  <si>
    <t>Eriks</t>
  </si>
  <si>
    <t>eVanguard Solutions, Inc.</t>
  </si>
  <si>
    <t>Express Logistics</t>
  </si>
  <si>
    <t>F&amp;H Cleaning</t>
  </si>
  <si>
    <t>Ferguson Enterprises, LLC</t>
  </si>
  <si>
    <t>Filtration Manufacturing Inc.</t>
  </si>
  <si>
    <t>Fusheng Rubber Products Co., Ltd.</t>
  </si>
  <si>
    <t>Gapi USA</t>
  </si>
  <si>
    <t>Gapi USA Inc.</t>
  </si>
  <si>
    <t>GD Squared</t>
  </si>
  <si>
    <t>Gibson McAskill and Crosby</t>
  </si>
  <si>
    <t>Global O-Ring and Seal</t>
  </si>
  <si>
    <t>Goodwin Electric Corporation</t>
  </si>
  <si>
    <t>Goodwin Procter LLP</t>
  </si>
  <si>
    <t>Great Luck Inc.</t>
  </si>
  <si>
    <t>GreenTech Environmental</t>
  </si>
  <si>
    <t>Griswold</t>
  </si>
  <si>
    <t>Guangzhou Cheerfore Insulation Co., Ltd.</t>
  </si>
  <si>
    <t>Guangzhou Sunshine Furniture Co.,Ltd.</t>
  </si>
  <si>
    <t>Gunandong ZhiZhen</t>
  </si>
  <si>
    <t>Gunangdong ZhiZhen</t>
  </si>
  <si>
    <t>Haikuo Rubber and Plastic Products Co.</t>
  </si>
  <si>
    <t>Harbor Industries, Inc.</t>
  </si>
  <si>
    <t>Hardware Specialty</t>
  </si>
  <si>
    <t>Hasun Hardware Products Co., Ltd.</t>
  </si>
  <si>
    <t>Hebei Huasheng Felt Co. Ltd.</t>
  </si>
  <si>
    <t>Hendrick Manufacturing</t>
  </si>
  <si>
    <t>Historical AP Vendor</t>
  </si>
  <si>
    <t>Hoffman &amp; Hoffman Inc</t>
  </si>
  <si>
    <t>Hongkong Best Seal Trading Co., Limited</t>
  </si>
  <si>
    <t>ICAM TECHNOLOGIES CORPORATION</t>
  </si>
  <si>
    <t>ICE Game</t>
  </si>
  <si>
    <t>Intel Core</t>
  </si>
  <si>
    <t>Internal Revenue Service</t>
  </si>
  <si>
    <t>International E-Z UP, Inc.</t>
  </si>
  <si>
    <t>Ipotec, Inc.</t>
  </si>
  <si>
    <t>Irish Propane</t>
  </si>
  <si>
    <t>Jiangxi Beluns Plastic Co., Ltd.</t>
  </si>
  <si>
    <t>Jiangxi Polyrise Co., Ltd.</t>
  </si>
  <si>
    <t>Jinan Alands Plastic Co.,Ltd</t>
  </si>
  <si>
    <t>Jinan Meide Casting Co.,Ltd</t>
  </si>
  <si>
    <t>JME Ellsworth</t>
  </si>
  <si>
    <t>Kaszubski Co. LLC</t>
  </si>
  <si>
    <t>Labfreez Instruments Group Co., Ltd</t>
  </si>
  <si>
    <t>Langder Technology Co., LTD</t>
  </si>
  <si>
    <t>Latrobe Foundry Machine &amp; Supply Company</t>
  </si>
  <si>
    <t>Lease Direct</t>
  </si>
  <si>
    <t>Lee Sheng Acrylic Co., Ltd.</t>
  </si>
  <si>
    <t>Lever Manufacturing Corporation</t>
  </si>
  <si>
    <t>Lianfa Stainless Steel Pipes &amp; Valves Co., Ltd</t>
  </si>
  <si>
    <t>M. Carter Decor</t>
  </si>
  <si>
    <t>Manhattan Logistics Management LLC</t>
  </si>
  <si>
    <t>Manufacturers Supplies Company</t>
  </si>
  <si>
    <t>Marco Rubber and Plastics</t>
  </si>
  <si>
    <t>Max Spare Limited</t>
  </si>
  <si>
    <t>McMaster Carr</t>
  </si>
  <si>
    <t>Medify Air LLC</t>
  </si>
  <si>
    <t>Met-Speed Label</t>
  </si>
  <si>
    <t>Mosites</t>
  </si>
  <si>
    <t>MRO Supply</t>
  </si>
  <si>
    <t>NAMSA Medical Research Organization</t>
  </si>
  <si>
    <t>Nanjing Aspire Group</t>
  </si>
  <si>
    <t>Nantong Roke</t>
  </si>
  <si>
    <t>National Fuel Gas</t>
  </si>
  <si>
    <t>NC E-Procurement</t>
  </si>
  <si>
    <t>NetSuite</t>
  </si>
  <si>
    <t>Neville Lumber</t>
  </si>
  <si>
    <t>New Penn Motor Express, LLC</t>
  </si>
  <si>
    <t>Newbury Franklin LLC</t>
  </si>
  <si>
    <t>Newman Gasket</t>
  </si>
  <si>
    <t>Ningbo Leadmed Technology Co., Ltd.</t>
  </si>
  <si>
    <t>Ningbo Western Fitting Co.,Ltd</t>
  </si>
  <si>
    <t>Ningyang Xinxin Stainless Steel Ball Manufacture Co., Ltd.</t>
  </si>
  <si>
    <t>NQK.SF OIL SEALS</t>
  </si>
  <si>
    <t>NYSEG</t>
  </si>
  <si>
    <t>O-Ring Store</t>
  </si>
  <si>
    <t>Ohio Carbon Blank</t>
  </si>
  <si>
    <t>ORS NASCO</t>
  </si>
  <si>
    <t>Oxford Restructuring Advisors LLC</t>
  </si>
  <si>
    <t>P&amp;E CO LTD</t>
  </si>
  <si>
    <t>Paychex</t>
  </si>
  <si>
    <t>PCA Technology Group, Inc.</t>
  </si>
  <si>
    <t>Philpac Corporation</t>
  </si>
  <si>
    <t>Pilot Freight Services</t>
  </si>
  <si>
    <t>Pleiger Plastics Company</t>
  </si>
  <si>
    <t>Polar Plastics</t>
  </si>
  <si>
    <t>Polymer Industries</t>
  </si>
  <si>
    <t>Polymershapes</t>
  </si>
  <si>
    <t>Polyshine Technology (Shanghai) Co, Ltd.</t>
  </si>
  <si>
    <t>Powered Protection Inc.</t>
  </si>
  <si>
    <t>Process Technologies Inc.</t>
  </si>
  <si>
    <t>Professional Plastics</t>
  </si>
  <si>
    <t>ProFlow Dynamics</t>
  </si>
  <si>
    <t>Qingdao Cierne Mechanical Co., Ltd.</t>
  </si>
  <si>
    <t>Qinhuangdao Haimei Aluminum Co., Ltd</t>
  </si>
  <si>
    <t>Ray Chung</t>
  </si>
  <si>
    <t>Ray Chung Acrylic Enterprise Co.,Ltd.</t>
  </si>
  <si>
    <t>RDH Supply, Inc.</t>
  </si>
  <si>
    <t>Reiss Manufacturing Inc</t>
  </si>
  <si>
    <t>Remedy Intelligent Staffing</t>
  </si>
  <si>
    <t>Renda &amp; Renda Accountants and Auditors, P.C.</t>
  </si>
  <si>
    <t>RL Kistler</t>
  </si>
  <si>
    <t>RotoPrecision Inc.</t>
  </si>
  <si>
    <t>Rubberlite, Inc.</t>
  </si>
  <si>
    <t>RxAir (Vystar Corportation)</t>
  </si>
  <si>
    <t>Sales Force</t>
  </si>
  <si>
    <t>Sanhe Great Wall Rubber Co.,Ltd</t>
  </si>
  <si>
    <t>SCF Industry Technology</t>
  </si>
  <si>
    <t>SCF Industry Technology, Inc</t>
  </si>
  <si>
    <t>Seal &amp; Design, Inc.</t>
  </si>
  <si>
    <t>Shanghai Runzi Rubber And Plastic Co.,Ltd</t>
  </si>
  <si>
    <t>Shantou Yili Hengfeng Weaving Co., Ltd.</t>
  </si>
  <si>
    <t>Shaoxing Sealgood Gasket &amp; Sealing</t>
  </si>
  <si>
    <t>Shaoxing Sealgood Gasket &amp; Sealing Co., Ltd.</t>
  </si>
  <si>
    <t>ShelterPoint</t>
  </si>
  <si>
    <t>Shenzhen Bolilai Technology Co.,Ltd</t>
  </si>
  <si>
    <t>Shenzhen Hero-PAK Technology Co.,Ltd</t>
  </si>
  <si>
    <t>Shenzhen Quanda Plastic Co., Ltd.</t>
  </si>
  <si>
    <t>Sirius Plastics LLC</t>
  </si>
  <si>
    <t>Sonwil Distribution Center, Inc.</t>
  </si>
  <si>
    <t>Spartan Vendor to USA Sealing</t>
  </si>
  <si>
    <t>Specialty Flange and Fitting</t>
  </si>
  <si>
    <t>Spectrum</t>
  </si>
  <si>
    <t>SPS</t>
  </si>
  <si>
    <t>SSH Labs</t>
  </si>
  <si>
    <t>Starflex America Inc.</t>
  </si>
  <si>
    <t>Strader-Ferris International Ltd.</t>
  </si>
  <si>
    <t>Suntex Import &amp; Export Trading Co., Ltd.</t>
  </si>
  <si>
    <t>Suzhou Hong Kai Stainless Steel Fasteners Factory</t>
  </si>
  <si>
    <t>Tax Agency CA</t>
  </si>
  <si>
    <t>Tax Agency CA [1]</t>
  </si>
  <si>
    <t>Tax Agency CT</t>
  </si>
  <si>
    <t>Tax Agency FL</t>
  </si>
  <si>
    <t>Tax Agency GA</t>
  </si>
  <si>
    <t>Tax Agency IL</t>
  </si>
  <si>
    <t>Tax Agency IN</t>
  </si>
  <si>
    <t>Tax Agency MA</t>
  </si>
  <si>
    <t>Tax Agency MI</t>
  </si>
  <si>
    <t>Tax Agency NC</t>
  </si>
  <si>
    <t>Tax Agency NJ</t>
  </si>
  <si>
    <t>Tax Agency NY</t>
  </si>
  <si>
    <t>Tax Agency OH</t>
  </si>
  <si>
    <t>Tax Agency PA</t>
  </si>
  <si>
    <t>Tax Agency SC</t>
  </si>
  <si>
    <t>Tax Agency TX</t>
  </si>
  <si>
    <t>Tax Agency WA</t>
  </si>
  <si>
    <t>Tax Agency WI</t>
  </si>
  <si>
    <t>Techfino LLC</t>
  </si>
  <si>
    <t>Tenglong</t>
  </si>
  <si>
    <t>Test Vendor</t>
  </si>
  <si>
    <t>Texas Flange</t>
  </si>
  <si>
    <t>TForce Freight</t>
  </si>
  <si>
    <t>THE HARTFORD</t>
  </si>
  <si>
    <t>The O-Ring Store</t>
  </si>
  <si>
    <t>Thornapple Vendor to All-Tech</t>
  </si>
  <si>
    <t>Thornapple Vendor to USA Sealing</t>
  </si>
  <si>
    <t>Tianchang Trumpxp Electronic Technology Co., Ltd</t>
  </si>
  <si>
    <t>TIER, LLC</t>
  </si>
  <si>
    <t>Tilara Polyplast Pvt. Ltd.</t>
  </si>
  <si>
    <t>Tileron Enterprise Co., Ltd</t>
  </si>
  <si>
    <t>Timilon Technology Acquisitions LLC</t>
  </si>
  <si>
    <t>Todo Rubber</t>
  </si>
  <si>
    <t>Traco</t>
  </si>
  <si>
    <t>Travelers</t>
  </si>
  <si>
    <t>Tronconi Segarra &amp; Associates LLP</t>
  </si>
  <si>
    <t>Ttarp Co.</t>
  </si>
  <si>
    <t>U-Line</t>
  </si>
  <si>
    <t>UL</t>
  </si>
  <si>
    <t>UL LLC</t>
  </si>
  <si>
    <t>USA Sealing Vendor to All-Tech</t>
  </si>
  <si>
    <t>USA Sealing Vendor to Thornapple</t>
  </si>
  <si>
    <t>USF Holland Inc.</t>
  </si>
  <si>
    <t>V&amp;A Process Inc.</t>
  </si>
  <si>
    <t>Vestil Manufacturing Corp.</t>
  </si>
  <si>
    <t>Warco Biltrite</t>
  </si>
  <si>
    <t>WardJet LLC</t>
  </si>
  <si>
    <t>Waste Management</t>
  </si>
  <si>
    <t>WB Mason</t>
  </si>
  <si>
    <t>Well Air</t>
  </si>
  <si>
    <t>Wenzhou Sinco Steel Co., Ltd</t>
  </si>
  <si>
    <t>Withum</t>
  </si>
  <si>
    <t>Wuxi Shunxuan New Material Co., Ltd.</t>
  </si>
  <si>
    <t>XCC RFID</t>
  </si>
  <si>
    <t>Xiamen Best Seal Imp &amp; Exp Co, Ltd.</t>
  </si>
  <si>
    <t>Xiamen Neway Rubber &amp; Plastic Products Co., Ltd Neway Industry Limited</t>
  </si>
  <si>
    <t>Xiamen Seals Technology Co., Ltd</t>
  </si>
  <si>
    <t>Xinfeng</t>
  </si>
  <si>
    <t>XPO Logistics</t>
  </si>
  <si>
    <t>XTO</t>
  </si>
  <si>
    <t>Yen Nan Acrylic</t>
  </si>
  <si>
    <t>Yen Nan Acrylic Co., Ltd.</t>
  </si>
  <si>
    <t>YRC Freight</t>
  </si>
  <si>
    <t>ZheJiang Feitan Auto Parts</t>
  </si>
  <si>
    <t>ZhongXin Fluorine Plastic Industrial Co.</t>
  </si>
  <si>
    <t>ZoomInfo</t>
  </si>
  <si>
    <t>ZTelec Electric Equipment (Zhengzhou) Ltd</t>
  </si>
  <si>
    <t>ZCUS-10653-224</t>
  </si>
  <si>
    <t>Material Cost</t>
  </si>
  <si>
    <t>Sell Price</t>
  </si>
  <si>
    <t>True Target Margin</t>
  </si>
  <si>
    <t>Material Cost Per Unit</t>
  </si>
  <si>
    <t>Pricing</t>
  </si>
  <si>
    <t>Custom Part #1</t>
  </si>
  <si>
    <t>True Material Cost</t>
  </si>
  <si>
    <t>Units Yielded</t>
  </si>
  <si>
    <t>Adhesive Multiplier</t>
  </si>
  <si>
    <t xml:space="preserve">RM Width </t>
  </si>
  <si>
    <t>Column1</t>
  </si>
  <si>
    <t>ZUSA-254M-14</t>
  </si>
  <si>
    <t>BULK-RS-H50-217</t>
  </si>
  <si>
    <t>True Cost</t>
  </si>
  <si>
    <t>Thickness</t>
  </si>
  <si>
    <t>Parent</t>
  </si>
  <si>
    <t>Cost Assumptions</t>
  </si>
  <si>
    <t>Machine</t>
  </si>
  <si>
    <t>Cut Distance</t>
  </si>
  <si>
    <t>Plain</t>
  </si>
  <si>
    <t>Acrylic Adhesive</t>
  </si>
  <si>
    <t>High Temp Adhesive</t>
  </si>
  <si>
    <t>ZCUS-Vinny-Test</t>
  </si>
  <si>
    <t>Test Strip</t>
  </si>
  <si>
    <t>Converted</t>
  </si>
  <si>
    <t>ZCUS 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</si>
</sst>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quot;$&quot;#,##0.00"/>
    <numFmt numFmtId="168" formatCode="_(&quot;$&quot;* #,##0.0000_);_(&quot;$&quot;* \(#,##0.0000\);_(&quot;$&quot;* &quot;-&quot;??_);_(@_)"/>
    <numFmt numFmtId="169" formatCode="_(&quot;$&quot;* #,##0.000_);_(&quot;$&quot;* \(#,##0.000\);_(&quot;$&quot;* &quot;-&quot;??_);_(@_)"/>
    <numFmt numFmtId="170" formatCode="_(* #,##0_);_(* \(#,##0\);_(* &quot;-&quot;??_);_(@_)"/>
  </numFmts>
  <fonts count="53"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b/>
      <sz val="10"/>
      <color rgb="FF000000"/>
      <name val="Arial"/>
      <family val="2"/>
    </font>
    <font>
      <b/>
      <sz val="10"/>
      <color rgb="FFFF0000"/>
      <name val="Arial"/>
      <family val="2"/>
    </font>
    <font>
      <b/>
      <sz val="10"/>
      <color theme="1"/>
      <name val="Arial"/>
      <family val="2"/>
    </font>
    <font>
      <b/>
      <sz val="10"/>
      <color rgb="FF0000FF"/>
      <name val="Arial"/>
      <family val="2"/>
    </font>
    <font>
      <b/>
      <sz val="10"/>
      <name val="Arial"/>
      <family val="2"/>
    </font>
    <font>
      <b/>
      <sz val="10"/>
      <name val="Arial"/>
      <family val="2"/>
    </font>
    <font>
      <b/>
      <sz val="10"/>
      <color theme="1"/>
      <name val="Arial"/>
      <family val="2"/>
    </font>
    <font>
      <b/>
      <sz val="10"/>
      <color rgb="FF0000FF"/>
      <name val="Arial"/>
      <family val="2"/>
    </font>
    <font>
      <b/>
      <sz val="10"/>
      <color rgb="FFFF0000"/>
      <name val="Arial"/>
      <family val="2"/>
    </font>
    <font>
      <sz val="10"/>
      <name val="Calibri"/>
      <family val="2"/>
    </font>
    <font>
      <b/>
      <u/>
      <sz val="10"/>
      <color rgb="FF0000FF"/>
      <name val="Arial"/>
      <family val="2"/>
    </font>
    <font>
      <b/>
      <u/>
      <sz val="10"/>
      <color rgb="FFFF0000"/>
      <name val="Arial"/>
      <family val="2"/>
    </font>
    <font>
      <b/>
      <sz val="10"/>
      <color rgb="FFFF0000"/>
      <name val="Arial"/>
      <family val="2"/>
    </font>
    <font>
      <b/>
      <sz val="10"/>
      <color theme="1"/>
      <name val="Arial"/>
      <family val="2"/>
    </font>
    <font>
      <b/>
      <sz val="10"/>
      <color rgb="FF0000FF"/>
      <name val="Arial"/>
      <family val="2"/>
    </font>
    <font>
      <b/>
      <i/>
      <sz val="10"/>
      <color theme="1" tint="0.34998626667073579"/>
      <name val="Arial"/>
      <family val="2"/>
    </font>
    <font>
      <sz val="8"/>
      <name val="Arial"/>
      <family val="2"/>
    </font>
    <font>
      <sz val="10"/>
      <color rgb="FF000000"/>
      <name val="Arial"/>
      <family val="2"/>
    </font>
    <font>
      <b/>
      <sz val="10"/>
      <color theme="0"/>
      <name val="Arial"/>
      <family val="2"/>
    </font>
    <font>
      <b/>
      <sz val="10"/>
      <color indexed="10"/>
      <name val="Arial"/>
      <family val="2"/>
    </font>
    <font>
      <b/>
      <sz val="10"/>
      <color indexed="12"/>
      <name val="Arial"/>
      <family val="2"/>
    </font>
    <font>
      <b/>
      <u/>
      <sz val="10"/>
      <name val="Arial"/>
      <family val="2"/>
    </font>
    <font>
      <b/>
      <sz val="10"/>
      <color rgb="FFFFFF00"/>
      <name val="Arial"/>
      <family val="2"/>
    </font>
    <font>
      <sz val="10"/>
      <name val="Arial"/>
      <family val="2"/>
    </font>
    <font>
      <sz val="12"/>
      <color rgb="FF222222"/>
      <name val="Arial"/>
      <family val="2"/>
    </font>
    <font>
      <b/>
      <sz val="11"/>
      <color theme="1"/>
      <name val="calibri"/>
      <family val="2"/>
      <scheme val="minor"/>
    </font>
    <font>
      <b/>
      <sz val="9"/>
      <color theme="1"/>
      <name val="calibri"/>
      <family val="2"/>
      <scheme val="minor"/>
    </font>
    <font>
      <b/>
      <sz val="16"/>
      <color theme="1"/>
      <name val="calibri"/>
      <family val="2"/>
      <scheme val="minor"/>
    </font>
    <font>
      <sz val="14"/>
      <color theme="1"/>
      <name val="calibri"/>
      <family val="2"/>
      <scheme val="minor"/>
    </font>
    <font>
      <sz val="14"/>
      <color theme="0"/>
      <name val="calibri"/>
      <family val="2"/>
      <scheme val="minor"/>
    </font>
    <font>
      <b/>
      <sz val="14"/>
      <color theme="1"/>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Arial"/>
      <family val="2"/>
    </font>
    <font>
      <sz val="11"/>
      <name val="calibri"/>
      <family val="2"/>
      <scheme val="minor"/>
    </font>
    <font>
      <b/>
      <sz val="16"/>
      <color rgb="FFFF0000"/>
      <name val="calibri"/>
      <family val="2"/>
      <scheme val="minor"/>
    </font>
  </fonts>
  <fills count="54">
    <fill>
      <patternFill patternType="none"/>
    </fill>
    <fill>
      <patternFill patternType="gray125"/>
    </fill>
    <fill>
      <patternFill patternType="solid">
        <fgColor rgb="FFC0C0C0"/>
        <bgColor rgb="FFC0C0C0"/>
      </patternFill>
    </fill>
    <fill>
      <patternFill patternType="solid">
        <fgColor rgb="FFFFFF00"/>
        <bgColor rgb="FFFFFF00"/>
      </patternFill>
    </fill>
    <fill>
      <patternFill patternType="solid">
        <fgColor rgb="FF98F9D7"/>
        <bgColor rgb="FF98F9D7"/>
      </patternFill>
    </fill>
    <fill>
      <patternFill patternType="solid">
        <fgColor rgb="FF92D050"/>
        <bgColor rgb="FF92D050"/>
      </patternFill>
    </fill>
    <fill>
      <patternFill patternType="solid">
        <fgColor theme="7"/>
        <bgColor indexed="64"/>
      </patternFill>
    </fill>
    <fill>
      <patternFill patternType="solid">
        <fgColor theme="8"/>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00B0F0"/>
        <bgColor indexed="64"/>
      </patternFill>
    </fill>
    <fill>
      <patternFill patternType="solid">
        <fgColor rgb="FF92D050"/>
        <bgColor indexed="64"/>
      </patternFill>
    </fill>
    <fill>
      <patternFill patternType="solid">
        <fgColor theme="4" tint="0.39997558519241921"/>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tint="4.9989318521683403E-2"/>
        <bgColor indexed="64"/>
      </patternFill>
    </fill>
    <fill>
      <patternFill patternType="solid">
        <fgColor rgb="FFFFFF00"/>
        <bgColor theme="4" tint="0.79998168889431442"/>
      </patternFill>
    </fill>
  </fills>
  <borders count="39">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diagonal/>
    </border>
    <border>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medium">
        <color indexed="64"/>
      </top>
      <bottom/>
      <diagonal/>
    </border>
    <border>
      <left/>
      <right/>
      <top style="medium">
        <color indexed="64"/>
      </top>
      <bottom/>
      <diagonal/>
    </border>
    <border>
      <left style="thin">
        <color theme="4" tint="0.39997558519241921"/>
      </left>
      <right/>
      <top style="medium">
        <color indexed="64"/>
      </top>
      <bottom/>
      <diagonal/>
    </border>
    <border>
      <left style="thin">
        <color indexed="64"/>
      </left>
      <right style="thin">
        <color indexed="64"/>
      </right>
      <top/>
      <bottom style="thin">
        <color indexed="64"/>
      </bottom>
      <diagonal/>
    </border>
  </borders>
  <cellStyleXfs count="49">
    <xf numFmtId="0" fontId="0" fillId="0" borderId="0"/>
    <xf numFmtId="0" fontId="21" fillId="0" borderId="4"/>
    <xf numFmtId="0" fontId="3" fillId="0" borderId="4"/>
    <xf numFmtId="9" fontId="3" fillId="0" borderId="4" applyFont="0" applyFill="0" applyBorder="0" applyAlignment="0" applyProtection="0"/>
    <xf numFmtId="0" fontId="36" fillId="0" borderId="20" applyNumberFormat="0" applyFill="0" applyAlignment="0" applyProtection="0"/>
    <xf numFmtId="0" fontId="37" fillId="0" borderId="21" applyNumberFormat="0" applyFill="0" applyAlignment="0" applyProtection="0"/>
    <xf numFmtId="0" fontId="38" fillId="0" borderId="22" applyNumberFormat="0" applyFill="0" applyAlignment="0" applyProtection="0"/>
    <xf numFmtId="0" fontId="42" fillId="18" borderId="23" applyNumberFormat="0" applyAlignment="0" applyProtection="0"/>
    <xf numFmtId="0" fontId="43" fillId="19" borderId="24" applyNumberFormat="0" applyAlignment="0" applyProtection="0"/>
    <xf numFmtId="0" fontId="44" fillId="19" borderId="23" applyNumberFormat="0" applyAlignment="0" applyProtection="0"/>
    <xf numFmtId="0" fontId="45" fillId="0" borderId="25" applyNumberFormat="0" applyFill="0" applyAlignment="0" applyProtection="0"/>
    <xf numFmtId="0" fontId="46" fillId="20" borderId="26" applyNumberFormat="0" applyAlignment="0" applyProtection="0"/>
    <xf numFmtId="0" fontId="29" fillId="0" borderId="28" applyNumberFormat="0" applyFill="0" applyAlignment="0" applyProtection="0"/>
    <xf numFmtId="0" fontId="50" fillId="0" borderId="4"/>
    <xf numFmtId="0" fontId="35" fillId="0" borderId="4" applyNumberFormat="0" applyFill="0" applyBorder="0" applyAlignment="0" applyProtection="0"/>
    <xf numFmtId="0" fontId="38" fillId="0" borderId="4" applyNumberFormat="0" applyFill="0" applyBorder="0" applyAlignment="0" applyProtection="0"/>
    <xf numFmtId="0" fontId="39" fillId="15" borderId="4" applyNumberFormat="0" applyBorder="0" applyAlignment="0" applyProtection="0"/>
    <xf numFmtId="0" fontId="40" fillId="16" borderId="4" applyNumberFormat="0" applyBorder="0" applyAlignment="0" applyProtection="0"/>
    <xf numFmtId="0" fontId="41" fillId="17" borderId="4" applyNumberFormat="0" applyBorder="0" applyAlignment="0" applyProtection="0"/>
    <xf numFmtId="0" fontId="47" fillId="0" borderId="4" applyNumberFormat="0" applyFill="0" applyBorder="0" applyAlignment="0" applyProtection="0"/>
    <xf numFmtId="0" fontId="2" fillId="21" borderId="27" applyNumberFormat="0" applyFont="0" applyAlignment="0" applyProtection="0"/>
    <xf numFmtId="0" fontId="48" fillId="0" borderId="4" applyNumberFormat="0" applyFill="0" applyBorder="0" applyAlignment="0" applyProtection="0"/>
    <xf numFmtId="0" fontId="49" fillId="22" borderId="4" applyNumberFormat="0" applyBorder="0" applyAlignment="0" applyProtection="0"/>
    <xf numFmtId="0" fontId="2" fillId="23" borderId="4" applyNumberFormat="0" applyBorder="0" applyAlignment="0" applyProtection="0"/>
    <xf numFmtId="0" fontId="2" fillId="24" borderId="4" applyNumberFormat="0" applyBorder="0" applyAlignment="0" applyProtection="0"/>
    <xf numFmtId="0" fontId="2" fillId="25" borderId="4" applyNumberFormat="0" applyBorder="0" applyAlignment="0" applyProtection="0"/>
    <xf numFmtId="0" fontId="49" fillId="26" borderId="4" applyNumberFormat="0" applyBorder="0" applyAlignment="0" applyProtection="0"/>
    <xf numFmtId="0" fontId="2" fillId="27" borderId="4" applyNumberFormat="0" applyBorder="0" applyAlignment="0" applyProtection="0"/>
    <xf numFmtId="0" fontId="2" fillId="28" borderId="4" applyNumberFormat="0" applyBorder="0" applyAlignment="0" applyProtection="0"/>
    <xf numFmtId="0" fontId="2" fillId="29" borderId="4" applyNumberFormat="0" applyBorder="0" applyAlignment="0" applyProtection="0"/>
    <xf numFmtId="0" fontId="49" fillId="30" borderId="4" applyNumberFormat="0" applyBorder="0" applyAlignment="0" applyProtection="0"/>
    <xf numFmtId="0" fontId="2" fillId="31" borderId="4" applyNumberFormat="0" applyBorder="0" applyAlignment="0" applyProtection="0"/>
    <xf numFmtId="0" fontId="2" fillId="32" borderId="4" applyNumberFormat="0" applyBorder="0" applyAlignment="0" applyProtection="0"/>
    <xf numFmtId="0" fontId="2" fillId="33" borderId="4" applyNumberFormat="0" applyBorder="0" applyAlignment="0" applyProtection="0"/>
    <xf numFmtId="0" fontId="49" fillId="34" borderId="4" applyNumberFormat="0" applyBorder="0" applyAlignment="0" applyProtection="0"/>
    <xf numFmtId="0" fontId="2" fillId="35" borderId="4" applyNumberFormat="0" applyBorder="0" applyAlignment="0" applyProtection="0"/>
    <xf numFmtId="0" fontId="2" fillId="36" borderId="4" applyNumberFormat="0" applyBorder="0" applyAlignment="0" applyProtection="0"/>
    <xf numFmtId="0" fontId="2" fillId="37" borderId="4" applyNumberFormat="0" applyBorder="0" applyAlignment="0" applyProtection="0"/>
    <xf numFmtId="0" fontId="49" fillId="38" borderId="4" applyNumberFormat="0" applyBorder="0" applyAlignment="0" applyProtection="0"/>
    <xf numFmtId="0" fontId="2" fillId="39" borderId="4" applyNumberFormat="0" applyBorder="0" applyAlignment="0" applyProtection="0"/>
    <xf numFmtId="0" fontId="2" fillId="40" borderId="4" applyNumberFormat="0" applyBorder="0" applyAlignment="0" applyProtection="0"/>
    <xf numFmtId="0" fontId="2" fillId="41" borderId="4" applyNumberFormat="0" applyBorder="0" applyAlignment="0" applyProtection="0"/>
    <xf numFmtId="0" fontId="49" fillId="42" borderId="4" applyNumberFormat="0" applyBorder="0" applyAlignment="0" applyProtection="0"/>
    <xf numFmtId="0" fontId="2" fillId="43" borderId="4" applyNumberFormat="0" applyBorder="0" applyAlignment="0" applyProtection="0"/>
    <xf numFmtId="0" fontId="2" fillId="44" borderId="4" applyNumberFormat="0" applyBorder="0" applyAlignment="0" applyProtection="0"/>
    <xf numFmtId="0" fontId="2" fillId="45" borderId="4" applyNumberFormat="0" applyBorder="0" applyAlignment="0" applyProtection="0"/>
    <xf numFmtId="0" fontId="1" fillId="0" borderId="4"/>
    <xf numFmtId="43" fontId="1" fillId="0" borderId="4" applyFont="0" applyFill="0" applyBorder="0" applyAlignment="0" applyProtection="0"/>
    <xf numFmtId="9" fontId="1" fillId="0" borderId="4" applyFont="0" applyFill="0" applyBorder="0" applyAlignment="0" applyProtection="0"/>
  </cellStyleXfs>
  <cellXfs count="166">
    <xf numFmtId="0" fontId="0" fillId="0" borderId="0" xfId="0" applyFont="1" applyAlignment="1"/>
    <xf numFmtId="0" fontId="4" fillId="2" borderId="1" xfId="0" applyFont="1" applyFill="1" applyBorder="1" applyAlignment="1">
      <alignment horizontal="center"/>
    </xf>
    <xf numFmtId="0" fontId="0" fillId="0" borderId="0" xfId="0" applyFont="1" applyAlignment="1">
      <alignment horizontal="center"/>
    </xf>
    <xf numFmtId="0" fontId="0" fillId="0" borderId="1" xfId="0" applyFont="1" applyBorder="1" applyAlignment="1">
      <alignment horizontal="center"/>
    </xf>
    <xf numFmtId="0" fontId="0" fillId="0" borderId="1" xfId="0" applyFont="1" applyBorder="1" applyAlignment="1">
      <alignment horizontal="center" wrapText="1"/>
    </xf>
    <xf numFmtId="0" fontId="5" fillId="0" borderId="0" xfId="0" applyFont="1"/>
    <xf numFmtId="0" fontId="6" fillId="0" borderId="0" xfId="0" applyFont="1"/>
    <xf numFmtId="0" fontId="5" fillId="0" borderId="0" xfId="0" applyFont="1" applyAlignment="1">
      <alignment wrapText="1"/>
    </xf>
    <xf numFmtId="0" fontId="6" fillId="0" borderId="0" xfId="0" applyFont="1" applyAlignment="1">
      <alignment wrapText="1"/>
    </xf>
    <xf numFmtId="0" fontId="7" fillId="0" borderId="0" xfId="0" applyFont="1" applyAlignment="1">
      <alignment horizontal="left" vertical="top" wrapText="1"/>
    </xf>
    <xf numFmtId="0" fontId="7" fillId="0" borderId="0" xfId="0" applyFont="1" applyAlignment="1">
      <alignment vertical="top" wrapText="1"/>
    </xf>
    <xf numFmtId="0" fontId="6" fillId="0" borderId="0" xfId="0" applyFont="1" applyAlignment="1">
      <alignment horizontal="left" wrapText="1"/>
    </xf>
    <xf numFmtId="0" fontId="6" fillId="3" borderId="2" xfId="0" applyFont="1" applyFill="1" applyBorder="1" applyAlignment="1">
      <alignment wrapText="1"/>
    </xf>
    <xf numFmtId="0" fontId="6" fillId="3" borderId="2" xfId="0" applyFont="1" applyFill="1" applyBorder="1"/>
    <xf numFmtId="0" fontId="8" fillId="4" borderId="0" xfId="0" applyFont="1" applyFill="1" applyAlignment="1"/>
    <xf numFmtId="0" fontId="6" fillId="4" borderId="0" xfId="0" applyFont="1" applyFill="1" applyAlignment="1"/>
    <xf numFmtId="0" fontId="9" fillId="4" borderId="3" xfId="0" applyFont="1" applyFill="1" applyBorder="1" applyAlignment="1"/>
    <xf numFmtId="0" fontId="6" fillId="5" borderId="2" xfId="0" applyFont="1" applyFill="1" applyBorder="1"/>
    <xf numFmtId="0" fontId="8" fillId="5" borderId="2" xfId="0" applyFont="1" applyFill="1" applyBorder="1" applyAlignment="1"/>
    <xf numFmtId="0" fontId="6" fillId="5" borderId="2" xfId="0" applyFont="1" applyFill="1" applyBorder="1" applyAlignment="1"/>
    <xf numFmtId="0" fontId="9" fillId="5" borderId="4" xfId="0" applyFont="1" applyFill="1" applyBorder="1" applyAlignment="1"/>
    <xf numFmtId="0" fontId="10" fillId="5" borderId="4" xfId="0" applyFont="1" applyFill="1" applyBorder="1" applyAlignment="1"/>
    <xf numFmtId="0" fontId="7" fillId="0" borderId="0" xfId="0" applyFont="1" applyAlignment="1">
      <alignment vertical="top" wrapText="1"/>
    </xf>
    <xf numFmtId="0" fontId="11" fillId="0" borderId="0" xfId="0" applyFont="1" applyAlignment="1">
      <alignment vertical="top" wrapText="1"/>
    </xf>
    <xf numFmtId="0" fontId="5" fillId="0" borderId="0" xfId="0" applyFont="1" applyAlignment="1">
      <alignment wrapText="1"/>
    </xf>
    <xf numFmtId="0" fontId="12" fillId="0" borderId="0" xfId="0" applyFont="1" applyAlignment="1">
      <alignment wrapText="1"/>
    </xf>
    <xf numFmtId="0" fontId="8" fillId="0" borderId="0" xfId="0" applyFont="1" applyAlignment="1">
      <alignment wrapText="1"/>
    </xf>
    <xf numFmtId="0" fontId="13" fillId="0" borderId="3" xfId="0" applyFont="1" applyBorder="1" applyAlignment="1"/>
    <xf numFmtId="0" fontId="8" fillId="3" borderId="2" xfId="0" applyFont="1" applyFill="1" applyBorder="1" applyAlignment="1">
      <alignment wrapText="1"/>
    </xf>
    <xf numFmtId="0" fontId="13" fillId="3" borderId="4" xfId="0" applyFont="1" applyFill="1" applyBorder="1" applyAlignment="1"/>
    <xf numFmtId="0" fontId="13" fillId="0" borderId="0" xfId="0" applyFont="1" applyAlignment="1"/>
    <xf numFmtId="0" fontId="17" fillId="3" borderId="2" xfId="0" applyFont="1" applyFill="1" applyBorder="1" applyAlignment="1">
      <alignment wrapText="1"/>
    </xf>
    <xf numFmtId="0" fontId="18" fillId="0" borderId="0" xfId="0" applyFont="1" applyAlignment="1">
      <alignment vertical="top" wrapText="1"/>
    </xf>
    <xf numFmtId="0" fontId="16" fillId="0" borderId="0" xfId="0" applyFont="1"/>
    <xf numFmtId="0" fontId="19" fillId="0" borderId="0" xfId="0" applyFont="1" applyAlignment="1">
      <alignment wrapText="1"/>
    </xf>
    <xf numFmtId="0" fontId="6" fillId="4" borderId="4" xfId="0" applyFont="1" applyFill="1" applyBorder="1"/>
    <xf numFmtId="0" fontId="6" fillId="5" borderId="4" xfId="0" applyFont="1" applyFill="1" applyBorder="1"/>
    <xf numFmtId="0" fontId="6" fillId="3" borderId="4" xfId="0" applyFont="1" applyFill="1" applyBorder="1" applyAlignment="1">
      <alignment wrapText="1"/>
    </xf>
    <xf numFmtId="0" fontId="0" fillId="0" borderId="0" xfId="0"/>
    <xf numFmtId="0" fontId="5" fillId="0" borderId="4" xfId="1" applyFont="1"/>
    <xf numFmtId="0" fontId="21" fillId="0" borderId="4" xfId="1"/>
    <xf numFmtId="0" fontId="7" fillId="0" borderId="4" xfId="1" applyFont="1" applyAlignment="1">
      <alignment horizontal="left" vertical="top" wrapText="1"/>
    </xf>
    <xf numFmtId="0" fontId="7" fillId="0" borderId="4" xfId="1" applyFont="1" applyAlignment="1">
      <alignment vertical="top" wrapText="1"/>
    </xf>
    <xf numFmtId="0" fontId="5" fillId="0" borderId="4" xfId="1" applyFont="1" applyAlignment="1">
      <alignment wrapText="1"/>
    </xf>
    <xf numFmtId="0" fontId="6" fillId="3" borderId="4" xfId="1" applyFont="1" applyFill="1" applyAlignment="1">
      <alignment wrapText="1"/>
    </xf>
    <xf numFmtId="0" fontId="6" fillId="3" borderId="4" xfId="1" applyFont="1" applyFill="1"/>
    <xf numFmtId="0" fontId="22" fillId="6" borderId="6" xfId="1" applyFont="1" applyFill="1" applyBorder="1"/>
    <xf numFmtId="0" fontId="22" fillId="6" borderId="7" xfId="1" applyFont="1" applyFill="1" applyBorder="1"/>
    <xf numFmtId="0" fontId="22" fillId="6" borderId="8" xfId="1" applyFont="1" applyFill="1" applyBorder="1"/>
    <xf numFmtId="0" fontId="22" fillId="7" borderId="6" xfId="1" applyFont="1" applyFill="1" applyBorder="1"/>
    <xf numFmtId="0" fontId="22" fillId="7" borderId="7" xfId="1" applyFont="1" applyFill="1" applyBorder="1"/>
    <xf numFmtId="0" fontId="22" fillId="7" borderId="8" xfId="1" applyFont="1" applyFill="1" applyBorder="1"/>
    <xf numFmtId="0" fontId="8" fillId="8" borderId="9" xfId="1" applyFont="1" applyFill="1" applyBorder="1"/>
    <xf numFmtId="0" fontId="8" fillId="8" borderId="10" xfId="1" applyFont="1" applyFill="1" applyBorder="1"/>
    <xf numFmtId="0" fontId="23" fillId="8" borderId="5" xfId="1" applyFont="1" applyFill="1" applyBorder="1"/>
    <xf numFmtId="0" fontId="8" fillId="9" borderId="9" xfId="1" applyFont="1" applyFill="1" applyBorder="1"/>
    <xf numFmtId="0" fontId="8" fillId="9" borderId="10" xfId="1" applyFont="1" applyFill="1" applyBorder="1"/>
    <xf numFmtId="0" fontId="23" fillId="9" borderId="5" xfId="1" applyFont="1" applyFill="1" applyBorder="1"/>
    <xf numFmtId="0" fontId="24" fillId="8" borderId="9" xfId="1" applyFont="1" applyFill="1" applyBorder="1" applyAlignment="1">
      <alignment vertical="top" wrapText="1"/>
    </xf>
    <xf numFmtId="0" fontId="24" fillId="8" borderId="10" xfId="1" applyFont="1" applyFill="1" applyBorder="1" applyAlignment="1">
      <alignment vertical="top" wrapText="1"/>
    </xf>
    <xf numFmtId="0" fontId="24" fillId="8" borderId="5" xfId="1" applyFont="1" applyFill="1" applyBorder="1" applyAlignment="1">
      <alignment vertical="top" wrapText="1"/>
    </xf>
    <xf numFmtId="0" fontId="24" fillId="9" borderId="9" xfId="1" applyFont="1" applyFill="1" applyBorder="1" applyAlignment="1">
      <alignment vertical="top" wrapText="1"/>
    </xf>
    <xf numFmtId="0" fontId="24" fillId="9" borderId="10" xfId="1" applyFont="1" applyFill="1" applyBorder="1" applyAlignment="1">
      <alignment vertical="top" wrapText="1"/>
    </xf>
    <xf numFmtId="0" fontId="24" fillId="9" borderId="5" xfId="1" applyFont="1" applyFill="1" applyBorder="1" applyAlignment="1">
      <alignment vertical="top" wrapText="1"/>
    </xf>
    <xf numFmtId="0" fontId="8" fillId="8" borderId="11" xfId="1" applyFont="1" applyFill="1" applyBorder="1" applyAlignment="1">
      <alignment wrapText="1"/>
    </xf>
    <xf numFmtId="0" fontId="8" fillId="8" borderId="4" xfId="1" applyFont="1" applyFill="1" applyAlignment="1">
      <alignment wrapText="1"/>
    </xf>
    <xf numFmtId="0" fontId="8" fillId="8" borderId="12" xfId="1" applyFont="1" applyFill="1" applyBorder="1" applyAlignment="1">
      <alignment wrapText="1"/>
    </xf>
    <xf numFmtId="0" fontId="8" fillId="9" borderId="11" xfId="1" applyFont="1" applyFill="1" applyBorder="1" applyAlignment="1">
      <alignment wrapText="1"/>
    </xf>
    <xf numFmtId="0" fontId="8" fillId="9" borderId="4" xfId="1" applyFont="1" applyFill="1" applyAlignment="1">
      <alignment wrapText="1"/>
    </xf>
    <xf numFmtId="0" fontId="8" fillId="9" borderId="12" xfId="1" applyFont="1" applyFill="1" applyBorder="1" applyAlignment="1">
      <alignment wrapText="1"/>
    </xf>
    <xf numFmtId="0" fontId="26" fillId="8" borderId="4" xfId="1" applyFont="1" applyFill="1" applyAlignment="1">
      <alignment horizontal="center" wrapText="1"/>
    </xf>
    <xf numFmtId="0" fontId="26" fillId="9" borderId="4" xfId="1" applyFont="1" applyFill="1" applyAlignment="1">
      <alignment horizontal="center" wrapText="1"/>
    </xf>
    <xf numFmtId="0" fontId="6" fillId="3" borderId="11" xfId="1" applyFont="1" applyFill="1" applyBorder="1"/>
    <xf numFmtId="0" fontId="5" fillId="3" borderId="12" xfId="1" applyFont="1" applyFill="1" applyBorder="1" applyAlignment="1">
      <alignment wrapText="1"/>
    </xf>
    <xf numFmtId="0" fontId="5" fillId="3" borderId="12" xfId="1" applyFont="1" applyFill="1" applyBorder="1"/>
    <xf numFmtId="0" fontId="8" fillId="10" borderId="11" xfId="1" applyFont="1" applyFill="1" applyBorder="1" applyAlignment="1">
      <alignment wrapText="1"/>
    </xf>
    <xf numFmtId="0" fontId="27" fillId="0" borderId="4" xfId="1" applyFont="1"/>
    <xf numFmtId="0" fontId="21" fillId="0" borderId="12" xfId="1" applyBorder="1"/>
    <xf numFmtId="0" fontId="21" fillId="0" borderId="11" xfId="1" applyBorder="1"/>
    <xf numFmtId="0" fontId="28" fillId="0" borderId="0" xfId="0" applyFont="1" applyAlignment="1"/>
    <xf numFmtId="0" fontId="6" fillId="0" borderId="0" xfId="0" applyFont="1" applyAlignment="1"/>
    <xf numFmtId="0" fontId="8" fillId="4" borderId="0" xfId="0" applyFont="1" applyFill="1"/>
    <xf numFmtId="0" fontId="21" fillId="0" borderId="0" xfId="0" applyFont="1" applyAlignment="1"/>
    <xf numFmtId="0" fontId="3" fillId="0" borderId="4" xfId="2"/>
    <xf numFmtId="0" fontId="3" fillId="0" borderId="4" xfId="2" applyAlignment="1">
      <alignment horizontal="center" vertical="center"/>
    </xf>
    <xf numFmtId="0" fontId="3" fillId="0" borderId="13" xfId="2" applyBorder="1"/>
    <xf numFmtId="0" fontId="3" fillId="0" borderId="10" xfId="2" applyBorder="1" applyAlignment="1">
      <alignment horizontal="center" vertical="center"/>
    </xf>
    <xf numFmtId="0" fontId="3" fillId="0" borderId="10" xfId="2" applyBorder="1"/>
    <xf numFmtId="0" fontId="3" fillId="0" borderId="4" xfId="2" applyAlignment="1">
      <alignment vertical="center"/>
    </xf>
    <xf numFmtId="0" fontId="3" fillId="12" borderId="4" xfId="2" applyFill="1" applyAlignment="1">
      <alignment horizontal="center" vertical="center"/>
    </xf>
    <xf numFmtId="0" fontId="6" fillId="46" borderId="0" xfId="0" applyFont="1" applyFill="1" applyAlignment="1">
      <alignment wrapText="1"/>
    </xf>
    <xf numFmtId="0" fontId="0" fillId="47" borderId="4" xfId="0" applyFill="1" applyBorder="1"/>
    <xf numFmtId="0" fontId="6" fillId="48" borderId="0" xfId="0" applyFont="1" applyFill="1" applyAlignment="1">
      <alignment wrapText="1"/>
    </xf>
    <xf numFmtId="0" fontId="6" fillId="47" borderId="0" xfId="0" applyFont="1" applyFill="1" applyAlignment="1">
      <alignment wrapText="1"/>
    </xf>
    <xf numFmtId="0" fontId="28" fillId="46" borderId="0" xfId="0" applyFont="1" applyFill="1" applyAlignment="1"/>
    <xf numFmtId="0" fontId="19" fillId="46" borderId="0" xfId="0" applyFont="1" applyFill="1" applyAlignment="1">
      <alignment wrapText="1"/>
    </xf>
    <xf numFmtId="0" fontId="8" fillId="46" borderId="11" xfId="1" applyFont="1" applyFill="1" applyBorder="1" applyAlignment="1">
      <alignment wrapText="1"/>
    </xf>
    <xf numFmtId="0" fontId="0" fillId="49" borderId="0" xfId="0" applyFill="1"/>
    <xf numFmtId="0" fontId="0" fillId="46" borderId="0" xfId="0" applyFont="1" applyFill="1" applyAlignment="1"/>
    <xf numFmtId="0" fontId="0" fillId="47" borderId="0" xfId="0" applyFill="1"/>
    <xf numFmtId="9" fontId="0" fillId="0" borderId="10" xfId="3" applyFont="1" applyBorder="1" applyAlignment="1">
      <alignment horizontal="center" vertical="center"/>
    </xf>
    <xf numFmtId="9" fontId="0" fillId="0" borderId="15" xfId="3" applyFont="1" applyBorder="1" applyAlignment="1">
      <alignment horizontal="center" vertical="center"/>
    </xf>
    <xf numFmtId="9" fontId="0" fillId="0" borderId="14" xfId="3" applyFont="1" applyBorder="1" applyAlignment="1">
      <alignment horizontal="center" vertical="center"/>
    </xf>
    <xf numFmtId="0" fontId="3" fillId="11" borderId="4" xfId="2" applyFill="1" applyAlignment="1">
      <alignment horizontal="center"/>
    </xf>
    <xf numFmtId="0" fontId="29" fillId="0" borderId="4" xfId="2" applyFont="1" applyAlignment="1">
      <alignment horizontal="center" vertical="center" wrapText="1"/>
    </xf>
    <xf numFmtId="0" fontId="29" fillId="0" borderId="4" xfId="2" applyFont="1" applyAlignment="1">
      <alignment horizontal="center" vertical="center"/>
    </xf>
    <xf numFmtId="0" fontId="3" fillId="0" borderId="4" xfId="2" applyAlignment="1">
      <alignment horizontal="center" vertical="center"/>
    </xf>
    <xf numFmtId="0" fontId="31" fillId="0" borderId="4" xfId="2" applyFont="1" applyAlignment="1">
      <alignment horizontal="center"/>
    </xf>
    <xf numFmtId="0" fontId="3" fillId="0" borderId="4" xfId="2" applyAlignment="1">
      <alignment horizontal="center" wrapText="1"/>
    </xf>
    <xf numFmtId="0" fontId="1" fillId="0" borderId="4" xfId="46"/>
    <xf numFmtId="0" fontId="34" fillId="0" borderId="4" xfId="46" applyFont="1" applyAlignment="1">
      <alignment horizontal="center" vertical="center"/>
    </xf>
    <xf numFmtId="0" fontId="1" fillId="0" borderId="4" xfId="46" applyAlignment="1">
      <alignment horizontal="center"/>
    </xf>
    <xf numFmtId="168" fontId="49" fillId="13" borderId="4" xfId="46" applyNumberFormat="1" applyFont="1" applyFill="1"/>
    <xf numFmtId="168" fontId="1" fillId="0" borderId="4" xfId="46" applyNumberFormat="1"/>
    <xf numFmtId="44" fontId="49" fillId="13" borderId="4" xfId="46" applyNumberFormat="1" applyFont="1" applyFill="1"/>
    <xf numFmtId="2" fontId="1" fillId="12" borderId="4" xfId="46" applyNumberFormat="1" applyFill="1" applyAlignment="1">
      <alignment horizontal="center"/>
    </xf>
    <xf numFmtId="169" fontId="1" fillId="0" borderId="4" xfId="46" applyNumberFormat="1"/>
    <xf numFmtId="170" fontId="0" fillId="12" borderId="4" xfId="47" applyNumberFormat="1" applyFont="1" applyFill="1"/>
    <xf numFmtId="0" fontId="1" fillId="50" borderId="30" xfId="46" applyFill="1" applyBorder="1"/>
    <xf numFmtId="0" fontId="1" fillId="0" borderId="4" xfId="46" applyAlignment="1">
      <alignment horizontal="center" vertical="center"/>
    </xf>
    <xf numFmtId="0" fontId="1" fillId="0" borderId="4" xfId="46" applyAlignment="1">
      <alignment horizontal="center" vertical="center" wrapText="1"/>
    </xf>
    <xf numFmtId="0" fontId="34" fillId="0" borderId="4" xfId="46" applyFont="1" applyAlignment="1">
      <alignment horizontal="center" vertical="center"/>
    </xf>
    <xf numFmtId="0" fontId="34" fillId="0" borderId="4" xfId="46" applyFont="1" applyAlignment="1">
      <alignment vertical="center"/>
    </xf>
    <xf numFmtId="44" fontId="1" fillId="0" borderId="4" xfId="46" applyNumberFormat="1"/>
    <xf numFmtId="169" fontId="1" fillId="50" borderId="31" xfId="46" applyNumberFormat="1" applyFill="1" applyBorder="1"/>
    <xf numFmtId="169" fontId="1" fillId="50" borderId="30" xfId="46" applyNumberFormat="1" applyFill="1" applyBorder="1" applyAlignment="1">
      <alignment horizontal="center"/>
    </xf>
    <xf numFmtId="0" fontId="1" fillId="50" borderId="30" xfId="46" applyFill="1" applyBorder="1" applyAlignment="1">
      <alignment horizontal="center"/>
    </xf>
    <xf numFmtId="0" fontId="1" fillId="12" borderId="30" xfId="46" applyFill="1" applyBorder="1" applyAlignment="1">
      <alignment horizontal="center" vertical="center"/>
    </xf>
    <xf numFmtId="0" fontId="1" fillId="50" borderId="29" xfId="46" applyFill="1" applyBorder="1"/>
    <xf numFmtId="0" fontId="46" fillId="51" borderId="32" xfId="46" applyFont="1" applyFill="1" applyBorder="1" applyAlignment="1">
      <alignment horizontal="center" vertical="center"/>
    </xf>
    <xf numFmtId="0" fontId="46" fillId="51" borderId="33" xfId="46" applyFont="1" applyFill="1" applyBorder="1" applyAlignment="1">
      <alignment horizontal="center" vertical="center"/>
    </xf>
    <xf numFmtId="0" fontId="46" fillId="51" borderId="34" xfId="46" applyFont="1" applyFill="1" applyBorder="1" applyAlignment="1">
      <alignment horizontal="center" vertical="center"/>
    </xf>
    <xf numFmtId="0" fontId="51" fillId="0" borderId="4" xfId="46" applyFont="1" applyAlignment="1">
      <alignment horizontal="left"/>
    </xf>
    <xf numFmtId="44" fontId="1" fillId="0" borderId="31" xfId="46" applyNumberFormat="1" applyBorder="1"/>
    <xf numFmtId="44" fontId="1" fillId="0" borderId="4" xfId="46" applyNumberFormat="1" applyAlignment="1">
      <alignment horizontal="center" vertical="center"/>
    </xf>
    <xf numFmtId="0" fontId="1" fillId="52" borderId="4" xfId="46" applyFill="1" applyAlignment="1">
      <alignment horizontal="center" vertical="center"/>
    </xf>
    <xf numFmtId="0" fontId="1" fillId="0" borderId="29" xfId="46" applyBorder="1"/>
    <xf numFmtId="44" fontId="34" fillId="0" borderId="4" xfId="46" applyNumberFormat="1" applyFont="1" applyAlignment="1">
      <alignment vertical="center"/>
    </xf>
    <xf numFmtId="169" fontId="1" fillId="50" borderId="32" xfId="46" applyNumberFormat="1" applyFill="1" applyBorder="1"/>
    <xf numFmtId="44" fontId="1" fillId="12" borderId="33" xfId="46" applyNumberFormat="1" applyFill="1" applyBorder="1"/>
    <xf numFmtId="0" fontId="1" fillId="12" borderId="33" xfId="46" applyFill="1" applyBorder="1" applyAlignment="1">
      <alignment horizontal="center" vertical="center"/>
    </xf>
    <xf numFmtId="0" fontId="0" fillId="53" borderId="33" xfId="47" quotePrefix="1" applyNumberFormat="1" applyFont="1" applyFill="1" applyBorder="1" applyAlignment="1">
      <alignment horizontal="center" vertical="center"/>
    </xf>
    <xf numFmtId="0" fontId="1" fillId="50" borderId="34" xfId="46" applyFill="1" applyBorder="1"/>
    <xf numFmtId="0" fontId="46" fillId="51" borderId="35" xfId="46" applyFont="1" applyFill="1" applyBorder="1" applyAlignment="1">
      <alignment horizontal="center" vertical="center"/>
    </xf>
    <xf numFmtId="0" fontId="46" fillId="51" borderId="36" xfId="46" applyFont="1" applyFill="1" applyBorder="1" applyAlignment="1">
      <alignment horizontal="center" vertical="center"/>
    </xf>
    <xf numFmtId="0" fontId="46" fillId="51" borderId="37" xfId="46" applyFont="1" applyFill="1" applyBorder="1" applyAlignment="1">
      <alignment horizontal="center" vertical="center"/>
    </xf>
    <xf numFmtId="0" fontId="1" fillId="0" borderId="4" xfId="46" applyAlignment="1">
      <alignment horizontal="left"/>
    </xf>
    <xf numFmtId="0" fontId="1" fillId="12" borderId="10" xfId="46" applyFill="1" applyBorder="1"/>
    <xf numFmtId="0" fontId="1" fillId="14" borderId="10" xfId="46" applyFill="1" applyBorder="1" applyAlignment="1">
      <alignment horizontal="left"/>
    </xf>
    <xf numFmtId="164" fontId="33" fillId="13" borderId="16" xfId="46" applyNumberFormat="1" applyFont="1" applyFill="1" applyBorder="1"/>
    <xf numFmtId="0" fontId="32" fillId="14" borderId="17" xfId="46" applyFont="1" applyFill="1" applyBorder="1" applyAlignment="1">
      <alignment horizontal="center" vertical="center" wrapText="1"/>
    </xf>
    <xf numFmtId="44" fontId="1" fillId="12" borderId="10" xfId="46" applyNumberFormat="1" applyFill="1" applyBorder="1"/>
    <xf numFmtId="9" fontId="32" fillId="0" borderId="5" xfId="48" applyFont="1" applyBorder="1"/>
    <xf numFmtId="0" fontId="32" fillId="14" borderId="9" xfId="46" applyFont="1" applyFill="1" applyBorder="1" applyAlignment="1">
      <alignment horizontal="center" vertical="center"/>
    </xf>
    <xf numFmtId="0" fontId="52" fillId="0" borderId="4" xfId="46" applyFont="1" applyAlignment="1">
      <alignment vertical="center"/>
    </xf>
    <xf numFmtId="164" fontId="32" fillId="0" borderId="5" xfId="46" applyNumberFormat="1" applyFont="1" applyBorder="1"/>
    <xf numFmtId="164" fontId="33" fillId="13" borderId="8" xfId="46" applyNumberFormat="1" applyFont="1" applyFill="1" applyBorder="1"/>
    <xf numFmtId="0" fontId="32" fillId="14" borderId="6" xfId="46" applyFont="1" applyFill="1" applyBorder="1" applyAlignment="1">
      <alignment horizontal="center" vertical="center"/>
    </xf>
    <xf numFmtId="0" fontId="1" fillId="12" borderId="38" xfId="46" applyFill="1" applyBorder="1"/>
    <xf numFmtId="0" fontId="1" fillId="14" borderId="38" xfId="46" applyFill="1" applyBorder="1" applyAlignment="1">
      <alignment horizontal="left"/>
    </xf>
    <xf numFmtId="0" fontId="34" fillId="0" borderId="18" xfId="46" applyFont="1" applyBorder="1" applyAlignment="1">
      <alignment horizontal="center" vertical="center"/>
    </xf>
    <xf numFmtId="0" fontId="34" fillId="0" borderId="19" xfId="46" applyFont="1" applyBorder="1" applyAlignment="1">
      <alignment horizontal="center" vertical="center"/>
    </xf>
    <xf numFmtId="0" fontId="1" fillId="0" borderId="4" xfId="2" applyFont="1"/>
    <xf numFmtId="2" fontId="8" fillId="47" borderId="11" xfId="1" applyNumberFormat="1" applyFont="1" applyFill="1" applyBorder="1" applyAlignment="1">
      <alignment wrapText="1"/>
    </xf>
    <xf numFmtId="2" fontId="6" fillId="47" borderId="0" xfId="0" applyNumberFormat="1" applyFont="1" applyFill="1" applyAlignment="1">
      <alignment wrapText="1"/>
    </xf>
    <xf numFmtId="12" fontId="6" fillId="47" borderId="0" xfId="0" applyNumberFormat="1" applyFont="1" applyFill="1" applyAlignment="1">
      <alignment wrapText="1"/>
    </xf>
  </cellXfs>
  <cellStyles count="49">
    <cellStyle name="20% - Accent1 2" xfId="23" xr:uid="{A20D36C6-D69B-4515-9178-909A2D706C30}"/>
    <cellStyle name="20% - Accent2 2" xfId="27" xr:uid="{8F84513D-BE6D-4AAD-94F4-A6AC024EFD3C}"/>
    <cellStyle name="20% - Accent3 2" xfId="31" xr:uid="{52299B7B-7955-4AF6-AB9A-DE7AFA6835FB}"/>
    <cellStyle name="20% - Accent4 2" xfId="35" xr:uid="{3D63BE99-1C05-47D0-AF8D-82B705674A63}"/>
    <cellStyle name="20% - Accent5 2" xfId="39" xr:uid="{CC6E60C7-DF88-4209-ACDD-40F3CB71C289}"/>
    <cellStyle name="20% - Accent6 2" xfId="43" xr:uid="{CE331DFA-71EA-470C-BC11-877EDFA522BE}"/>
    <cellStyle name="40% - Accent1 2" xfId="24" xr:uid="{DC520492-208F-4189-A3A3-603622FD5E48}"/>
    <cellStyle name="40% - Accent2 2" xfId="28" xr:uid="{A8EC1E39-46A1-4557-AF0F-AFEE438B75FF}"/>
    <cellStyle name="40% - Accent3 2" xfId="32" xr:uid="{19A04667-8E42-4458-A9D2-DE9FB6D4D489}"/>
    <cellStyle name="40% - Accent4 2" xfId="36" xr:uid="{753F9634-8A51-49B6-BA69-EE5ABDA7D7E6}"/>
    <cellStyle name="40% - Accent5 2" xfId="40" xr:uid="{A150387E-BA77-4EF9-9FA9-7CCFCFAC9833}"/>
    <cellStyle name="40% - Accent6 2" xfId="44" xr:uid="{72ECA804-2BEA-440A-A723-FC96ABF3D0AF}"/>
    <cellStyle name="60% - Accent1 2" xfId="25" xr:uid="{BADEB3BF-4A2E-45DE-B277-B8843924DA47}"/>
    <cellStyle name="60% - Accent2 2" xfId="29" xr:uid="{38F381B4-4C10-431F-B496-D7BC6D85F6D0}"/>
    <cellStyle name="60% - Accent3 2" xfId="33" xr:uid="{6FBACCEF-EFDD-492A-AD17-4BF0CA5B6BA3}"/>
    <cellStyle name="60% - Accent4 2" xfId="37" xr:uid="{F32EB2BD-9214-44AA-BE9D-E49FDC1CBBC5}"/>
    <cellStyle name="60% - Accent5 2" xfId="41" xr:uid="{1AFDAA90-446C-4C3A-AA3A-F987526A17D2}"/>
    <cellStyle name="60% - Accent6 2" xfId="45" xr:uid="{FC7F19A3-584A-4ADA-A16D-D4829EE98BCA}"/>
    <cellStyle name="Accent1 2" xfId="22" xr:uid="{779E1A26-8D99-4AC3-BCB8-6ABC13C08C6E}"/>
    <cellStyle name="Accent2 2" xfId="26" xr:uid="{B50C9D76-B841-4DB7-95A8-195164B92BB2}"/>
    <cellStyle name="Accent3 2" xfId="30" xr:uid="{1EE96C56-16A9-4BAE-90D0-C4B9E07CF029}"/>
    <cellStyle name="Accent4 2" xfId="34" xr:uid="{CD6AAB39-760A-4A28-93E5-5882A303577A}"/>
    <cellStyle name="Accent5 2" xfId="38" xr:uid="{2E3BE798-55EB-4324-9007-0EAA2412EDAC}"/>
    <cellStyle name="Accent6 2" xfId="42" xr:uid="{F46658DD-B187-40F9-A9F4-30002FDE9A17}"/>
    <cellStyle name="Bad 2" xfId="17" xr:uid="{58EFD23C-5EE9-42CE-B724-8323CDE0DC5C}"/>
    <cellStyle name="Calculation" xfId="9" builtinId="22" customBuiltin="1"/>
    <cellStyle name="Check Cell" xfId="11" builtinId="23" customBuiltin="1"/>
    <cellStyle name="Comma 2" xfId="47" xr:uid="{1157AEC4-A6B8-40AE-8F3A-945192B5F244}"/>
    <cellStyle name="Explanatory Text 2" xfId="21" xr:uid="{51223C30-1E35-4D84-A181-353FF7F6C3D0}"/>
    <cellStyle name="Good 2" xfId="16" xr:uid="{82880639-C98E-4337-ADBF-F14D5FCDA2E9}"/>
    <cellStyle name="Heading 1" xfId="4" builtinId="16" customBuiltin="1"/>
    <cellStyle name="Heading 2" xfId="5" builtinId="17" customBuiltin="1"/>
    <cellStyle name="Heading 3" xfId="6" builtinId="18" customBuiltin="1"/>
    <cellStyle name="Heading 4 2" xfId="15" xr:uid="{E518E393-B423-46BA-B32B-786C456E8D4F}"/>
    <cellStyle name="Input" xfId="7" builtinId="20" customBuiltin="1"/>
    <cellStyle name="Linked Cell" xfId="10" builtinId="24" customBuiltin="1"/>
    <cellStyle name="Neutral 2" xfId="18" xr:uid="{A82182CB-4FDF-4F83-AE1F-57EAD4813C4A}"/>
    <cellStyle name="Normal" xfId="0" builtinId="0"/>
    <cellStyle name="Normal 2" xfId="1" xr:uid="{A3F29FB0-566E-4611-A28D-1A526894994F}"/>
    <cellStyle name="Normal 3" xfId="2" xr:uid="{3AFDE9A7-8468-4828-9A89-E2E80379EC07}"/>
    <cellStyle name="Normal 4" xfId="13" xr:uid="{67A6BC0D-021F-4588-AE94-E8232AEBC566}"/>
    <cellStyle name="Normal 5" xfId="46" xr:uid="{83C45E3A-7CB2-4D17-AA7B-B45AD9D58379}"/>
    <cellStyle name="Note 2" xfId="20" xr:uid="{4FC171D2-77DE-45D8-9C8A-BBBB4BD0A852}"/>
    <cellStyle name="Output" xfId="8" builtinId="21" customBuiltin="1"/>
    <cellStyle name="Percent 2" xfId="3" xr:uid="{CC6A34C6-4E88-42E8-8BF4-78A04B92731A}"/>
    <cellStyle name="Percent 3" xfId="48" xr:uid="{09507E3A-F91B-42D0-AB02-34D74CC518D2}"/>
    <cellStyle name="Title 2" xfId="14" xr:uid="{3BDAB1EF-80C9-4E3D-8B1E-A3CB51001E0A}"/>
    <cellStyle name="Total" xfId="12" builtinId="25" customBuiltin="1"/>
    <cellStyle name="Warning Text 2" xfId="19" xr:uid="{E40FDD62-EFCE-435E-83A0-E5B36DFE4BE2}"/>
  </cellStyles>
  <dxfs count="8">
    <dxf>
      <font>
        <strike val="0"/>
        <outline val="0"/>
        <shadow val="0"/>
        <u val="none"/>
        <vertAlign val="baseline"/>
        <sz val="11"/>
        <color theme="0"/>
        <name val="calibri"/>
        <family val="2"/>
        <scheme val="minor"/>
      </font>
      <fill>
        <patternFill patternType="solid">
          <fgColor indexed="64"/>
          <bgColor rgb="FF00B050"/>
        </patternFill>
      </fill>
    </dxf>
    <dxf>
      <font>
        <strike val="0"/>
        <outline val="0"/>
        <shadow val="0"/>
        <u val="none"/>
        <vertAlign val="baseline"/>
        <sz val="11"/>
        <color theme="1"/>
        <name val="calibri"/>
        <family val="2"/>
        <scheme val="minor"/>
      </font>
      <fill>
        <patternFill patternType="none">
          <fgColor indexed="64"/>
          <bgColor auto="1"/>
        </patternFill>
      </fill>
    </dxf>
    <dxf>
      <font>
        <strike val="0"/>
        <outline val="0"/>
        <shadow val="0"/>
        <u val="none"/>
        <vertAlign val="baseline"/>
        <sz val="11"/>
        <color theme="0"/>
        <name val="calibri"/>
        <family val="2"/>
        <scheme val="minor"/>
      </font>
      <numFmt numFmtId="34" formatCode="_(&quot;$&quot;* #,##0.00_);_(&quot;$&quot;* \(#,##0.00\);_(&quot;$&quot;* &quot;-&quot;??_);_(@_)"/>
      <fill>
        <patternFill patternType="solid">
          <fgColor indexed="64"/>
          <bgColor rgb="FF00B050"/>
        </patternFill>
      </fill>
    </dxf>
    <dxf>
      <numFmt numFmtId="2" formatCode="0.00"/>
      <fill>
        <patternFill patternType="solid">
          <fgColor indexed="64"/>
          <bgColor rgb="FFFFFF00"/>
        </patternFill>
      </fill>
      <alignment horizontal="center" vertical="bottom" textRotation="0" wrapText="0" indent="0" justifyLastLine="0" shrinkToFit="0" readingOrder="0"/>
    </dxf>
    <dxf>
      <numFmt numFmtId="169" formatCode="_(&quot;$&quot;* #,##0.000_);_(&quot;$&quot;* \(#,##0.000\);_(&quot;$&quot;* &quot;-&quot;??_);_(@_)"/>
    </dxf>
    <dxf>
      <numFmt numFmtId="170" formatCode="_(* #,##0_);_(* \(#,##0\);_(* &quot;-&quot;??_);_(@_)"/>
      <fill>
        <patternFill patternType="solid">
          <fgColor indexed="64"/>
          <bgColor rgb="FFFFFF00"/>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180975</xdr:colOff>
      <xdr:row>1</xdr:row>
      <xdr:rowOff>28575</xdr:rowOff>
    </xdr:from>
    <xdr:to>
      <xdr:col>3</xdr:col>
      <xdr:colOff>19050</xdr:colOff>
      <xdr:row>4</xdr:row>
      <xdr:rowOff>76200</xdr:rowOff>
    </xdr:to>
    <xdr:sp macro="[0]!AssemblyTemplateCSVMaker" textlink="">
      <xdr:nvSpPr>
        <xdr:cNvPr id="2" name="Rectangle 1">
          <a:extLst>
            <a:ext uri="{FF2B5EF4-FFF2-40B4-BE49-F238E27FC236}">
              <a16:creationId xmlns:a16="http://schemas.microsoft.com/office/drawing/2014/main" id="{7BEA3789-2D60-4C92-84C4-81602DA9830D}"/>
            </a:ext>
          </a:extLst>
        </xdr:cNvPr>
        <xdr:cNvSpPr/>
      </xdr:nvSpPr>
      <xdr:spPr>
        <a:xfrm>
          <a:off x="790575" y="190500"/>
          <a:ext cx="1057275" cy="533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452A04-227B-464F-9B98-108CC221F516}" name="Table3" displayName="Table3" ref="C22:J23" totalsRowShown="0" headerRowDxfId="7">
  <autoFilter ref="C22:J23" xr:uid="{68C59180-2562-4AE3-8D0A-29024F876F61}"/>
  <tableColumns count="8">
    <tableColumn id="1" xr3:uid="{EF693F3E-DD61-4BF6-AC93-D38ADF47A18A}" name="Part Number" dataDxfId="6"/>
    <tableColumn id="2" xr3:uid="{BE153414-F035-44A8-B78A-39A600806F1A}" name="QTY" dataDxfId="5" dataCellStyle="Comma"/>
    <tableColumn id="3" xr3:uid="{B193370C-14F4-4D0E-B460-8F823F8AEEB1}" name="Material Cost Per Unit" dataDxfId="4">
      <calculatedColumnFormula>K16</calculatedColumnFormula>
    </tableColumn>
    <tableColumn id="4" xr3:uid="{E1E401EE-AFEC-47D4-B276-53B946A4EFD5}" name="True Target Margin" dataDxfId="3"/>
    <tableColumn id="5" xr3:uid="{DEA48CAB-F4D4-4250-A299-07237E2C7DA4}" name="Sell Price" dataDxfId="2">
      <calculatedColumnFormula>(-Table3[[#This Row],[Material Cost Per Unit]])/(Table3[[#This Row],[True Target Margin]]-1+B7)+(B6/Table3[[#This Row],[QTY]])</calculatedColumnFormula>
    </tableColumn>
    <tableColumn id="6" xr3:uid="{B3B7012C-6AA8-4F2F-85C2-D82BBF6226EA}" name="Sales Total" dataDxfId="1">
      <calculatedColumnFormula>Table3[[#This Row],[Sell Price]]*Table3[[#This Row],[QTY]]</calculatedColumnFormula>
    </tableColumn>
    <tableColumn id="7" xr3:uid="{4D64778D-8382-4E6A-A230-1FEDA9AC0D8B}" name="Material Cost">
      <calculatedColumnFormula>ZCONVERT!$E$23*Table3[[#This Row],[QTY]]</calculatedColumnFormula>
    </tableColumn>
    <tableColumn id="8" xr3:uid="{0A641F2D-9C80-458F-BD4D-18C21038018C}" name="True Profit" dataDxfId="0">
      <calculatedColumnFormula>Table3[[#This Row],[Sales Total]]-Table3[[#This Row],[Material Cost]]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opLeftCell="R216" workbookViewId="0">
      <selection activeCell="Z31" sqref="Z31"/>
    </sheetView>
  </sheetViews>
  <sheetFormatPr defaultColWidth="14.42578125" defaultRowHeight="15" customHeight="1" x14ac:dyDescent="0.2"/>
  <cols>
    <col min="1" max="1" width="34" customWidth="1"/>
    <col min="2" max="2" width="14.5703125" customWidth="1"/>
    <col min="3" max="3" width="15.140625" customWidth="1"/>
    <col min="4" max="6" width="9.140625" customWidth="1"/>
    <col min="7" max="18" width="8.7109375" customWidth="1"/>
    <col min="19" max="19" width="54" bestFit="1" customWidth="1"/>
    <col min="20" max="20" width="34" bestFit="1" customWidth="1"/>
    <col min="21" max="21" width="32.140625" bestFit="1" customWidth="1"/>
    <col min="22" max="22" width="53.42578125" bestFit="1" customWidth="1"/>
    <col min="23" max="26" width="8.7109375" customWidth="1"/>
  </cols>
  <sheetData>
    <row r="1" spans="1:26" ht="12.75" customHeight="1" x14ac:dyDescent="0.2">
      <c r="A1" s="1" t="s">
        <v>0</v>
      </c>
      <c r="B1" s="1" t="s">
        <v>1</v>
      </c>
      <c r="C1" s="1" t="s">
        <v>2</v>
      </c>
      <c r="D1" s="2"/>
      <c r="E1" s="2"/>
      <c r="F1" s="2"/>
      <c r="G1" s="2"/>
      <c r="H1" s="2"/>
      <c r="I1" s="2"/>
      <c r="J1" s="2"/>
      <c r="K1" s="2"/>
      <c r="L1" s="2"/>
      <c r="M1" s="2"/>
      <c r="N1" s="2"/>
      <c r="O1" s="2"/>
      <c r="P1" s="2"/>
      <c r="Q1" s="2"/>
      <c r="R1" s="2"/>
      <c r="S1" s="97" t="s">
        <v>617</v>
      </c>
      <c r="T1" s="97" t="s">
        <v>335</v>
      </c>
      <c r="U1" s="97" t="s">
        <v>907</v>
      </c>
      <c r="V1" s="97" t="s">
        <v>917</v>
      </c>
      <c r="W1" s="2"/>
      <c r="X1" s="2"/>
      <c r="Y1" s="2"/>
      <c r="Z1" s="2"/>
    </row>
    <row r="2" spans="1:26" ht="12.75" customHeight="1" x14ac:dyDescent="0.2">
      <c r="A2" s="3" t="s">
        <v>3</v>
      </c>
      <c r="B2" s="3" t="s">
        <v>4</v>
      </c>
      <c r="C2" s="3">
        <v>60</v>
      </c>
      <c r="D2" s="2"/>
      <c r="E2" s="2"/>
      <c r="F2" s="2"/>
      <c r="G2" s="2"/>
      <c r="H2" s="2"/>
      <c r="I2" s="2"/>
      <c r="J2" s="2"/>
      <c r="K2" s="2"/>
      <c r="L2" s="2"/>
      <c r="M2" s="2"/>
      <c r="N2" s="2"/>
      <c r="O2" s="2"/>
      <c r="P2" s="2"/>
      <c r="Q2" s="2"/>
      <c r="R2" s="2"/>
      <c r="S2" s="38" t="s">
        <v>618</v>
      </c>
      <c r="T2" s="38" t="s">
        <v>867</v>
      </c>
      <c r="U2" s="38" t="s">
        <v>867</v>
      </c>
      <c r="V2" s="38" t="s">
        <v>918</v>
      </c>
      <c r="W2" s="2"/>
      <c r="X2" s="2"/>
      <c r="Y2" s="2"/>
      <c r="Z2" s="2"/>
    </row>
    <row r="3" spans="1:26" ht="12.75" customHeight="1" x14ac:dyDescent="0.2">
      <c r="A3" s="3" t="s">
        <v>5</v>
      </c>
      <c r="B3" s="4" t="s">
        <v>4</v>
      </c>
      <c r="C3" s="4">
        <v>60</v>
      </c>
      <c r="D3" s="2"/>
      <c r="E3" s="2"/>
      <c r="F3" s="2"/>
      <c r="G3" s="2"/>
      <c r="H3" s="2"/>
      <c r="I3" s="2"/>
      <c r="J3" s="2"/>
      <c r="K3" s="2"/>
      <c r="L3" s="2"/>
      <c r="M3" s="2"/>
      <c r="N3" s="2"/>
      <c r="O3" s="2"/>
      <c r="P3" s="2"/>
      <c r="Q3" s="2"/>
      <c r="R3" s="2"/>
      <c r="S3" s="38" t="s">
        <v>619</v>
      </c>
      <c r="T3" s="38" t="s">
        <v>868</v>
      </c>
      <c r="U3" s="38" t="s">
        <v>908</v>
      </c>
      <c r="V3" s="38" t="s">
        <v>919</v>
      </c>
      <c r="W3" s="2"/>
      <c r="X3" s="2"/>
      <c r="Y3" s="2"/>
      <c r="Z3" s="2"/>
    </row>
    <row r="4" spans="1:26" ht="12.75" customHeight="1" x14ac:dyDescent="0.2">
      <c r="A4" s="3" t="s">
        <v>6</v>
      </c>
      <c r="B4" s="4" t="s">
        <v>4</v>
      </c>
      <c r="C4" s="4">
        <v>60</v>
      </c>
      <c r="D4" s="2"/>
      <c r="E4" s="2"/>
      <c r="F4" s="2"/>
      <c r="G4" s="2"/>
      <c r="H4" s="2"/>
      <c r="I4" s="2"/>
      <c r="J4" s="2"/>
      <c r="K4" s="2"/>
      <c r="L4" s="2"/>
      <c r="M4" s="2"/>
      <c r="N4" s="2"/>
      <c r="O4" s="2"/>
      <c r="P4" s="2"/>
      <c r="Q4" s="2"/>
      <c r="R4" s="2"/>
      <c r="S4" s="38" t="s">
        <v>620</v>
      </c>
      <c r="T4" s="38" t="s">
        <v>869</v>
      </c>
      <c r="U4" s="38" t="s">
        <v>869</v>
      </c>
      <c r="V4" s="38" t="s">
        <v>920</v>
      </c>
      <c r="W4" s="2"/>
      <c r="X4" s="2"/>
      <c r="Y4" s="2"/>
      <c r="Z4" s="2"/>
    </row>
    <row r="5" spans="1:26" ht="12.75" customHeight="1" x14ac:dyDescent="0.2">
      <c r="A5" s="3" t="s">
        <v>7</v>
      </c>
      <c r="B5" s="4" t="s">
        <v>4</v>
      </c>
      <c r="C5" s="4">
        <v>60</v>
      </c>
      <c r="D5" s="2"/>
      <c r="E5" s="2"/>
      <c r="F5" s="2"/>
      <c r="G5" s="2"/>
      <c r="H5" s="2"/>
      <c r="I5" s="2"/>
      <c r="J5" s="2"/>
      <c r="K5" s="2"/>
      <c r="L5" s="2"/>
      <c r="M5" s="2"/>
      <c r="N5" s="2"/>
      <c r="O5" s="2"/>
      <c r="P5" s="2"/>
      <c r="Q5" s="2"/>
      <c r="R5" s="2"/>
      <c r="S5" s="38" t="s">
        <v>621</v>
      </c>
      <c r="T5" s="38" t="s">
        <v>870</v>
      </c>
      <c r="U5" s="38" t="s">
        <v>870</v>
      </c>
      <c r="V5" s="38" t="s">
        <v>921</v>
      </c>
      <c r="W5" s="2"/>
      <c r="X5" s="2"/>
      <c r="Y5" s="2"/>
      <c r="Z5" s="2"/>
    </row>
    <row r="6" spans="1:26" ht="12.75" customHeight="1" x14ac:dyDescent="0.2">
      <c r="A6" s="3" t="s">
        <v>8</v>
      </c>
      <c r="B6" s="4" t="s">
        <v>9</v>
      </c>
      <c r="C6" s="4" t="s">
        <v>9</v>
      </c>
      <c r="D6" s="2"/>
      <c r="E6" s="2"/>
      <c r="F6" s="2"/>
      <c r="G6" s="2"/>
      <c r="H6" s="2"/>
      <c r="I6" s="2"/>
      <c r="J6" s="2"/>
      <c r="K6" s="2"/>
      <c r="L6" s="2"/>
      <c r="M6" s="2"/>
      <c r="N6" s="2"/>
      <c r="O6" s="2"/>
      <c r="P6" s="2"/>
      <c r="Q6" s="2"/>
      <c r="R6" s="2"/>
      <c r="S6" s="38" t="s">
        <v>622</v>
      </c>
      <c r="T6" s="38" t="s">
        <v>871</v>
      </c>
      <c r="U6" s="38" t="s">
        <v>909</v>
      </c>
      <c r="V6" s="38" t="s">
        <v>922</v>
      </c>
      <c r="W6" s="2"/>
      <c r="X6" s="2"/>
      <c r="Y6" s="2"/>
      <c r="Z6" s="2"/>
    </row>
    <row r="7" spans="1:26" ht="12.75" customHeight="1" x14ac:dyDescent="0.2">
      <c r="A7" s="3" t="s">
        <v>10</v>
      </c>
      <c r="B7" s="4" t="s">
        <v>4</v>
      </c>
      <c r="C7" s="4">
        <v>999</v>
      </c>
      <c r="D7" s="2"/>
      <c r="E7" s="2"/>
      <c r="F7" s="2"/>
      <c r="G7" s="2"/>
      <c r="H7" s="2"/>
      <c r="I7" s="2"/>
      <c r="J7" s="2"/>
      <c r="K7" s="2"/>
      <c r="L7" s="2"/>
      <c r="M7" s="2"/>
      <c r="N7" s="2"/>
      <c r="O7" s="2"/>
      <c r="P7" s="2"/>
      <c r="Q7" s="2"/>
      <c r="R7" s="2"/>
      <c r="S7" s="38" t="s">
        <v>623</v>
      </c>
      <c r="T7" s="38" t="s">
        <v>872</v>
      </c>
      <c r="U7" s="38" t="s">
        <v>871</v>
      </c>
      <c r="V7" s="38" t="s">
        <v>923</v>
      </c>
      <c r="W7" s="2"/>
      <c r="X7" s="2"/>
      <c r="Y7" s="2"/>
      <c r="Z7" s="2"/>
    </row>
    <row r="8" spans="1:26" ht="12.75" customHeight="1" x14ac:dyDescent="0.2">
      <c r="A8" s="3" t="s">
        <v>11</v>
      </c>
      <c r="B8" s="4" t="s">
        <v>12</v>
      </c>
      <c r="C8" s="4" t="s">
        <v>12</v>
      </c>
      <c r="D8" s="2"/>
      <c r="E8" s="2"/>
      <c r="F8" s="2"/>
      <c r="G8" s="2"/>
      <c r="H8" s="2"/>
      <c r="I8" s="2"/>
      <c r="J8" s="2"/>
      <c r="K8" s="2"/>
      <c r="L8" s="2"/>
      <c r="M8" s="2"/>
      <c r="N8" s="2"/>
      <c r="O8" s="2"/>
      <c r="P8" s="2"/>
      <c r="Q8" s="2"/>
      <c r="R8" s="2"/>
      <c r="S8" s="38" t="s">
        <v>624</v>
      </c>
      <c r="T8" s="38" t="s">
        <v>873</v>
      </c>
      <c r="U8" s="38" t="s">
        <v>910</v>
      </c>
      <c r="V8" s="38" t="s">
        <v>924</v>
      </c>
      <c r="W8" s="2"/>
      <c r="X8" s="2"/>
      <c r="Y8" s="2"/>
      <c r="Z8" s="2"/>
    </row>
    <row r="9" spans="1:26" ht="12.75" customHeight="1" x14ac:dyDescent="0.2">
      <c r="A9" s="3" t="s">
        <v>13</v>
      </c>
      <c r="B9" s="4"/>
      <c r="C9" s="4" t="s">
        <v>9</v>
      </c>
      <c r="D9" s="2"/>
      <c r="E9" s="2"/>
      <c r="F9" s="2"/>
      <c r="G9" s="2"/>
      <c r="H9" s="2"/>
      <c r="I9" s="2"/>
      <c r="J9" s="2"/>
      <c r="K9" s="2"/>
      <c r="L9" s="2"/>
      <c r="M9" s="2"/>
      <c r="N9" s="2"/>
      <c r="O9" s="2"/>
      <c r="P9" s="2"/>
      <c r="Q9" s="2"/>
      <c r="R9" s="2"/>
      <c r="S9" s="38" t="s">
        <v>625</v>
      </c>
      <c r="T9" s="38" t="s">
        <v>874</v>
      </c>
      <c r="U9" s="38" t="s">
        <v>872</v>
      </c>
      <c r="V9" s="38" t="s">
        <v>925</v>
      </c>
      <c r="W9" s="2"/>
      <c r="X9" s="2"/>
      <c r="Y9" s="2"/>
      <c r="Z9" s="2"/>
    </row>
    <row r="10" spans="1:26" ht="12.75" customHeight="1" x14ac:dyDescent="0.2">
      <c r="A10" s="3" t="s">
        <v>14</v>
      </c>
      <c r="B10" s="4" t="s">
        <v>9</v>
      </c>
      <c r="C10" s="4" t="s">
        <v>9</v>
      </c>
      <c r="D10" s="2"/>
      <c r="E10" s="2"/>
      <c r="F10" s="2"/>
      <c r="G10" s="2"/>
      <c r="H10" s="2"/>
      <c r="I10" s="2"/>
      <c r="J10" s="2"/>
      <c r="K10" s="2"/>
      <c r="L10" s="2"/>
      <c r="M10" s="2"/>
      <c r="N10" s="2"/>
      <c r="O10" s="2"/>
      <c r="P10" s="2"/>
      <c r="Q10" s="2"/>
      <c r="R10" s="2"/>
      <c r="S10" s="38" t="s">
        <v>626</v>
      </c>
      <c r="T10" s="38" t="s">
        <v>875</v>
      </c>
      <c r="U10" s="38" t="s">
        <v>873</v>
      </c>
      <c r="V10" s="38" t="s">
        <v>926</v>
      </c>
      <c r="W10" s="2"/>
      <c r="X10" s="2"/>
      <c r="Y10" s="2"/>
      <c r="Z10" s="2"/>
    </row>
    <row r="11" spans="1:26" ht="12.75" customHeight="1" x14ac:dyDescent="0.2">
      <c r="A11" s="3" t="s">
        <v>15</v>
      </c>
      <c r="B11" s="3" t="s">
        <v>16</v>
      </c>
      <c r="C11" s="3" t="s">
        <v>17</v>
      </c>
      <c r="D11" s="2"/>
      <c r="E11" s="2"/>
      <c r="F11" s="2"/>
      <c r="G11" s="2"/>
      <c r="H11" s="2"/>
      <c r="I11" s="2"/>
      <c r="J11" s="2"/>
      <c r="K11" s="2"/>
      <c r="L11" s="2"/>
      <c r="M11" s="2"/>
      <c r="N11" s="2"/>
      <c r="O11" s="2"/>
      <c r="P11" s="2"/>
      <c r="Q11" s="2"/>
      <c r="R11" s="2"/>
      <c r="S11" s="38" t="s">
        <v>627</v>
      </c>
      <c r="T11" s="38" t="s">
        <v>876</v>
      </c>
      <c r="U11" s="38" t="s">
        <v>874</v>
      </c>
      <c r="V11" s="38" t="s">
        <v>927</v>
      </c>
      <c r="W11" s="2"/>
      <c r="X11" s="2"/>
      <c r="Y11" s="2"/>
      <c r="Z11" s="2"/>
    </row>
    <row r="12" spans="1:26" ht="12.75" customHeight="1" x14ac:dyDescent="0.2">
      <c r="A12" s="3" t="s">
        <v>18</v>
      </c>
      <c r="B12" s="4" t="s">
        <v>4</v>
      </c>
      <c r="C12" s="4">
        <v>999</v>
      </c>
      <c r="D12" s="2"/>
      <c r="E12" s="2"/>
      <c r="F12" s="2"/>
      <c r="G12" s="2"/>
      <c r="H12" s="2"/>
      <c r="I12" s="2"/>
      <c r="J12" s="2"/>
      <c r="K12" s="2"/>
      <c r="L12" s="2"/>
      <c r="M12" s="2"/>
      <c r="N12" s="2"/>
      <c r="O12" s="2"/>
      <c r="P12" s="2"/>
      <c r="Q12" s="2"/>
      <c r="R12" s="2"/>
      <c r="S12" s="38" t="s">
        <v>628</v>
      </c>
      <c r="T12" s="38" t="s">
        <v>877</v>
      </c>
      <c r="U12" s="38" t="s">
        <v>875</v>
      </c>
      <c r="V12" s="38" t="s">
        <v>928</v>
      </c>
      <c r="W12" s="2"/>
      <c r="X12" s="2"/>
      <c r="Y12" s="2"/>
      <c r="Z12" s="2"/>
    </row>
    <row r="13" spans="1:26" ht="12.75" customHeight="1" x14ac:dyDescent="0.2">
      <c r="A13" s="3" t="s">
        <v>19</v>
      </c>
      <c r="B13" s="4" t="s">
        <v>9</v>
      </c>
      <c r="C13" s="4" t="s">
        <v>9</v>
      </c>
      <c r="D13" s="2"/>
      <c r="E13" s="2"/>
      <c r="F13" s="2"/>
      <c r="G13" s="2"/>
      <c r="H13" s="2"/>
      <c r="I13" s="2"/>
      <c r="J13" s="2"/>
      <c r="K13" s="2"/>
      <c r="L13" s="2"/>
      <c r="M13" s="2"/>
      <c r="N13" s="2"/>
      <c r="O13" s="2"/>
      <c r="P13" s="2"/>
      <c r="Q13" s="2"/>
      <c r="R13" s="2"/>
      <c r="S13" s="38" t="s">
        <v>629</v>
      </c>
      <c r="T13" s="38" t="s">
        <v>878</v>
      </c>
      <c r="U13" s="38" t="s">
        <v>876</v>
      </c>
      <c r="V13" s="38" t="s">
        <v>929</v>
      </c>
      <c r="W13" s="2"/>
      <c r="X13" s="2"/>
      <c r="Y13" s="2"/>
      <c r="Z13" s="2"/>
    </row>
    <row r="14" spans="1:26" ht="12.75" customHeight="1" x14ac:dyDescent="0.2">
      <c r="A14" s="3" t="s">
        <v>20</v>
      </c>
      <c r="B14" s="4" t="s">
        <v>9</v>
      </c>
      <c r="C14" s="4" t="s">
        <v>9</v>
      </c>
      <c r="D14" s="2"/>
      <c r="E14" s="2"/>
      <c r="F14" s="2"/>
      <c r="G14" s="2"/>
      <c r="H14" s="2"/>
      <c r="I14" s="2"/>
      <c r="J14" s="2"/>
      <c r="K14" s="2"/>
      <c r="L14" s="2"/>
      <c r="M14" s="2"/>
      <c r="N14" s="2"/>
      <c r="O14" s="2"/>
      <c r="P14" s="2"/>
      <c r="Q14" s="2"/>
      <c r="R14" s="2"/>
      <c r="S14" s="38" t="s">
        <v>630</v>
      </c>
      <c r="T14" s="38" t="s">
        <v>879</v>
      </c>
      <c r="U14" s="38" t="s">
        <v>877</v>
      </c>
      <c r="V14" s="38" t="s">
        <v>930</v>
      </c>
      <c r="W14" s="2"/>
      <c r="X14" s="2"/>
      <c r="Y14" s="2"/>
      <c r="Z14" s="2"/>
    </row>
    <row r="15" spans="1:26" ht="12.75" customHeight="1" x14ac:dyDescent="0.2">
      <c r="A15" s="3" t="s">
        <v>21</v>
      </c>
      <c r="B15" s="4" t="s">
        <v>9</v>
      </c>
      <c r="C15" s="4" t="s">
        <v>9</v>
      </c>
      <c r="D15" s="2"/>
      <c r="E15" s="2"/>
      <c r="F15" s="2"/>
      <c r="G15" s="2"/>
      <c r="H15" s="2"/>
      <c r="I15" s="2"/>
      <c r="J15" s="2"/>
      <c r="K15" s="2"/>
      <c r="L15" s="2"/>
      <c r="M15" s="2"/>
      <c r="N15" s="2"/>
      <c r="O15" s="2"/>
      <c r="P15" s="2"/>
      <c r="Q15" s="2"/>
      <c r="R15" s="2"/>
      <c r="S15" s="38" t="s">
        <v>631</v>
      </c>
      <c r="T15" s="38" t="s">
        <v>880</v>
      </c>
      <c r="U15" s="38" t="s">
        <v>878</v>
      </c>
      <c r="V15" s="38" t="s">
        <v>931</v>
      </c>
      <c r="W15" s="2"/>
      <c r="X15" s="2"/>
      <c r="Y15" s="2"/>
      <c r="Z15" s="2"/>
    </row>
    <row r="16" spans="1:26" ht="12.75" customHeight="1" x14ac:dyDescent="0.2">
      <c r="A16" s="3" t="s">
        <v>22</v>
      </c>
      <c r="B16" s="4" t="s">
        <v>12</v>
      </c>
      <c r="C16" s="4"/>
      <c r="D16" s="2"/>
      <c r="E16" s="2"/>
      <c r="F16" s="2"/>
      <c r="G16" s="2"/>
      <c r="H16" s="2"/>
      <c r="I16" s="2"/>
      <c r="J16" s="2"/>
      <c r="K16" s="2"/>
      <c r="L16" s="2"/>
      <c r="M16" s="2"/>
      <c r="N16" s="2"/>
      <c r="O16" s="2"/>
      <c r="P16" s="2"/>
      <c r="Q16" s="2"/>
      <c r="R16" s="2"/>
      <c r="S16" s="38" t="s">
        <v>632</v>
      </c>
      <c r="T16" s="38" t="s">
        <v>881</v>
      </c>
      <c r="U16" s="38" t="s">
        <v>911</v>
      </c>
      <c r="V16" s="38" t="s">
        <v>932</v>
      </c>
      <c r="W16" s="2"/>
      <c r="X16" s="2"/>
      <c r="Y16" s="2"/>
      <c r="Z16" s="2"/>
    </row>
    <row r="17" spans="1:26" ht="12.75" customHeight="1" x14ac:dyDescent="0.2">
      <c r="A17" s="3" t="s">
        <v>23</v>
      </c>
      <c r="B17" s="4" t="s">
        <v>9</v>
      </c>
      <c r="C17" s="4" t="s">
        <v>9</v>
      </c>
      <c r="D17" s="2"/>
      <c r="E17" s="2"/>
      <c r="F17" s="2"/>
      <c r="G17" s="2"/>
      <c r="H17" s="2"/>
      <c r="I17" s="2"/>
      <c r="J17" s="2"/>
      <c r="K17" s="2"/>
      <c r="L17" s="2"/>
      <c r="M17" s="2"/>
      <c r="N17" s="2"/>
      <c r="O17" s="2"/>
      <c r="P17" s="2"/>
      <c r="Q17" s="2"/>
      <c r="R17" s="2"/>
      <c r="S17" s="38" t="s">
        <v>633</v>
      </c>
      <c r="T17" s="38" t="s">
        <v>713</v>
      </c>
      <c r="U17" s="38" t="s">
        <v>880</v>
      </c>
      <c r="V17" s="38" t="s">
        <v>933</v>
      </c>
      <c r="W17" s="2"/>
      <c r="X17" s="2"/>
      <c r="Y17" s="2"/>
      <c r="Z17" s="2"/>
    </row>
    <row r="18" spans="1:26" ht="12.75" customHeight="1" x14ac:dyDescent="0.2">
      <c r="A18" s="3" t="s">
        <v>24</v>
      </c>
      <c r="B18" s="4" t="s">
        <v>9</v>
      </c>
      <c r="C18" s="4" t="s">
        <v>9</v>
      </c>
      <c r="D18" s="2"/>
      <c r="E18" s="2"/>
      <c r="F18" s="2"/>
      <c r="G18" s="2"/>
      <c r="H18" s="2"/>
      <c r="I18" s="2"/>
      <c r="J18" s="2"/>
      <c r="K18" s="2"/>
      <c r="L18" s="2"/>
      <c r="M18" s="2"/>
      <c r="N18" s="2"/>
      <c r="O18" s="2"/>
      <c r="P18" s="2"/>
      <c r="Q18" s="2"/>
      <c r="R18" s="2"/>
      <c r="S18" s="38" t="s">
        <v>634</v>
      </c>
      <c r="T18" s="38" t="s">
        <v>882</v>
      </c>
      <c r="U18" s="38" t="s">
        <v>881</v>
      </c>
      <c r="V18" s="38" t="s">
        <v>934</v>
      </c>
      <c r="W18" s="2"/>
      <c r="X18" s="2"/>
      <c r="Y18" s="2"/>
      <c r="Z18" s="2"/>
    </row>
    <row r="19" spans="1:26" ht="12.75" customHeight="1" x14ac:dyDescent="0.2">
      <c r="A19" s="3" t="s">
        <v>25</v>
      </c>
      <c r="B19" s="4"/>
      <c r="C19" s="4"/>
      <c r="D19" s="2"/>
      <c r="E19" s="2"/>
      <c r="F19" s="2"/>
      <c r="G19" s="2"/>
      <c r="H19" s="2"/>
      <c r="I19" s="2"/>
      <c r="J19" s="2"/>
      <c r="K19" s="2"/>
      <c r="L19" s="2"/>
      <c r="M19" s="2"/>
      <c r="N19" s="2"/>
      <c r="O19" s="2"/>
      <c r="P19" s="2"/>
      <c r="Q19" s="2"/>
      <c r="R19" s="2"/>
      <c r="S19" s="38" t="s">
        <v>635</v>
      </c>
      <c r="T19" s="38" t="s">
        <v>883</v>
      </c>
      <c r="U19" s="38" t="s">
        <v>713</v>
      </c>
      <c r="V19" s="38" t="s">
        <v>935</v>
      </c>
      <c r="W19" s="2"/>
      <c r="X19" s="2"/>
      <c r="Y19" s="2"/>
      <c r="Z19" s="2"/>
    </row>
    <row r="20" spans="1:26" ht="12.75" customHeight="1" x14ac:dyDescent="0.2">
      <c r="A20" s="3" t="s">
        <v>26</v>
      </c>
      <c r="B20" s="4" t="s">
        <v>9</v>
      </c>
      <c r="C20" s="4" t="s">
        <v>9</v>
      </c>
      <c r="D20" s="2"/>
      <c r="E20" s="2"/>
      <c r="F20" s="2"/>
      <c r="G20" s="2"/>
      <c r="H20" s="2"/>
      <c r="I20" s="2"/>
      <c r="J20" s="2"/>
      <c r="K20" s="2"/>
      <c r="L20" s="2"/>
      <c r="M20" s="2"/>
      <c r="N20" s="2"/>
      <c r="O20" s="2"/>
      <c r="P20" s="2"/>
      <c r="Q20" s="2"/>
      <c r="R20" s="2"/>
      <c r="S20" s="38" t="s">
        <v>636</v>
      </c>
      <c r="T20" s="38" t="s">
        <v>884</v>
      </c>
      <c r="U20" s="38" t="s">
        <v>882</v>
      </c>
      <c r="V20" s="38" t="s">
        <v>936</v>
      </c>
      <c r="W20" s="2"/>
      <c r="X20" s="2"/>
      <c r="Y20" s="2"/>
      <c r="Z20" s="2"/>
    </row>
    <row r="21" spans="1:26" ht="12.75" customHeight="1" x14ac:dyDescent="0.2">
      <c r="A21" s="3" t="s">
        <v>27</v>
      </c>
      <c r="B21" s="4" t="s">
        <v>9</v>
      </c>
      <c r="C21" s="4" t="s">
        <v>9</v>
      </c>
      <c r="D21" s="2"/>
      <c r="E21" s="2"/>
      <c r="F21" s="2"/>
      <c r="G21" s="2"/>
      <c r="H21" s="2"/>
      <c r="I21" s="2"/>
      <c r="J21" s="2"/>
      <c r="K21" s="2"/>
      <c r="L21" s="2"/>
      <c r="M21" s="2"/>
      <c r="N21" s="2"/>
      <c r="O21" s="2"/>
      <c r="P21" s="2"/>
      <c r="Q21" s="2"/>
      <c r="R21" s="2"/>
      <c r="S21" s="38" t="s">
        <v>637</v>
      </c>
      <c r="T21" s="38" t="s">
        <v>885</v>
      </c>
      <c r="U21" s="38" t="s">
        <v>883</v>
      </c>
      <c r="V21" s="38" t="s">
        <v>937</v>
      </c>
      <c r="W21" s="2"/>
      <c r="X21" s="2"/>
      <c r="Y21" s="2"/>
      <c r="Z21" s="2"/>
    </row>
    <row r="22" spans="1:26" ht="12.75" customHeight="1" x14ac:dyDescent="0.2">
      <c r="A22" s="3" t="s">
        <v>28</v>
      </c>
      <c r="B22" s="4"/>
      <c r="C22" s="4"/>
      <c r="D22" s="2"/>
      <c r="E22" s="2"/>
      <c r="F22" s="2"/>
      <c r="G22" s="2"/>
      <c r="H22" s="2"/>
      <c r="I22" s="2"/>
      <c r="J22" s="2"/>
      <c r="K22" s="2"/>
      <c r="L22" s="2"/>
      <c r="M22" s="2"/>
      <c r="N22" s="2"/>
      <c r="O22" s="2"/>
      <c r="P22" s="2"/>
      <c r="Q22" s="2"/>
      <c r="R22" s="2"/>
      <c r="S22" s="38" t="s">
        <v>638</v>
      </c>
      <c r="T22" s="38" t="s">
        <v>886</v>
      </c>
      <c r="U22" s="38" t="s">
        <v>884</v>
      </c>
      <c r="V22" s="38" t="s">
        <v>938</v>
      </c>
      <c r="W22" s="2"/>
      <c r="X22" s="2"/>
      <c r="Y22" s="2"/>
      <c r="Z22" s="2"/>
    </row>
    <row r="23" spans="1:26" ht="12.75" customHeight="1" x14ac:dyDescent="0.2">
      <c r="A23" s="3" t="s">
        <v>29</v>
      </c>
      <c r="B23" s="4" t="s">
        <v>9</v>
      </c>
      <c r="C23" s="4" t="s">
        <v>9</v>
      </c>
      <c r="D23" s="2"/>
      <c r="E23" s="2"/>
      <c r="F23" s="2"/>
      <c r="G23" s="2"/>
      <c r="H23" s="2"/>
      <c r="I23" s="2"/>
      <c r="J23" s="2"/>
      <c r="K23" s="2"/>
      <c r="L23" s="2"/>
      <c r="M23" s="2"/>
      <c r="N23" s="2"/>
      <c r="O23" s="2"/>
      <c r="P23" s="2"/>
      <c r="Q23" s="2"/>
      <c r="R23" s="2"/>
      <c r="S23" s="38" t="s">
        <v>639</v>
      </c>
      <c r="T23" s="38" t="s">
        <v>739</v>
      </c>
      <c r="U23" s="38" t="s">
        <v>885</v>
      </c>
      <c r="V23" s="38" t="s">
        <v>939</v>
      </c>
      <c r="W23" s="2"/>
      <c r="X23" s="2"/>
      <c r="Y23" s="2"/>
      <c r="Z23" s="2"/>
    </row>
    <row r="24" spans="1:26" ht="12.75" customHeight="1" x14ac:dyDescent="0.2">
      <c r="A24" s="3" t="s">
        <v>30</v>
      </c>
      <c r="B24" s="4" t="s">
        <v>9</v>
      </c>
      <c r="C24" s="4" t="s">
        <v>9</v>
      </c>
      <c r="D24" s="2"/>
      <c r="E24" s="2"/>
      <c r="F24" s="2"/>
      <c r="G24" s="2"/>
      <c r="H24" s="2"/>
      <c r="I24" s="2"/>
      <c r="J24" s="2"/>
      <c r="K24" s="2"/>
      <c r="L24" s="2"/>
      <c r="M24" s="2"/>
      <c r="N24" s="2"/>
      <c r="O24" s="2"/>
      <c r="P24" s="2"/>
      <c r="Q24" s="2"/>
      <c r="R24" s="2"/>
      <c r="S24" s="38" t="s">
        <v>640</v>
      </c>
      <c r="T24" s="38" t="s">
        <v>887</v>
      </c>
      <c r="U24" s="38" t="s">
        <v>886</v>
      </c>
      <c r="V24" s="38" t="s">
        <v>940</v>
      </c>
      <c r="W24" s="2"/>
      <c r="X24" s="2"/>
      <c r="Y24" s="2"/>
      <c r="Z24" s="2"/>
    </row>
    <row r="25" spans="1:26" ht="12.75" customHeight="1" x14ac:dyDescent="0.2">
      <c r="A25" s="3" t="s">
        <v>31</v>
      </c>
      <c r="B25" s="4"/>
      <c r="C25" s="4"/>
      <c r="D25" s="2"/>
      <c r="E25" s="2"/>
      <c r="F25" s="2"/>
      <c r="G25" s="2"/>
      <c r="H25" s="2"/>
      <c r="I25" s="2"/>
      <c r="J25" s="2"/>
      <c r="K25" s="2"/>
      <c r="L25" s="2"/>
      <c r="M25" s="2"/>
      <c r="N25" s="2"/>
      <c r="O25" s="2"/>
      <c r="P25" s="2"/>
      <c r="Q25" s="2"/>
      <c r="R25" s="2"/>
      <c r="S25" s="38" t="s">
        <v>641</v>
      </c>
      <c r="T25" s="38" t="s">
        <v>888</v>
      </c>
      <c r="U25" s="38" t="s">
        <v>739</v>
      </c>
      <c r="V25" s="38" t="s">
        <v>941</v>
      </c>
      <c r="W25" s="2"/>
      <c r="X25" s="2"/>
      <c r="Y25" s="2"/>
      <c r="Z25" s="2"/>
    </row>
    <row r="26" spans="1:26" ht="12.75" customHeight="1" x14ac:dyDescent="0.2">
      <c r="A26" s="3" t="s">
        <v>32</v>
      </c>
      <c r="B26" s="4"/>
      <c r="C26" s="4" t="s">
        <v>9</v>
      </c>
      <c r="D26" s="2"/>
      <c r="E26" s="2"/>
      <c r="F26" s="2"/>
      <c r="G26" s="2"/>
      <c r="H26" s="2"/>
      <c r="I26" s="2"/>
      <c r="J26" s="2"/>
      <c r="K26" s="2"/>
      <c r="L26" s="2"/>
      <c r="M26" s="2"/>
      <c r="N26" s="2"/>
      <c r="O26" s="2"/>
      <c r="P26" s="2"/>
      <c r="Q26" s="2"/>
      <c r="R26" s="2"/>
      <c r="S26" s="38" t="s">
        <v>642</v>
      </c>
      <c r="T26" s="38" t="s">
        <v>889</v>
      </c>
      <c r="U26" s="38" t="s">
        <v>912</v>
      </c>
      <c r="V26" s="38" t="s">
        <v>942</v>
      </c>
      <c r="W26" s="2"/>
      <c r="X26" s="2"/>
      <c r="Y26" s="2"/>
      <c r="Z26" s="2"/>
    </row>
    <row r="27" spans="1:26" ht="12.75" customHeight="1" x14ac:dyDescent="0.2">
      <c r="A27" s="3" t="s">
        <v>33</v>
      </c>
      <c r="B27" s="4" t="s">
        <v>12</v>
      </c>
      <c r="C27" s="4"/>
      <c r="D27" s="2"/>
      <c r="E27" s="2"/>
      <c r="F27" s="2"/>
      <c r="G27" s="2"/>
      <c r="H27" s="2"/>
      <c r="I27" s="2"/>
      <c r="J27" s="2"/>
      <c r="K27" s="2"/>
      <c r="L27" s="2"/>
      <c r="M27" s="2"/>
      <c r="N27" s="2"/>
      <c r="O27" s="2"/>
      <c r="P27" s="2"/>
      <c r="Q27" s="2"/>
      <c r="R27" s="2"/>
      <c r="S27" s="38" t="s">
        <v>643</v>
      </c>
      <c r="T27" s="38" t="s">
        <v>890</v>
      </c>
      <c r="U27" s="38" t="s">
        <v>887</v>
      </c>
      <c r="V27" s="38" t="s">
        <v>943</v>
      </c>
      <c r="W27" s="2"/>
      <c r="X27" s="2"/>
      <c r="Y27" s="2"/>
      <c r="Z27" s="2"/>
    </row>
    <row r="28" spans="1:26" ht="12.75" customHeight="1" x14ac:dyDescent="0.2">
      <c r="A28" s="3" t="s">
        <v>34</v>
      </c>
      <c r="B28" s="4" t="s">
        <v>12</v>
      </c>
      <c r="C28" s="4"/>
      <c r="D28" s="2"/>
      <c r="E28" s="2"/>
      <c r="F28" s="2"/>
      <c r="G28" s="2"/>
      <c r="H28" s="2"/>
      <c r="I28" s="2"/>
      <c r="J28" s="2"/>
      <c r="K28" s="2"/>
      <c r="L28" s="2"/>
      <c r="M28" s="2"/>
      <c r="N28" s="2"/>
      <c r="O28" s="2"/>
      <c r="P28" s="2"/>
      <c r="Q28" s="2"/>
      <c r="R28" s="2"/>
      <c r="S28" s="38" t="s">
        <v>644</v>
      </c>
      <c r="T28" s="38" t="s">
        <v>891</v>
      </c>
      <c r="U28" s="38" t="s">
        <v>888</v>
      </c>
      <c r="V28" s="38" t="s">
        <v>944</v>
      </c>
      <c r="W28" s="2"/>
      <c r="X28" s="2"/>
      <c r="Y28" s="2"/>
      <c r="Z28" s="2"/>
    </row>
    <row r="29" spans="1:26" ht="12.75" customHeight="1" x14ac:dyDescent="0.2">
      <c r="A29" s="3" t="s">
        <v>35</v>
      </c>
      <c r="B29" s="4" t="s">
        <v>12</v>
      </c>
      <c r="C29" s="4"/>
      <c r="D29" s="2"/>
      <c r="E29" s="2"/>
      <c r="F29" s="2"/>
      <c r="G29" s="2"/>
      <c r="H29" s="2"/>
      <c r="I29" s="2"/>
      <c r="J29" s="2"/>
      <c r="K29" s="2"/>
      <c r="L29" s="2"/>
      <c r="M29" s="2"/>
      <c r="N29" s="2"/>
      <c r="O29" s="2"/>
      <c r="P29" s="2"/>
      <c r="Q29" s="2"/>
      <c r="R29" s="2"/>
      <c r="S29" s="38" t="s">
        <v>645</v>
      </c>
      <c r="T29" s="38" t="s">
        <v>892</v>
      </c>
      <c r="U29" s="38" t="s">
        <v>889</v>
      </c>
      <c r="V29" s="38" t="s">
        <v>945</v>
      </c>
      <c r="W29" s="2"/>
      <c r="X29" s="2"/>
      <c r="Y29" s="2"/>
      <c r="Z29" s="2"/>
    </row>
    <row r="30" spans="1:26" ht="12.75" customHeight="1" x14ac:dyDescent="0.2">
      <c r="A30" s="3" t="s">
        <v>36</v>
      </c>
      <c r="B30" s="4" t="s">
        <v>12</v>
      </c>
      <c r="C30" s="4"/>
      <c r="D30" s="2"/>
      <c r="E30" s="2"/>
      <c r="F30" s="2"/>
      <c r="G30" s="2"/>
      <c r="H30" s="2"/>
      <c r="I30" s="2"/>
      <c r="J30" s="2"/>
      <c r="K30" s="2"/>
      <c r="L30" s="2"/>
      <c r="M30" s="2"/>
      <c r="N30" s="2"/>
      <c r="O30" s="2"/>
      <c r="P30" s="2"/>
      <c r="Q30" s="2"/>
      <c r="R30" s="2"/>
      <c r="S30" s="38" t="s">
        <v>646</v>
      </c>
      <c r="T30" s="38" t="s">
        <v>893</v>
      </c>
      <c r="U30" s="38" t="s">
        <v>890</v>
      </c>
      <c r="V30" s="38" t="s">
        <v>946</v>
      </c>
      <c r="W30" s="2"/>
      <c r="X30" s="2"/>
      <c r="Y30" s="2"/>
      <c r="Z30" s="2"/>
    </row>
    <row r="31" spans="1:26" ht="12.75" customHeight="1" x14ac:dyDescent="0.2">
      <c r="A31" s="3" t="s">
        <v>37</v>
      </c>
      <c r="B31" s="4" t="s">
        <v>9</v>
      </c>
      <c r="C31" s="4" t="s">
        <v>9</v>
      </c>
      <c r="D31" s="2"/>
      <c r="E31" s="2"/>
      <c r="F31" s="2"/>
      <c r="G31" s="2"/>
      <c r="H31" s="2"/>
      <c r="I31" s="2"/>
      <c r="J31" s="2"/>
      <c r="K31" s="2"/>
      <c r="L31" s="2"/>
      <c r="M31" s="2"/>
      <c r="N31" s="2"/>
      <c r="O31" s="2"/>
      <c r="P31" s="2"/>
      <c r="Q31" s="2"/>
      <c r="R31" s="2"/>
      <c r="S31" s="38" t="s">
        <v>647</v>
      </c>
      <c r="T31" s="38" t="s">
        <v>894</v>
      </c>
      <c r="U31" s="38" t="s">
        <v>913</v>
      </c>
      <c r="V31" s="38" t="s">
        <v>947</v>
      </c>
      <c r="W31" s="2"/>
      <c r="X31" s="2"/>
      <c r="Y31" s="2"/>
      <c r="Z31" s="2"/>
    </row>
    <row r="32" spans="1:26" ht="12.75" customHeight="1" x14ac:dyDescent="0.2">
      <c r="A32" s="3" t="s">
        <v>38</v>
      </c>
      <c r="B32" s="4" t="s">
        <v>12</v>
      </c>
      <c r="C32" s="4"/>
      <c r="D32" s="2"/>
      <c r="E32" s="2"/>
      <c r="F32" s="2"/>
      <c r="G32" s="2"/>
      <c r="H32" s="2"/>
      <c r="I32" s="2"/>
      <c r="J32" s="2"/>
      <c r="K32" s="2"/>
      <c r="L32" s="2"/>
      <c r="M32" s="2"/>
      <c r="N32" s="2"/>
      <c r="O32" s="2"/>
      <c r="P32" s="2"/>
      <c r="Q32" s="2"/>
      <c r="R32" s="2"/>
      <c r="S32" s="38" t="s">
        <v>648</v>
      </c>
      <c r="T32" s="38" t="s">
        <v>895</v>
      </c>
      <c r="U32" s="38" t="s">
        <v>891</v>
      </c>
      <c r="V32" s="38" t="s">
        <v>948</v>
      </c>
      <c r="W32" s="2"/>
      <c r="X32" s="2"/>
      <c r="Y32" s="2"/>
      <c r="Z32" s="2"/>
    </row>
    <row r="33" spans="1:26" ht="12.75" customHeight="1" x14ac:dyDescent="0.2">
      <c r="A33" s="3" t="s">
        <v>39</v>
      </c>
      <c r="B33" s="4" t="s">
        <v>12</v>
      </c>
      <c r="C33" s="4"/>
      <c r="D33" s="2"/>
      <c r="E33" s="2"/>
      <c r="F33" s="2"/>
      <c r="G33" s="2"/>
      <c r="H33" s="2"/>
      <c r="I33" s="2"/>
      <c r="J33" s="2"/>
      <c r="K33" s="2"/>
      <c r="L33" s="2"/>
      <c r="M33" s="2"/>
      <c r="N33" s="2"/>
      <c r="O33" s="2"/>
      <c r="P33" s="2"/>
      <c r="Q33" s="2"/>
      <c r="R33" s="2"/>
      <c r="S33" s="38" t="s">
        <v>649</v>
      </c>
      <c r="T33" s="38" t="s">
        <v>896</v>
      </c>
      <c r="U33" s="38" t="s">
        <v>914</v>
      </c>
      <c r="V33" s="38" t="s">
        <v>949</v>
      </c>
      <c r="W33" s="2"/>
      <c r="X33" s="2"/>
      <c r="Y33" s="2"/>
      <c r="Z33" s="2"/>
    </row>
    <row r="34" spans="1:26" ht="12.75" customHeight="1" x14ac:dyDescent="0.2">
      <c r="A34" s="3" t="s">
        <v>40</v>
      </c>
      <c r="B34" s="4" t="s">
        <v>12</v>
      </c>
      <c r="C34" s="4"/>
      <c r="D34" s="2"/>
      <c r="E34" s="2"/>
      <c r="F34" s="2"/>
      <c r="G34" s="2"/>
      <c r="H34" s="2"/>
      <c r="I34" s="2"/>
      <c r="J34" s="2"/>
      <c r="K34" s="2"/>
      <c r="L34" s="2"/>
      <c r="M34" s="2"/>
      <c r="N34" s="2"/>
      <c r="O34" s="2"/>
      <c r="P34" s="2"/>
      <c r="Q34" s="2"/>
      <c r="R34" s="2"/>
      <c r="S34" s="38" t="s">
        <v>650</v>
      </c>
      <c r="T34" s="38" t="s">
        <v>897</v>
      </c>
      <c r="U34" s="38" t="s">
        <v>893</v>
      </c>
      <c r="V34" s="38" t="s">
        <v>950</v>
      </c>
      <c r="W34" s="2"/>
      <c r="X34" s="2"/>
      <c r="Y34" s="2"/>
      <c r="Z34" s="2"/>
    </row>
    <row r="35" spans="1:26" ht="12.75" customHeight="1" x14ac:dyDescent="0.2">
      <c r="A35" s="3" t="s">
        <v>41</v>
      </c>
      <c r="B35" s="4" t="s">
        <v>12</v>
      </c>
      <c r="C35" s="4"/>
      <c r="D35" s="2"/>
      <c r="E35" s="2"/>
      <c r="F35" s="2"/>
      <c r="G35" s="2"/>
      <c r="H35" s="2"/>
      <c r="I35" s="2"/>
      <c r="J35" s="2"/>
      <c r="K35" s="2"/>
      <c r="L35" s="2"/>
      <c r="M35" s="2"/>
      <c r="N35" s="2"/>
      <c r="O35" s="2"/>
      <c r="P35" s="2"/>
      <c r="Q35" s="2"/>
      <c r="R35" s="2"/>
      <c r="S35" s="38" t="s">
        <v>651</v>
      </c>
      <c r="T35" s="38" t="s">
        <v>898</v>
      </c>
      <c r="U35" s="38" t="s">
        <v>894</v>
      </c>
      <c r="V35" s="38" t="s">
        <v>951</v>
      </c>
      <c r="W35" s="2"/>
      <c r="X35" s="2"/>
      <c r="Y35" s="2"/>
      <c r="Z35" s="2"/>
    </row>
    <row r="36" spans="1:26" ht="12.75" customHeight="1" x14ac:dyDescent="0.2">
      <c r="A36" s="3" t="s">
        <v>42</v>
      </c>
      <c r="B36" s="4" t="s">
        <v>9</v>
      </c>
      <c r="C36" s="4" t="s">
        <v>9</v>
      </c>
      <c r="D36" s="2"/>
      <c r="E36" s="2"/>
      <c r="F36" s="2"/>
      <c r="G36" s="2"/>
      <c r="H36" s="2"/>
      <c r="I36" s="2"/>
      <c r="J36" s="2"/>
      <c r="K36" s="2"/>
      <c r="L36" s="2"/>
      <c r="M36" s="2"/>
      <c r="N36" s="2"/>
      <c r="O36" s="2"/>
      <c r="P36" s="2"/>
      <c r="Q36" s="2"/>
      <c r="R36" s="2"/>
      <c r="S36" s="38" t="s">
        <v>652</v>
      </c>
      <c r="T36" s="38" t="s">
        <v>899</v>
      </c>
      <c r="U36" s="38" t="s">
        <v>895</v>
      </c>
      <c r="V36" s="38" t="s">
        <v>952</v>
      </c>
      <c r="W36" s="2"/>
      <c r="X36" s="2"/>
      <c r="Y36" s="2"/>
      <c r="Z36" s="2"/>
    </row>
    <row r="37" spans="1:26" ht="12.75" customHeight="1" x14ac:dyDescent="0.2">
      <c r="A37" s="3" t="s">
        <v>43</v>
      </c>
      <c r="B37" s="4" t="s">
        <v>12</v>
      </c>
      <c r="C37" s="4"/>
      <c r="D37" s="2"/>
      <c r="E37" s="2"/>
      <c r="F37" s="5" t="s">
        <v>300</v>
      </c>
      <c r="G37" s="8"/>
      <c r="H37" s="2"/>
      <c r="I37" s="2"/>
      <c r="J37" s="2"/>
      <c r="K37" s="2"/>
      <c r="L37" s="2"/>
      <c r="M37" s="2"/>
      <c r="N37" s="2"/>
      <c r="O37" s="2"/>
      <c r="P37" s="2"/>
      <c r="Q37" s="2"/>
      <c r="R37" s="2"/>
      <c r="S37" s="38" t="s">
        <v>653</v>
      </c>
      <c r="T37" s="38" t="s">
        <v>900</v>
      </c>
      <c r="U37" s="38" t="s">
        <v>896</v>
      </c>
      <c r="V37" s="38" t="s">
        <v>953</v>
      </c>
      <c r="W37" s="2"/>
      <c r="X37" s="2"/>
      <c r="Y37" s="2"/>
      <c r="Z37" s="2"/>
    </row>
    <row r="38" spans="1:26" ht="12.75" customHeight="1" x14ac:dyDescent="0.2">
      <c r="A38" s="3" t="s">
        <v>44</v>
      </c>
      <c r="B38" s="4" t="s">
        <v>12</v>
      </c>
      <c r="C38" s="4"/>
      <c r="D38" s="2"/>
      <c r="E38" s="2"/>
      <c r="F38" s="7" t="s">
        <v>301</v>
      </c>
      <c r="G38" s="5" t="s">
        <v>302</v>
      </c>
      <c r="H38" s="2"/>
      <c r="I38" s="2"/>
      <c r="J38" s="2"/>
      <c r="K38" s="2"/>
      <c r="L38" s="2"/>
      <c r="M38" s="2"/>
      <c r="N38" s="2"/>
      <c r="O38" s="2"/>
      <c r="P38" s="2"/>
      <c r="Q38" s="2"/>
      <c r="R38" s="2"/>
      <c r="S38" s="38" t="s">
        <v>654</v>
      </c>
      <c r="T38" s="38" t="s">
        <v>901</v>
      </c>
      <c r="U38" s="38" t="s">
        <v>897</v>
      </c>
      <c r="V38" s="38" t="s">
        <v>954</v>
      </c>
      <c r="W38" s="2"/>
      <c r="X38" s="2"/>
      <c r="Y38" s="2"/>
      <c r="Z38" s="2"/>
    </row>
    <row r="39" spans="1:26" ht="12.75" customHeight="1" x14ac:dyDescent="0.2">
      <c r="A39" s="3" t="s">
        <v>45</v>
      </c>
      <c r="B39" s="4" t="s">
        <v>12</v>
      </c>
      <c r="C39" s="4"/>
      <c r="D39" s="2"/>
      <c r="E39" s="2"/>
      <c r="F39" s="7" t="s">
        <v>303</v>
      </c>
      <c r="G39" s="5" t="s">
        <v>304</v>
      </c>
      <c r="H39" s="2"/>
      <c r="I39" s="2"/>
      <c r="J39" s="2"/>
      <c r="K39" s="2"/>
      <c r="L39" s="2"/>
      <c r="M39" s="2"/>
      <c r="N39" s="2"/>
      <c r="O39" s="2"/>
      <c r="P39" s="2"/>
      <c r="Q39" s="2"/>
      <c r="R39" s="2"/>
      <c r="S39" s="38" t="s">
        <v>655</v>
      </c>
      <c r="T39" s="38" t="s">
        <v>902</v>
      </c>
      <c r="U39" s="38" t="s">
        <v>898</v>
      </c>
      <c r="V39" s="38" t="s">
        <v>955</v>
      </c>
      <c r="W39" s="2"/>
      <c r="X39" s="2"/>
      <c r="Y39" s="2"/>
      <c r="Z39" s="2"/>
    </row>
    <row r="40" spans="1:26" ht="12.75" customHeight="1" x14ac:dyDescent="0.2">
      <c r="A40" s="3" t="s">
        <v>46</v>
      </c>
      <c r="B40" s="4" t="s">
        <v>12</v>
      </c>
      <c r="C40" s="4"/>
      <c r="D40" s="2"/>
      <c r="E40" s="2"/>
      <c r="F40" s="2"/>
      <c r="G40" s="2"/>
      <c r="H40" s="2"/>
      <c r="I40" s="2"/>
      <c r="J40" s="2"/>
      <c r="K40" s="2"/>
      <c r="L40" s="2"/>
      <c r="M40" s="2"/>
      <c r="N40" s="2"/>
      <c r="O40" s="2"/>
      <c r="P40" s="2"/>
      <c r="Q40" s="2"/>
      <c r="R40" s="2"/>
      <c r="S40" s="38" t="s">
        <v>656</v>
      </c>
      <c r="T40" s="38" t="s">
        <v>903</v>
      </c>
      <c r="U40" s="38" t="s">
        <v>899</v>
      </c>
      <c r="V40" s="38" t="s">
        <v>956</v>
      </c>
      <c r="W40" s="2"/>
      <c r="X40" s="2"/>
      <c r="Y40" s="2"/>
      <c r="Z40" s="2"/>
    </row>
    <row r="41" spans="1:26" ht="12.75" customHeight="1" x14ac:dyDescent="0.2">
      <c r="A41" s="3" t="s">
        <v>47</v>
      </c>
      <c r="B41" s="4" t="s">
        <v>9</v>
      </c>
      <c r="C41" s="4" t="s">
        <v>9</v>
      </c>
      <c r="D41" s="2"/>
      <c r="E41" s="2"/>
      <c r="F41" s="2"/>
      <c r="G41" s="2"/>
      <c r="H41" s="2"/>
      <c r="I41" s="2"/>
      <c r="J41" s="2"/>
      <c r="K41" s="2"/>
      <c r="L41" s="2"/>
      <c r="M41" s="2"/>
      <c r="N41" s="2"/>
      <c r="O41" s="2"/>
      <c r="P41" s="2"/>
      <c r="Q41" s="2"/>
      <c r="R41" s="2"/>
      <c r="S41" s="38" t="s">
        <v>657</v>
      </c>
      <c r="T41" s="38" t="s">
        <v>904</v>
      </c>
      <c r="U41" s="38" t="s">
        <v>915</v>
      </c>
      <c r="V41" s="38" t="s">
        <v>957</v>
      </c>
      <c r="W41" s="2"/>
      <c r="X41" s="2"/>
      <c r="Y41" s="2"/>
      <c r="Z41" s="2"/>
    </row>
    <row r="42" spans="1:26" ht="12.75" customHeight="1" x14ac:dyDescent="0.2">
      <c r="A42" s="3" t="s">
        <v>48</v>
      </c>
      <c r="B42" s="4" t="s">
        <v>9</v>
      </c>
      <c r="C42" s="4" t="s">
        <v>9</v>
      </c>
      <c r="D42" s="2"/>
      <c r="E42" s="2"/>
      <c r="F42" s="2"/>
      <c r="G42" s="2"/>
      <c r="H42" s="2"/>
      <c r="I42" s="2"/>
      <c r="J42" s="2"/>
      <c r="K42" s="2"/>
      <c r="L42" s="2"/>
      <c r="M42" s="2"/>
      <c r="N42" s="2"/>
      <c r="O42" s="2"/>
      <c r="P42" s="2"/>
      <c r="Q42" s="2"/>
      <c r="R42" s="2"/>
      <c r="S42" s="38" t="s">
        <v>658</v>
      </c>
      <c r="T42" s="38" t="s">
        <v>905</v>
      </c>
      <c r="U42" s="38" t="s">
        <v>902</v>
      </c>
      <c r="V42" s="38" t="s">
        <v>958</v>
      </c>
      <c r="W42" s="2"/>
      <c r="X42" s="2"/>
      <c r="Y42" s="2"/>
      <c r="Z42" s="2"/>
    </row>
    <row r="43" spans="1:26" ht="12.75" customHeight="1" x14ac:dyDescent="0.2">
      <c r="A43" s="3" t="s">
        <v>49</v>
      </c>
      <c r="B43" s="4" t="s">
        <v>9</v>
      </c>
      <c r="C43" s="4" t="s">
        <v>9</v>
      </c>
      <c r="D43" s="2"/>
      <c r="E43" s="2"/>
      <c r="F43" s="2"/>
      <c r="G43" s="2"/>
      <c r="H43" s="2"/>
      <c r="I43" s="2"/>
      <c r="J43" s="2"/>
      <c r="K43" s="2"/>
      <c r="L43" s="2"/>
      <c r="M43" s="2"/>
      <c r="N43" s="2"/>
      <c r="O43" s="2"/>
      <c r="P43" s="2"/>
      <c r="Q43" s="2"/>
      <c r="R43" s="2"/>
      <c r="S43" s="38" t="s">
        <v>659</v>
      </c>
      <c r="T43" s="38" t="s">
        <v>906</v>
      </c>
      <c r="U43" s="38" t="s">
        <v>903</v>
      </c>
      <c r="V43" s="38" t="s">
        <v>959</v>
      </c>
      <c r="W43" s="2"/>
      <c r="X43" s="2"/>
      <c r="Y43" s="2"/>
      <c r="Z43" s="2"/>
    </row>
    <row r="44" spans="1:26" ht="12.75" customHeight="1" x14ac:dyDescent="0.2">
      <c r="A44" s="3" t="s">
        <v>50</v>
      </c>
      <c r="B44" s="4" t="s">
        <v>9</v>
      </c>
      <c r="C44" s="4" t="s">
        <v>9</v>
      </c>
      <c r="D44" s="2"/>
      <c r="E44" s="2"/>
      <c r="F44" s="2"/>
      <c r="G44" s="2"/>
      <c r="H44" s="2"/>
      <c r="I44" s="2"/>
      <c r="J44" s="2"/>
      <c r="K44" s="2"/>
      <c r="L44" s="2"/>
      <c r="M44" s="2"/>
      <c r="N44" s="2"/>
      <c r="O44" s="2"/>
      <c r="P44" s="2"/>
      <c r="Q44" s="2"/>
      <c r="R44" s="2"/>
      <c r="S44" s="38" t="s">
        <v>660</v>
      </c>
      <c r="T44" s="2"/>
      <c r="U44" s="38" t="s">
        <v>905</v>
      </c>
      <c r="V44" s="38" t="s">
        <v>960</v>
      </c>
      <c r="W44" s="2"/>
      <c r="X44" s="2"/>
      <c r="Y44" s="2"/>
      <c r="Z44" s="2"/>
    </row>
    <row r="45" spans="1:26" ht="12.75" customHeight="1" x14ac:dyDescent="0.2">
      <c r="A45" s="3" t="s">
        <v>51</v>
      </c>
      <c r="B45" s="4"/>
      <c r="C45" s="4"/>
      <c r="D45" s="2"/>
      <c r="E45" s="2"/>
      <c r="F45" s="2"/>
      <c r="G45" s="2"/>
      <c r="H45" s="2"/>
      <c r="I45" s="2"/>
      <c r="J45" s="2"/>
      <c r="K45" s="2"/>
      <c r="L45" s="2"/>
      <c r="M45" s="2"/>
      <c r="N45" s="2"/>
      <c r="O45" s="2"/>
      <c r="P45" s="2"/>
      <c r="Q45" s="2"/>
      <c r="R45" s="2"/>
      <c r="S45" s="38" t="s">
        <v>661</v>
      </c>
      <c r="T45" s="2"/>
      <c r="U45" s="38" t="s">
        <v>916</v>
      </c>
      <c r="V45" s="38" t="s">
        <v>961</v>
      </c>
      <c r="W45" s="2"/>
      <c r="X45" s="2"/>
      <c r="Y45" s="2"/>
      <c r="Z45" s="2"/>
    </row>
    <row r="46" spans="1:26" ht="12.75" customHeight="1" x14ac:dyDescent="0.2">
      <c r="A46" s="3" t="s">
        <v>52</v>
      </c>
      <c r="B46" s="4" t="s">
        <v>12</v>
      </c>
      <c r="C46" s="4"/>
      <c r="D46" s="2"/>
      <c r="E46" s="2"/>
      <c r="F46" s="2"/>
      <c r="G46" s="2"/>
      <c r="H46" s="2"/>
      <c r="I46" s="2"/>
      <c r="J46" s="2"/>
      <c r="K46" s="2"/>
      <c r="L46" s="2"/>
      <c r="M46" s="2"/>
      <c r="N46" s="2"/>
      <c r="O46" s="2"/>
      <c r="P46" s="2"/>
      <c r="Q46" s="2"/>
      <c r="R46" s="2"/>
      <c r="S46" s="38" t="s">
        <v>662</v>
      </c>
      <c r="T46" s="2"/>
      <c r="U46" s="38" t="s">
        <v>906</v>
      </c>
      <c r="V46" s="38" t="s">
        <v>962</v>
      </c>
      <c r="W46" s="2"/>
      <c r="X46" s="2"/>
      <c r="Y46" s="2"/>
      <c r="Z46" s="2"/>
    </row>
    <row r="47" spans="1:26" ht="12.75" customHeight="1" x14ac:dyDescent="0.2">
      <c r="A47" s="3" t="s">
        <v>53</v>
      </c>
      <c r="B47" s="4" t="s">
        <v>12</v>
      </c>
      <c r="C47" s="4"/>
      <c r="D47" s="2"/>
      <c r="E47" s="2"/>
      <c r="F47" s="2"/>
      <c r="G47" s="2"/>
      <c r="H47" s="2"/>
      <c r="I47" s="2"/>
      <c r="J47" s="2"/>
      <c r="K47" s="2"/>
      <c r="L47" s="2"/>
      <c r="M47" s="2"/>
      <c r="N47" s="2"/>
      <c r="O47" s="2"/>
      <c r="P47" s="2"/>
      <c r="Q47" s="2"/>
      <c r="R47" s="2"/>
      <c r="S47" s="38" t="s">
        <v>663</v>
      </c>
      <c r="T47" s="2"/>
      <c r="U47" s="2"/>
      <c r="V47" s="38" t="s">
        <v>963</v>
      </c>
      <c r="W47" s="2"/>
      <c r="X47" s="2"/>
      <c r="Y47" s="2"/>
      <c r="Z47" s="2"/>
    </row>
    <row r="48" spans="1:26" ht="12.75" customHeight="1" x14ac:dyDescent="0.2">
      <c r="A48" s="3" t="s">
        <v>54</v>
      </c>
      <c r="B48" s="4" t="s">
        <v>12</v>
      </c>
      <c r="C48" s="4"/>
      <c r="D48" s="2"/>
      <c r="E48" s="2"/>
      <c r="F48" s="2"/>
      <c r="G48" s="2"/>
      <c r="H48" s="2"/>
      <c r="I48" s="2"/>
      <c r="J48" s="2"/>
      <c r="K48" s="2"/>
      <c r="L48" s="2"/>
      <c r="M48" s="2"/>
      <c r="N48" s="2"/>
      <c r="O48" s="2"/>
      <c r="P48" s="2"/>
      <c r="Q48" s="2"/>
      <c r="R48" s="2"/>
      <c r="S48" s="38" t="s">
        <v>664</v>
      </c>
      <c r="T48" s="2"/>
      <c r="U48" s="2"/>
      <c r="V48" s="38" t="s">
        <v>964</v>
      </c>
      <c r="W48" s="2"/>
      <c r="X48" s="2"/>
      <c r="Y48" s="2"/>
      <c r="Z48" s="2"/>
    </row>
    <row r="49" spans="1:26" ht="12.75" customHeight="1" x14ac:dyDescent="0.2">
      <c r="A49" s="3" t="s">
        <v>55</v>
      </c>
      <c r="B49" s="4" t="s">
        <v>9</v>
      </c>
      <c r="C49" s="4" t="s">
        <v>9</v>
      </c>
      <c r="D49" s="2"/>
      <c r="E49" s="2"/>
      <c r="F49" s="2"/>
      <c r="G49" s="2"/>
      <c r="H49" s="2"/>
      <c r="I49" s="2"/>
      <c r="J49" s="2"/>
      <c r="K49" s="2"/>
      <c r="L49" s="2"/>
      <c r="M49" s="2"/>
      <c r="N49" s="2"/>
      <c r="O49" s="2"/>
      <c r="P49" s="2"/>
      <c r="Q49" s="2"/>
      <c r="R49" s="2"/>
      <c r="S49" s="38" t="s">
        <v>665</v>
      </c>
      <c r="T49" s="2"/>
      <c r="U49" s="2"/>
      <c r="V49" s="38" t="s">
        <v>965</v>
      </c>
      <c r="W49" s="2"/>
      <c r="X49" s="2"/>
      <c r="Y49" s="2"/>
      <c r="Z49" s="2"/>
    </row>
    <row r="50" spans="1:26" ht="12.75" customHeight="1" x14ac:dyDescent="0.2">
      <c r="A50" s="3" t="s">
        <v>56</v>
      </c>
      <c r="B50" s="4"/>
      <c r="C50" s="4"/>
      <c r="D50" s="2"/>
      <c r="E50" s="2"/>
      <c r="F50" s="2"/>
      <c r="G50" s="2"/>
      <c r="H50" s="2"/>
      <c r="I50" s="2"/>
      <c r="J50" s="2"/>
      <c r="K50" s="2"/>
      <c r="L50" s="2"/>
      <c r="M50" s="2"/>
      <c r="N50" s="2"/>
      <c r="O50" s="2"/>
      <c r="P50" s="2"/>
      <c r="Q50" s="2"/>
      <c r="R50" s="2"/>
      <c r="S50" s="38" t="s">
        <v>666</v>
      </c>
      <c r="T50" s="2"/>
      <c r="U50" s="2"/>
      <c r="V50" s="38" t="s">
        <v>966</v>
      </c>
      <c r="W50" s="2"/>
      <c r="X50" s="2"/>
      <c r="Y50" s="2"/>
      <c r="Z50" s="2"/>
    </row>
    <row r="51" spans="1:26" ht="12.75" customHeight="1" x14ac:dyDescent="0.2">
      <c r="A51" s="3" t="s">
        <v>57</v>
      </c>
      <c r="B51" s="4" t="s">
        <v>16</v>
      </c>
      <c r="C51" s="4" t="s">
        <v>17</v>
      </c>
      <c r="D51" s="2"/>
      <c r="E51" s="2"/>
      <c r="F51" s="2"/>
      <c r="G51" s="2"/>
      <c r="H51" s="2"/>
      <c r="I51" s="2"/>
      <c r="J51" s="2"/>
      <c r="K51" s="2"/>
      <c r="L51" s="2"/>
      <c r="M51" s="2"/>
      <c r="N51" s="2"/>
      <c r="O51" s="2"/>
      <c r="P51" s="2"/>
      <c r="Q51" s="2"/>
      <c r="R51" s="2"/>
      <c r="S51" s="38" t="s">
        <v>667</v>
      </c>
      <c r="T51" s="2"/>
      <c r="U51" s="2"/>
      <c r="V51" s="38" t="s">
        <v>967</v>
      </c>
      <c r="W51" s="2"/>
      <c r="X51" s="2"/>
      <c r="Y51" s="2"/>
      <c r="Z51" s="2"/>
    </row>
    <row r="52" spans="1:26" ht="12.75" customHeight="1" x14ac:dyDescent="0.2">
      <c r="A52" s="3" t="s">
        <v>58</v>
      </c>
      <c r="B52" s="4" t="s">
        <v>16</v>
      </c>
      <c r="C52" s="4" t="s">
        <v>17</v>
      </c>
      <c r="D52" s="2"/>
      <c r="E52" s="2"/>
      <c r="F52" s="2"/>
      <c r="G52" s="2"/>
      <c r="H52" s="2"/>
      <c r="I52" s="2"/>
      <c r="J52" s="2"/>
      <c r="K52" s="2"/>
      <c r="L52" s="2"/>
      <c r="M52" s="2"/>
      <c r="N52" s="2"/>
      <c r="O52" s="2"/>
      <c r="P52" s="2"/>
      <c r="Q52" s="2"/>
      <c r="R52" s="2"/>
      <c r="S52" s="38" t="s">
        <v>668</v>
      </c>
      <c r="T52" s="2"/>
      <c r="U52" s="2"/>
      <c r="V52" s="38" t="s">
        <v>968</v>
      </c>
      <c r="W52" s="2"/>
      <c r="X52" s="2"/>
      <c r="Y52" s="2"/>
      <c r="Z52" s="2"/>
    </row>
    <row r="53" spans="1:26" ht="12.75" customHeight="1" x14ac:dyDescent="0.2">
      <c r="A53" s="3" t="s">
        <v>59</v>
      </c>
      <c r="B53" s="4" t="s">
        <v>16</v>
      </c>
      <c r="C53" s="4" t="s">
        <v>17</v>
      </c>
      <c r="D53" s="2"/>
      <c r="E53" s="2"/>
      <c r="F53" s="2"/>
      <c r="G53" s="2"/>
      <c r="H53" s="2"/>
      <c r="I53" s="2"/>
      <c r="J53" s="2"/>
      <c r="K53" s="2"/>
      <c r="L53" s="2"/>
      <c r="M53" s="2"/>
      <c r="N53" s="2"/>
      <c r="O53" s="2"/>
      <c r="P53" s="2"/>
      <c r="Q53" s="2"/>
      <c r="R53" s="2"/>
      <c r="S53" s="38" t="s">
        <v>669</v>
      </c>
      <c r="T53" s="2"/>
      <c r="U53" s="2"/>
      <c r="V53" s="38" t="s">
        <v>969</v>
      </c>
      <c r="W53" s="2"/>
      <c r="X53" s="2"/>
      <c r="Y53" s="2"/>
      <c r="Z53" s="2"/>
    </row>
    <row r="54" spans="1:26" ht="12.75" customHeight="1" x14ac:dyDescent="0.2">
      <c r="A54" s="3" t="s">
        <v>60</v>
      </c>
      <c r="B54" s="4" t="s">
        <v>4</v>
      </c>
      <c r="C54" s="4">
        <v>99</v>
      </c>
      <c r="D54" s="2"/>
      <c r="E54" s="2"/>
      <c r="F54" s="2"/>
      <c r="G54" s="2"/>
      <c r="H54" s="2"/>
      <c r="I54" s="2"/>
      <c r="J54" s="2"/>
      <c r="K54" s="2"/>
      <c r="L54" s="2"/>
      <c r="M54" s="2"/>
      <c r="N54" s="2"/>
      <c r="O54" s="2"/>
      <c r="P54" s="2"/>
      <c r="Q54" s="2"/>
      <c r="R54" s="2"/>
      <c r="S54" s="38" t="s">
        <v>670</v>
      </c>
      <c r="T54" s="2"/>
      <c r="U54" s="2"/>
      <c r="V54" s="38" t="s">
        <v>970</v>
      </c>
      <c r="W54" s="2"/>
      <c r="X54" s="2"/>
      <c r="Y54" s="2"/>
      <c r="Z54" s="2"/>
    </row>
    <row r="55" spans="1:26" ht="12.75" customHeight="1" x14ac:dyDescent="0.2">
      <c r="A55" s="3" t="s">
        <v>61</v>
      </c>
      <c r="B55" s="4" t="s">
        <v>9</v>
      </c>
      <c r="C55" s="4" t="s">
        <v>9</v>
      </c>
      <c r="D55" s="2"/>
      <c r="E55" s="2"/>
      <c r="F55" s="2"/>
      <c r="G55" s="2"/>
      <c r="H55" s="2"/>
      <c r="I55" s="2"/>
      <c r="J55" s="2"/>
      <c r="K55" s="2"/>
      <c r="L55" s="2"/>
      <c r="M55" s="2"/>
      <c r="N55" s="2"/>
      <c r="O55" s="2"/>
      <c r="P55" s="2"/>
      <c r="Q55" s="2"/>
      <c r="R55" s="2"/>
      <c r="S55" s="38" t="s">
        <v>671</v>
      </c>
      <c r="T55" s="2"/>
      <c r="U55" s="2"/>
      <c r="V55" s="38" t="s">
        <v>971</v>
      </c>
      <c r="W55" s="2"/>
      <c r="X55" s="2"/>
      <c r="Y55" s="2"/>
      <c r="Z55" s="2"/>
    </row>
    <row r="56" spans="1:26" ht="12.75" customHeight="1" x14ac:dyDescent="0.2">
      <c r="A56" s="3" t="s">
        <v>62</v>
      </c>
      <c r="B56" s="4" t="s">
        <v>4</v>
      </c>
      <c r="C56" s="4">
        <v>999</v>
      </c>
      <c r="D56" s="2"/>
      <c r="E56" s="2"/>
      <c r="F56" s="2"/>
      <c r="G56" s="2"/>
      <c r="H56" s="2"/>
      <c r="I56" s="2"/>
      <c r="J56" s="2"/>
      <c r="K56" s="2"/>
      <c r="L56" s="2"/>
      <c r="M56" s="2"/>
      <c r="N56" s="2"/>
      <c r="O56" s="2"/>
      <c r="P56" s="2"/>
      <c r="Q56" s="2"/>
      <c r="R56" s="2"/>
      <c r="S56" s="38" t="s">
        <v>672</v>
      </c>
      <c r="T56" s="2"/>
      <c r="U56" s="2"/>
      <c r="V56" s="38" t="s">
        <v>972</v>
      </c>
      <c r="W56" s="2"/>
      <c r="X56" s="2"/>
      <c r="Y56" s="2"/>
      <c r="Z56" s="2"/>
    </row>
    <row r="57" spans="1:26" ht="12.75" customHeight="1" x14ac:dyDescent="0.2">
      <c r="A57" s="3" t="s">
        <v>63</v>
      </c>
      <c r="B57" s="4" t="s">
        <v>9</v>
      </c>
      <c r="C57" s="4" t="s">
        <v>9</v>
      </c>
      <c r="D57" s="2"/>
      <c r="E57" s="2"/>
      <c r="F57" s="2"/>
      <c r="G57" s="2"/>
      <c r="H57" s="2"/>
      <c r="I57" s="2"/>
      <c r="J57" s="2"/>
      <c r="K57" s="2"/>
      <c r="L57" s="2"/>
      <c r="M57" s="2"/>
      <c r="N57" s="2"/>
      <c r="O57" s="2"/>
      <c r="P57" s="2"/>
      <c r="Q57" s="2"/>
      <c r="R57" s="2"/>
      <c r="S57" s="38" t="s">
        <v>673</v>
      </c>
      <c r="T57" s="2"/>
      <c r="U57" s="2"/>
      <c r="V57" s="38" t="s">
        <v>973</v>
      </c>
      <c r="W57" s="2"/>
      <c r="X57" s="2"/>
      <c r="Y57" s="2"/>
      <c r="Z57" s="2"/>
    </row>
    <row r="58" spans="1:26" ht="12.75" customHeight="1" x14ac:dyDescent="0.2">
      <c r="A58" s="3" t="s">
        <v>64</v>
      </c>
      <c r="B58" s="4" t="s">
        <v>4</v>
      </c>
      <c r="C58" s="4">
        <v>4000</v>
      </c>
      <c r="D58" s="2"/>
      <c r="E58" s="2"/>
      <c r="F58" s="2"/>
      <c r="G58" s="2"/>
      <c r="H58" s="2"/>
      <c r="I58" s="2"/>
      <c r="J58" s="2"/>
      <c r="K58" s="2"/>
      <c r="L58" s="2"/>
      <c r="M58" s="2"/>
      <c r="N58" s="2"/>
      <c r="O58" s="2"/>
      <c r="P58" s="2"/>
      <c r="Q58" s="2"/>
      <c r="R58" s="2"/>
      <c r="S58" s="38" t="s">
        <v>674</v>
      </c>
      <c r="T58" s="2"/>
      <c r="U58" s="2"/>
      <c r="V58" s="38" t="s">
        <v>974</v>
      </c>
      <c r="W58" s="2"/>
      <c r="X58" s="2"/>
      <c r="Y58" s="2"/>
      <c r="Z58" s="2"/>
    </row>
    <row r="59" spans="1:26" ht="12.75" customHeight="1" x14ac:dyDescent="0.2">
      <c r="A59" s="3" t="s">
        <v>65</v>
      </c>
      <c r="B59" s="4" t="s">
        <v>9</v>
      </c>
      <c r="C59" s="4" t="s">
        <v>9</v>
      </c>
      <c r="D59" s="2"/>
      <c r="E59" s="2"/>
      <c r="F59" s="2"/>
      <c r="G59" s="2"/>
      <c r="H59" s="2"/>
      <c r="I59" s="2"/>
      <c r="J59" s="2"/>
      <c r="K59" s="2"/>
      <c r="L59" s="2"/>
      <c r="M59" s="2"/>
      <c r="N59" s="2"/>
      <c r="O59" s="2"/>
      <c r="P59" s="2"/>
      <c r="Q59" s="2"/>
      <c r="R59" s="2"/>
      <c r="S59" s="38" t="s">
        <v>675</v>
      </c>
      <c r="T59" s="2"/>
      <c r="U59" s="2"/>
      <c r="V59" s="38" t="s">
        <v>975</v>
      </c>
      <c r="W59" s="2"/>
      <c r="X59" s="2"/>
      <c r="Y59" s="2"/>
      <c r="Z59" s="2"/>
    </row>
    <row r="60" spans="1:26" ht="12.75" customHeight="1" x14ac:dyDescent="0.2">
      <c r="A60" s="3" t="s">
        <v>66</v>
      </c>
      <c r="B60" s="4" t="s">
        <v>9</v>
      </c>
      <c r="C60" s="4" t="s">
        <v>9</v>
      </c>
      <c r="D60" s="2"/>
      <c r="E60" s="2"/>
      <c r="F60" s="2"/>
      <c r="G60" s="2"/>
      <c r="H60" s="2"/>
      <c r="I60" s="2"/>
      <c r="J60" s="2"/>
      <c r="K60" s="2"/>
      <c r="L60" s="2"/>
      <c r="M60" s="2"/>
      <c r="N60" s="2"/>
      <c r="O60" s="2"/>
      <c r="P60" s="2"/>
      <c r="Q60" s="2"/>
      <c r="R60" s="2"/>
      <c r="S60" s="38" t="s">
        <v>676</v>
      </c>
      <c r="T60" s="2"/>
      <c r="U60" s="2"/>
      <c r="V60" s="38" t="s">
        <v>976</v>
      </c>
      <c r="W60" s="2"/>
      <c r="X60" s="2"/>
      <c r="Y60" s="2"/>
      <c r="Z60" s="2"/>
    </row>
    <row r="61" spans="1:26" ht="12.75" customHeight="1" x14ac:dyDescent="0.2">
      <c r="A61" s="3" t="s">
        <v>67</v>
      </c>
      <c r="B61" s="4" t="s">
        <v>4</v>
      </c>
      <c r="C61" s="4">
        <v>4000</v>
      </c>
      <c r="D61" s="2"/>
      <c r="E61" s="2"/>
      <c r="F61" s="2"/>
      <c r="G61" s="2"/>
      <c r="H61" s="2"/>
      <c r="I61" s="2"/>
      <c r="J61" s="2"/>
      <c r="K61" s="2"/>
      <c r="L61" s="2"/>
      <c r="M61" s="2"/>
      <c r="N61" s="2"/>
      <c r="O61" s="2"/>
      <c r="P61" s="2"/>
      <c r="Q61" s="2"/>
      <c r="R61" s="2"/>
      <c r="S61" s="38" t="s">
        <v>677</v>
      </c>
      <c r="T61" s="2"/>
      <c r="U61" s="2"/>
      <c r="V61" s="38" t="s">
        <v>977</v>
      </c>
      <c r="W61" s="2"/>
      <c r="X61" s="2"/>
      <c r="Y61" s="2"/>
      <c r="Z61" s="2"/>
    </row>
    <row r="62" spans="1:26" ht="12.75" customHeight="1" x14ac:dyDescent="0.2">
      <c r="A62" s="3" t="s">
        <v>68</v>
      </c>
      <c r="B62" s="4" t="s">
        <v>16</v>
      </c>
      <c r="C62" s="4" t="s">
        <v>17</v>
      </c>
      <c r="D62" s="2"/>
      <c r="E62" s="2"/>
      <c r="F62" s="2"/>
      <c r="G62" s="2"/>
      <c r="H62" s="2"/>
      <c r="I62" s="2"/>
      <c r="J62" s="2"/>
      <c r="K62" s="2"/>
      <c r="L62" s="2"/>
      <c r="M62" s="2"/>
      <c r="N62" s="2"/>
      <c r="O62" s="2"/>
      <c r="P62" s="2"/>
      <c r="Q62" s="2"/>
      <c r="R62" s="2"/>
      <c r="S62" s="38" t="s">
        <v>678</v>
      </c>
      <c r="T62" s="2"/>
      <c r="U62" s="2"/>
      <c r="V62" s="38" t="s">
        <v>978</v>
      </c>
      <c r="W62" s="2"/>
      <c r="X62" s="2"/>
      <c r="Y62" s="2"/>
      <c r="Z62" s="2"/>
    </row>
    <row r="63" spans="1:26" ht="12.75" customHeight="1" x14ac:dyDescent="0.2">
      <c r="A63" s="3" t="s">
        <v>69</v>
      </c>
      <c r="B63" s="4" t="s">
        <v>4</v>
      </c>
      <c r="C63" s="4">
        <v>4000</v>
      </c>
      <c r="D63" s="2"/>
      <c r="E63" s="2"/>
      <c r="F63" s="2"/>
      <c r="G63" s="2"/>
      <c r="H63" s="2"/>
      <c r="I63" s="2"/>
      <c r="J63" s="2"/>
      <c r="K63" s="2"/>
      <c r="L63" s="2"/>
      <c r="M63" s="2"/>
      <c r="N63" s="2"/>
      <c r="O63" s="2"/>
      <c r="P63" s="2"/>
      <c r="Q63" s="2"/>
      <c r="R63" s="2"/>
      <c r="S63" s="38" t="s">
        <v>679</v>
      </c>
      <c r="T63" s="2"/>
      <c r="U63" s="2"/>
      <c r="V63" s="38" t="s">
        <v>979</v>
      </c>
      <c r="W63" s="2"/>
      <c r="X63" s="2"/>
      <c r="Y63" s="2"/>
      <c r="Z63" s="2"/>
    </row>
    <row r="64" spans="1:26" ht="12.75" customHeight="1" x14ac:dyDescent="0.2">
      <c r="A64" s="3" t="s">
        <v>70</v>
      </c>
      <c r="B64" s="4" t="s">
        <v>9</v>
      </c>
      <c r="C64" s="4" t="s">
        <v>9</v>
      </c>
      <c r="D64" s="2"/>
      <c r="E64" s="2"/>
      <c r="F64" s="2"/>
      <c r="G64" s="2"/>
      <c r="H64" s="2"/>
      <c r="I64" s="2"/>
      <c r="J64" s="2"/>
      <c r="K64" s="2"/>
      <c r="L64" s="2"/>
      <c r="M64" s="2"/>
      <c r="N64" s="2"/>
      <c r="O64" s="2"/>
      <c r="P64" s="2"/>
      <c r="Q64" s="2"/>
      <c r="R64" s="2"/>
      <c r="S64" s="38" t="s">
        <v>680</v>
      </c>
      <c r="T64" s="2"/>
      <c r="U64" s="2"/>
      <c r="V64" s="38" t="s">
        <v>980</v>
      </c>
      <c r="W64" s="2"/>
      <c r="X64" s="2"/>
      <c r="Y64" s="2"/>
      <c r="Z64" s="2"/>
    </row>
    <row r="65" spans="1:26" ht="12.75" customHeight="1" x14ac:dyDescent="0.2">
      <c r="A65" s="3" t="s">
        <v>71</v>
      </c>
      <c r="B65" s="4" t="s">
        <v>16</v>
      </c>
      <c r="C65" s="4" t="s">
        <v>17</v>
      </c>
      <c r="D65" s="2"/>
      <c r="E65" s="2"/>
      <c r="F65" s="2"/>
      <c r="G65" s="2"/>
      <c r="H65" s="2"/>
      <c r="I65" s="2"/>
      <c r="J65" s="2"/>
      <c r="K65" s="2"/>
      <c r="L65" s="2"/>
      <c r="M65" s="2"/>
      <c r="N65" s="2"/>
      <c r="O65" s="2"/>
      <c r="P65" s="2"/>
      <c r="Q65" s="2"/>
      <c r="R65" s="2"/>
      <c r="S65" s="38" t="s">
        <v>681</v>
      </c>
      <c r="T65" s="2"/>
      <c r="U65" s="2"/>
      <c r="V65" s="38" t="s">
        <v>981</v>
      </c>
      <c r="W65" s="2"/>
      <c r="X65" s="2"/>
      <c r="Y65" s="2"/>
      <c r="Z65" s="2"/>
    </row>
    <row r="66" spans="1:26" ht="12.75" customHeight="1" x14ac:dyDescent="0.2">
      <c r="A66" s="3" t="s">
        <v>72</v>
      </c>
      <c r="B66" s="4" t="s">
        <v>16</v>
      </c>
      <c r="C66" s="4" t="s">
        <v>17</v>
      </c>
      <c r="D66" s="2"/>
      <c r="E66" s="2"/>
      <c r="F66" s="2"/>
      <c r="G66" s="2"/>
      <c r="H66" s="2"/>
      <c r="I66" s="2"/>
      <c r="J66" s="2"/>
      <c r="K66" s="2"/>
      <c r="L66" s="2"/>
      <c r="M66" s="2"/>
      <c r="N66" s="2"/>
      <c r="O66" s="2"/>
      <c r="P66" s="2"/>
      <c r="Q66" s="2"/>
      <c r="R66" s="2"/>
      <c r="S66" s="38" t="s">
        <v>682</v>
      </c>
      <c r="T66" s="2"/>
      <c r="U66" s="2"/>
      <c r="V66" s="38" t="s">
        <v>982</v>
      </c>
      <c r="W66" s="2"/>
      <c r="X66" s="2"/>
      <c r="Y66" s="2"/>
      <c r="Z66" s="2"/>
    </row>
    <row r="67" spans="1:26" ht="12.75" customHeight="1" x14ac:dyDescent="0.2">
      <c r="A67" s="3" t="s">
        <v>73</v>
      </c>
      <c r="B67" s="4" t="s">
        <v>9</v>
      </c>
      <c r="C67" s="4" t="s">
        <v>9</v>
      </c>
      <c r="D67" s="2"/>
      <c r="E67" s="2"/>
      <c r="F67" s="2"/>
      <c r="G67" s="2"/>
      <c r="H67" s="2"/>
      <c r="I67" s="2"/>
      <c r="J67" s="2"/>
      <c r="K67" s="2"/>
      <c r="L67" s="2"/>
      <c r="M67" s="2"/>
      <c r="N67" s="2"/>
      <c r="O67" s="2"/>
      <c r="P67" s="2"/>
      <c r="Q67" s="2"/>
      <c r="R67" s="2"/>
      <c r="S67" s="38" t="s">
        <v>683</v>
      </c>
      <c r="T67" s="2"/>
      <c r="U67" s="2"/>
      <c r="V67" s="38" t="s">
        <v>983</v>
      </c>
      <c r="W67" s="2"/>
      <c r="X67" s="2"/>
      <c r="Y67" s="2"/>
      <c r="Z67" s="2"/>
    </row>
    <row r="68" spans="1:26" ht="12.75" customHeight="1" x14ac:dyDescent="0.2">
      <c r="A68" s="3" t="s">
        <v>74</v>
      </c>
      <c r="B68" s="4" t="s">
        <v>9</v>
      </c>
      <c r="C68" s="4" t="s">
        <v>9</v>
      </c>
      <c r="D68" s="2"/>
      <c r="E68" s="2"/>
      <c r="F68" s="2"/>
      <c r="G68" s="2"/>
      <c r="H68" s="2"/>
      <c r="I68" s="2"/>
      <c r="J68" s="2"/>
      <c r="K68" s="2"/>
      <c r="L68" s="2"/>
      <c r="M68" s="2"/>
      <c r="N68" s="2"/>
      <c r="O68" s="2"/>
      <c r="P68" s="2"/>
      <c r="Q68" s="2"/>
      <c r="R68" s="2"/>
      <c r="S68" s="38" t="s">
        <v>684</v>
      </c>
      <c r="T68" s="2"/>
      <c r="U68" s="2"/>
      <c r="V68" s="38" t="s">
        <v>984</v>
      </c>
      <c r="W68" s="2"/>
      <c r="X68" s="2"/>
      <c r="Y68" s="2"/>
      <c r="Z68" s="2"/>
    </row>
    <row r="69" spans="1:26" ht="12.75" customHeight="1" x14ac:dyDescent="0.2">
      <c r="A69" s="3" t="s">
        <v>75</v>
      </c>
      <c r="B69" s="4" t="s">
        <v>9</v>
      </c>
      <c r="C69" s="4" t="s">
        <v>9</v>
      </c>
      <c r="D69" s="2"/>
      <c r="E69" s="2"/>
      <c r="F69" s="2"/>
      <c r="G69" s="2"/>
      <c r="H69" s="2"/>
      <c r="I69" s="2"/>
      <c r="J69" s="2"/>
      <c r="K69" s="2"/>
      <c r="L69" s="2"/>
      <c r="M69" s="2"/>
      <c r="N69" s="2"/>
      <c r="O69" s="2"/>
      <c r="P69" s="2"/>
      <c r="Q69" s="2"/>
      <c r="R69" s="2"/>
      <c r="S69" s="38" t="s">
        <v>685</v>
      </c>
      <c r="T69" s="2"/>
      <c r="U69" s="2"/>
      <c r="V69" s="38" t="s">
        <v>985</v>
      </c>
      <c r="W69" s="2"/>
      <c r="X69" s="2"/>
      <c r="Y69" s="2"/>
      <c r="Z69" s="2"/>
    </row>
    <row r="70" spans="1:26" ht="12.75" customHeight="1" x14ac:dyDescent="0.2">
      <c r="A70" s="3" t="s">
        <v>76</v>
      </c>
      <c r="B70" s="4" t="s">
        <v>9</v>
      </c>
      <c r="C70" s="4" t="s">
        <v>9</v>
      </c>
      <c r="D70" s="2"/>
      <c r="E70" s="2"/>
      <c r="F70" s="2"/>
      <c r="G70" s="2"/>
      <c r="H70" s="2"/>
      <c r="I70" s="2"/>
      <c r="J70" s="2"/>
      <c r="K70" s="2"/>
      <c r="L70" s="2"/>
      <c r="M70" s="2"/>
      <c r="N70" s="2"/>
      <c r="O70" s="2"/>
      <c r="P70" s="2"/>
      <c r="Q70" s="2"/>
      <c r="R70" s="2"/>
      <c r="S70" s="38" t="s">
        <v>686</v>
      </c>
      <c r="T70" s="2"/>
      <c r="U70" s="2"/>
      <c r="V70" s="38" t="s">
        <v>986</v>
      </c>
      <c r="W70" s="2"/>
      <c r="X70" s="2"/>
      <c r="Y70" s="2"/>
      <c r="Z70" s="2"/>
    </row>
    <row r="71" spans="1:26" ht="12.75" customHeight="1" x14ac:dyDescent="0.2">
      <c r="A71" s="3" t="s">
        <v>77</v>
      </c>
      <c r="B71" s="3" t="s">
        <v>4</v>
      </c>
      <c r="C71" s="3">
        <v>999</v>
      </c>
      <c r="D71" s="2"/>
      <c r="E71" s="2"/>
      <c r="F71" s="2"/>
      <c r="G71" s="2"/>
      <c r="H71" s="2"/>
      <c r="I71" s="2"/>
      <c r="J71" s="2"/>
      <c r="K71" s="2"/>
      <c r="L71" s="2"/>
      <c r="M71" s="2"/>
      <c r="N71" s="2"/>
      <c r="O71" s="2"/>
      <c r="P71" s="2"/>
      <c r="Q71" s="2"/>
      <c r="R71" s="2"/>
      <c r="S71" s="38" t="s">
        <v>687</v>
      </c>
      <c r="T71" s="2"/>
      <c r="U71" s="2"/>
      <c r="V71" s="38" t="s">
        <v>987</v>
      </c>
      <c r="W71" s="2"/>
      <c r="X71" s="2"/>
      <c r="Y71" s="2"/>
      <c r="Z71" s="2"/>
    </row>
    <row r="72" spans="1:26" ht="12.75" customHeight="1" x14ac:dyDescent="0.2">
      <c r="A72" s="3" t="s">
        <v>78</v>
      </c>
      <c r="B72" s="4" t="s">
        <v>9</v>
      </c>
      <c r="C72" s="3" t="s">
        <v>9</v>
      </c>
      <c r="D72" s="2"/>
      <c r="E72" s="2"/>
      <c r="F72" s="2"/>
      <c r="G72" s="2"/>
      <c r="H72" s="2"/>
      <c r="I72" s="2"/>
      <c r="J72" s="2"/>
      <c r="K72" s="2"/>
      <c r="L72" s="2"/>
      <c r="M72" s="2"/>
      <c r="N72" s="2"/>
      <c r="O72" s="2"/>
      <c r="P72" s="2"/>
      <c r="Q72" s="2"/>
      <c r="R72" s="2"/>
      <c r="S72" s="38" t="s">
        <v>688</v>
      </c>
      <c r="T72" s="2"/>
      <c r="U72" s="2"/>
      <c r="V72" s="38" t="s">
        <v>988</v>
      </c>
      <c r="W72" s="2"/>
      <c r="X72" s="2"/>
      <c r="Y72" s="2"/>
      <c r="Z72" s="2"/>
    </row>
    <row r="73" spans="1:26" ht="12.75" customHeight="1" x14ac:dyDescent="0.2">
      <c r="A73" s="2"/>
      <c r="B73" s="2"/>
      <c r="C73" s="2"/>
      <c r="D73" s="2"/>
      <c r="E73" s="2"/>
      <c r="F73" s="2"/>
      <c r="G73" s="2"/>
      <c r="H73" s="2"/>
      <c r="I73" s="2"/>
      <c r="J73" s="2"/>
      <c r="K73" s="2"/>
      <c r="L73" s="2"/>
      <c r="M73" s="2"/>
      <c r="N73" s="2"/>
      <c r="O73" s="2"/>
      <c r="P73" s="2"/>
      <c r="Q73" s="2"/>
      <c r="R73" s="2"/>
      <c r="S73" s="38" t="s">
        <v>689</v>
      </c>
      <c r="T73" s="2"/>
      <c r="U73" s="2"/>
      <c r="V73" s="38" t="s">
        <v>989</v>
      </c>
      <c r="W73" s="2"/>
      <c r="X73" s="2"/>
      <c r="Y73" s="2"/>
      <c r="Z73" s="2"/>
    </row>
    <row r="74" spans="1:26" ht="12.75" customHeight="1" x14ac:dyDescent="0.2">
      <c r="A74" s="2"/>
      <c r="B74" s="2"/>
      <c r="C74" s="2"/>
      <c r="D74" s="2"/>
      <c r="E74" s="2"/>
      <c r="F74" s="2"/>
      <c r="G74" s="2"/>
      <c r="H74" s="2"/>
      <c r="I74" s="2"/>
      <c r="J74" s="2"/>
      <c r="K74" s="2"/>
      <c r="L74" s="2"/>
      <c r="M74" s="2"/>
      <c r="N74" s="2"/>
      <c r="O74" s="2"/>
      <c r="P74" s="2"/>
      <c r="Q74" s="2"/>
      <c r="R74" s="2"/>
      <c r="S74" s="38" t="s">
        <v>690</v>
      </c>
      <c r="T74" s="2"/>
      <c r="U74" s="2"/>
      <c r="V74" s="38" t="s">
        <v>990</v>
      </c>
      <c r="W74" s="2"/>
      <c r="X74" s="2"/>
      <c r="Y74" s="2"/>
      <c r="Z74" s="2"/>
    </row>
    <row r="75" spans="1:26" ht="12.75" customHeight="1" x14ac:dyDescent="0.2">
      <c r="A75" s="2"/>
      <c r="B75" s="2"/>
      <c r="C75" s="2"/>
      <c r="D75" s="2"/>
      <c r="E75" s="2"/>
      <c r="F75" s="2"/>
      <c r="G75" s="2"/>
      <c r="H75" s="2"/>
      <c r="I75" s="2"/>
      <c r="J75" s="2"/>
      <c r="K75" s="2"/>
      <c r="L75" s="2"/>
      <c r="M75" s="2"/>
      <c r="N75" s="2"/>
      <c r="O75" s="2"/>
      <c r="P75" s="2"/>
      <c r="Q75" s="2"/>
      <c r="R75" s="2"/>
      <c r="S75" s="38" t="s">
        <v>691</v>
      </c>
      <c r="T75" s="2"/>
      <c r="U75" s="2"/>
      <c r="V75" s="38" t="s">
        <v>991</v>
      </c>
      <c r="W75" s="2"/>
      <c r="X75" s="2"/>
      <c r="Y75" s="2"/>
      <c r="Z75" s="2"/>
    </row>
    <row r="76" spans="1:26" ht="12.75" customHeight="1" x14ac:dyDescent="0.2">
      <c r="A76" s="2"/>
      <c r="B76" s="2"/>
      <c r="C76" s="2"/>
      <c r="D76" s="2"/>
      <c r="E76" s="2"/>
      <c r="F76" s="2"/>
      <c r="G76" s="2"/>
      <c r="H76" s="2"/>
      <c r="I76" s="2"/>
      <c r="J76" s="2"/>
      <c r="K76" s="2"/>
      <c r="L76" s="2"/>
      <c r="M76" s="2"/>
      <c r="N76" s="2"/>
      <c r="O76" s="2"/>
      <c r="P76" s="2"/>
      <c r="Q76" s="2"/>
      <c r="R76" s="2"/>
      <c r="S76" s="38" t="s">
        <v>692</v>
      </c>
      <c r="T76" s="2"/>
      <c r="U76" s="2"/>
      <c r="V76" s="38" t="s">
        <v>992</v>
      </c>
      <c r="W76" s="2"/>
      <c r="X76" s="2"/>
      <c r="Y76" s="2"/>
      <c r="Z76" s="2"/>
    </row>
    <row r="77" spans="1:26" ht="12.75" customHeight="1" x14ac:dyDescent="0.2">
      <c r="A77" s="2"/>
      <c r="B77" s="2"/>
      <c r="C77" s="2"/>
      <c r="D77" s="2"/>
      <c r="E77" s="2"/>
      <c r="F77" s="2"/>
      <c r="G77" s="2"/>
      <c r="H77" s="2"/>
      <c r="I77" s="2"/>
      <c r="J77" s="2"/>
      <c r="K77" s="2"/>
      <c r="L77" s="2"/>
      <c r="M77" s="2"/>
      <c r="N77" s="2"/>
      <c r="O77" s="2"/>
      <c r="P77" s="2"/>
      <c r="Q77" s="2"/>
      <c r="R77" s="2"/>
      <c r="S77" s="38" t="s">
        <v>693</v>
      </c>
      <c r="T77" s="2"/>
      <c r="U77" s="2"/>
      <c r="V77" s="38" t="s">
        <v>993</v>
      </c>
      <c r="W77" s="2"/>
      <c r="X77" s="2"/>
      <c r="Y77" s="2"/>
      <c r="Z77" s="2"/>
    </row>
    <row r="78" spans="1:26" ht="12.75" customHeight="1" x14ac:dyDescent="0.2">
      <c r="A78" s="2"/>
      <c r="B78" s="2"/>
      <c r="C78" s="2"/>
      <c r="D78" s="2"/>
      <c r="E78" s="2"/>
      <c r="F78" s="2"/>
      <c r="G78" s="2"/>
      <c r="H78" s="2"/>
      <c r="I78" s="2"/>
      <c r="J78" s="2"/>
      <c r="K78" s="2"/>
      <c r="L78" s="2"/>
      <c r="M78" s="2"/>
      <c r="N78" s="2"/>
      <c r="O78" s="2"/>
      <c r="P78" s="2"/>
      <c r="Q78" s="2"/>
      <c r="R78" s="2"/>
      <c r="S78" s="38" t="s">
        <v>694</v>
      </c>
      <c r="T78" s="2"/>
      <c r="U78" s="2"/>
      <c r="V78" s="38" t="s">
        <v>994</v>
      </c>
      <c r="W78" s="2"/>
      <c r="X78" s="2"/>
      <c r="Y78" s="2"/>
      <c r="Z78" s="2"/>
    </row>
    <row r="79" spans="1:26" ht="12.75" customHeight="1" x14ac:dyDescent="0.2">
      <c r="A79" s="2"/>
      <c r="B79" s="2"/>
      <c r="C79" s="2"/>
      <c r="D79" s="2"/>
      <c r="E79" s="2"/>
      <c r="F79" s="2"/>
      <c r="G79" s="2"/>
      <c r="H79" s="2"/>
      <c r="I79" s="2"/>
      <c r="J79" s="2"/>
      <c r="K79" s="2"/>
      <c r="L79" s="2"/>
      <c r="M79" s="2"/>
      <c r="N79" s="2"/>
      <c r="O79" s="2"/>
      <c r="P79" s="2"/>
      <c r="Q79" s="2"/>
      <c r="R79" s="2"/>
      <c r="S79" s="38" t="s">
        <v>695</v>
      </c>
      <c r="T79" s="2"/>
      <c r="U79" s="2"/>
      <c r="V79" s="38" t="s">
        <v>995</v>
      </c>
      <c r="W79" s="2"/>
      <c r="X79" s="2"/>
      <c r="Y79" s="2"/>
      <c r="Z79" s="2"/>
    </row>
    <row r="80" spans="1:26" ht="12.75" customHeight="1" x14ac:dyDescent="0.2">
      <c r="A80" s="2"/>
      <c r="B80" s="2"/>
      <c r="C80" s="2"/>
      <c r="D80" s="2"/>
      <c r="E80" s="2"/>
      <c r="F80" s="2"/>
      <c r="G80" s="2"/>
      <c r="H80" s="2"/>
      <c r="I80" s="2"/>
      <c r="J80" s="2"/>
      <c r="K80" s="2"/>
      <c r="L80" s="2"/>
      <c r="M80" s="2"/>
      <c r="N80" s="2"/>
      <c r="O80" s="2"/>
      <c r="P80" s="2"/>
      <c r="Q80" s="2"/>
      <c r="R80" s="2"/>
      <c r="S80" s="38" t="s">
        <v>696</v>
      </c>
      <c r="T80" s="2"/>
      <c r="U80" s="2"/>
      <c r="V80" s="38" t="s">
        <v>996</v>
      </c>
      <c r="W80" s="2"/>
      <c r="X80" s="2"/>
      <c r="Y80" s="2"/>
      <c r="Z80" s="2"/>
    </row>
    <row r="81" spans="1:26" ht="12.75" customHeight="1" x14ac:dyDescent="0.2">
      <c r="A81" s="2"/>
      <c r="B81" s="2"/>
      <c r="C81" s="2"/>
      <c r="D81" s="2"/>
      <c r="E81" s="2"/>
      <c r="F81" s="2"/>
      <c r="G81" s="2"/>
      <c r="H81" s="2"/>
      <c r="I81" s="2"/>
      <c r="J81" s="2"/>
      <c r="K81" s="2"/>
      <c r="L81" s="2"/>
      <c r="M81" s="2"/>
      <c r="N81" s="2"/>
      <c r="O81" s="2"/>
      <c r="P81" s="2"/>
      <c r="Q81" s="2"/>
      <c r="R81" s="2"/>
      <c r="S81" s="38" t="s">
        <v>697</v>
      </c>
      <c r="T81" s="2"/>
      <c r="U81" s="2"/>
      <c r="V81" s="38" t="s">
        <v>997</v>
      </c>
      <c r="W81" s="2"/>
      <c r="X81" s="2"/>
      <c r="Y81" s="2"/>
      <c r="Z81" s="2"/>
    </row>
    <row r="82" spans="1:26" ht="12.75" customHeight="1" x14ac:dyDescent="0.2">
      <c r="A82" s="2"/>
      <c r="B82" s="2"/>
      <c r="C82" s="2"/>
      <c r="D82" s="2"/>
      <c r="E82" s="2"/>
      <c r="F82" s="2"/>
      <c r="G82" s="2"/>
      <c r="H82" s="2"/>
      <c r="I82" s="2"/>
      <c r="J82" s="2"/>
      <c r="K82" s="2"/>
      <c r="L82" s="2"/>
      <c r="M82" s="2"/>
      <c r="N82" s="2"/>
      <c r="O82" s="2"/>
      <c r="P82" s="2"/>
      <c r="Q82" s="2"/>
      <c r="R82" s="2"/>
      <c r="S82" s="38" t="s">
        <v>698</v>
      </c>
      <c r="T82" s="2"/>
      <c r="U82" s="2"/>
      <c r="V82" s="38" t="s">
        <v>998</v>
      </c>
      <c r="W82" s="2"/>
      <c r="X82" s="2"/>
      <c r="Y82" s="2"/>
      <c r="Z82" s="2"/>
    </row>
    <row r="83" spans="1:26" ht="12.75" customHeight="1" x14ac:dyDescent="0.2">
      <c r="A83" s="2"/>
      <c r="B83" s="2"/>
      <c r="C83" s="2"/>
      <c r="D83" s="2"/>
      <c r="E83" s="2"/>
      <c r="F83" s="2"/>
      <c r="G83" s="2"/>
      <c r="H83" s="2"/>
      <c r="I83" s="2"/>
      <c r="J83" s="2"/>
      <c r="K83" s="2"/>
      <c r="L83" s="2"/>
      <c r="M83" s="2"/>
      <c r="N83" s="2"/>
      <c r="O83" s="2"/>
      <c r="P83" s="2"/>
      <c r="Q83" s="2"/>
      <c r="R83" s="2"/>
      <c r="S83" s="38" t="s">
        <v>699</v>
      </c>
      <c r="T83" s="2"/>
      <c r="U83" s="2"/>
      <c r="V83" s="38" t="s">
        <v>999</v>
      </c>
      <c r="W83" s="2"/>
      <c r="X83" s="2"/>
      <c r="Y83" s="2"/>
      <c r="Z83" s="2"/>
    </row>
    <row r="84" spans="1:26" ht="12.75" customHeight="1" x14ac:dyDescent="0.2">
      <c r="A84" s="2"/>
      <c r="B84" s="2"/>
      <c r="C84" s="2"/>
      <c r="D84" s="2"/>
      <c r="E84" s="2"/>
      <c r="F84" s="2"/>
      <c r="G84" s="2"/>
      <c r="H84" s="2"/>
      <c r="I84" s="2"/>
      <c r="J84" s="2"/>
      <c r="K84" s="2"/>
      <c r="L84" s="2"/>
      <c r="M84" s="2"/>
      <c r="N84" s="2"/>
      <c r="O84" s="2"/>
      <c r="P84" s="2"/>
      <c r="Q84" s="2"/>
      <c r="R84" s="2"/>
      <c r="S84" s="38" t="s">
        <v>700</v>
      </c>
      <c r="T84" s="2"/>
      <c r="U84" s="2"/>
      <c r="V84" s="38" t="s">
        <v>1000</v>
      </c>
      <c r="W84" s="2"/>
      <c r="X84" s="2"/>
      <c r="Y84" s="2"/>
      <c r="Z84" s="2"/>
    </row>
    <row r="85" spans="1:26" ht="12.75" customHeight="1" x14ac:dyDescent="0.2">
      <c r="A85" s="2"/>
      <c r="B85" s="2"/>
      <c r="C85" s="2"/>
      <c r="D85" s="2"/>
      <c r="E85" s="2"/>
      <c r="F85" s="2"/>
      <c r="G85" s="2"/>
      <c r="H85" s="2"/>
      <c r="I85" s="2"/>
      <c r="J85" s="2"/>
      <c r="K85" s="2"/>
      <c r="L85" s="2"/>
      <c r="M85" s="2"/>
      <c r="N85" s="2"/>
      <c r="O85" s="2"/>
      <c r="P85" s="2"/>
      <c r="Q85" s="2"/>
      <c r="R85" s="2"/>
      <c r="S85" s="38" t="s">
        <v>701</v>
      </c>
      <c r="T85" s="2"/>
      <c r="U85" s="2"/>
      <c r="V85" s="38" t="s">
        <v>1001</v>
      </c>
      <c r="W85" s="2"/>
      <c r="X85" s="2"/>
      <c r="Y85" s="2"/>
      <c r="Z85" s="2"/>
    </row>
    <row r="86" spans="1:26" ht="12.75" customHeight="1" x14ac:dyDescent="0.2">
      <c r="A86" s="2"/>
      <c r="B86" s="2"/>
      <c r="C86" s="2"/>
      <c r="D86" s="2"/>
      <c r="E86" s="2"/>
      <c r="F86" s="2"/>
      <c r="G86" s="2"/>
      <c r="H86" s="2"/>
      <c r="I86" s="2"/>
      <c r="J86" s="2"/>
      <c r="K86" s="2"/>
      <c r="L86" s="2"/>
      <c r="M86" s="2"/>
      <c r="N86" s="2"/>
      <c r="O86" s="2"/>
      <c r="P86" s="2"/>
      <c r="Q86" s="2"/>
      <c r="R86" s="2"/>
      <c r="S86" s="38" t="s">
        <v>702</v>
      </c>
      <c r="T86" s="2"/>
      <c r="U86" s="2"/>
      <c r="V86" s="38" t="s">
        <v>1002</v>
      </c>
      <c r="W86" s="2"/>
      <c r="X86" s="2"/>
      <c r="Y86" s="2"/>
      <c r="Z86" s="2"/>
    </row>
    <row r="87" spans="1:26" ht="12.75" customHeight="1" x14ac:dyDescent="0.2">
      <c r="A87" s="2"/>
      <c r="B87" s="2"/>
      <c r="C87" s="2"/>
      <c r="D87" s="2"/>
      <c r="E87" s="2"/>
      <c r="F87" s="2"/>
      <c r="G87" s="2"/>
      <c r="H87" s="2"/>
      <c r="I87" s="2"/>
      <c r="J87" s="2"/>
      <c r="K87" s="2"/>
      <c r="L87" s="2"/>
      <c r="M87" s="2"/>
      <c r="N87" s="2"/>
      <c r="O87" s="2"/>
      <c r="P87" s="2"/>
      <c r="Q87" s="2"/>
      <c r="R87" s="2"/>
      <c r="S87" s="38" t="s">
        <v>703</v>
      </c>
      <c r="T87" s="2"/>
      <c r="U87" s="2"/>
      <c r="V87" s="38" t="s">
        <v>1003</v>
      </c>
      <c r="W87" s="2"/>
      <c r="X87" s="2"/>
      <c r="Y87" s="2"/>
      <c r="Z87" s="2"/>
    </row>
    <row r="88" spans="1:26" ht="12.75" customHeight="1" x14ac:dyDescent="0.2">
      <c r="A88" s="2"/>
      <c r="B88" s="2"/>
      <c r="C88" s="2"/>
      <c r="D88" s="2"/>
      <c r="E88" s="2"/>
      <c r="F88" s="2"/>
      <c r="G88" s="2"/>
      <c r="H88" s="2"/>
      <c r="I88" s="2"/>
      <c r="J88" s="2"/>
      <c r="K88" s="2"/>
      <c r="L88" s="2"/>
      <c r="M88" s="2"/>
      <c r="N88" s="2"/>
      <c r="O88" s="2"/>
      <c r="P88" s="2"/>
      <c r="Q88" s="2"/>
      <c r="R88" s="2"/>
      <c r="S88" s="38" t="s">
        <v>704</v>
      </c>
      <c r="T88" s="2"/>
      <c r="U88" s="2"/>
      <c r="V88" s="38" t="s">
        <v>1004</v>
      </c>
      <c r="W88" s="2"/>
      <c r="X88" s="2"/>
      <c r="Y88" s="2"/>
      <c r="Z88" s="2"/>
    </row>
    <row r="89" spans="1:26" ht="12.75" customHeight="1" x14ac:dyDescent="0.2">
      <c r="A89" s="2"/>
      <c r="B89" s="2"/>
      <c r="C89" s="2"/>
      <c r="D89" s="2"/>
      <c r="E89" s="2"/>
      <c r="F89" s="2"/>
      <c r="G89" s="2"/>
      <c r="H89" s="2"/>
      <c r="I89" s="2"/>
      <c r="J89" s="2"/>
      <c r="K89" s="2"/>
      <c r="L89" s="2"/>
      <c r="M89" s="2"/>
      <c r="N89" s="2"/>
      <c r="O89" s="2"/>
      <c r="P89" s="2"/>
      <c r="Q89" s="2"/>
      <c r="R89" s="2"/>
      <c r="S89" s="38" t="s">
        <v>705</v>
      </c>
      <c r="T89" s="2"/>
      <c r="U89" s="2"/>
      <c r="V89" s="38" t="s">
        <v>1005</v>
      </c>
      <c r="W89" s="2"/>
      <c r="X89" s="2"/>
      <c r="Y89" s="2"/>
      <c r="Z89" s="2"/>
    </row>
    <row r="90" spans="1:26" ht="12.75" customHeight="1" x14ac:dyDescent="0.2">
      <c r="A90" s="2"/>
      <c r="B90" s="2"/>
      <c r="C90" s="2"/>
      <c r="D90" s="2"/>
      <c r="E90" s="2"/>
      <c r="F90" s="2"/>
      <c r="G90" s="2"/>
      <c r="H90" s="2"/>
      <c r="I90" s="2"/>
      <c r="J90" s="2"/>
      <c r="K90" s="2"/>
      <c r="L90" s="2"/>
      <c r="M90" s="2"/>
      <c r="N90" s="2"/>
      <c r="O90" s="2"/>
      <c r="P90" s="2"/>
      <c r="Q90" s="2"/>
      <c r="R90" s="2"/>
      <c r="S90" s="38" t="s">
        <v>706</v>
      </c>
      <c r="T90" s="2"/>
      <c r="U90" s="2"/>
      <c r="V90" s="38" t="s">
        <v>1006</v>
      </c>
      <c r="W90" s="2"/>
      <c r="X90" s="2"/>
      <c r="Y90" s="2"/>
      <c r="Z90" s="2"/>
    </row>
    <row r="91" spans="1:26" ht="12.75" customHeight="1" x14ac:dyDescent="0.2">
      <c r="A91" s="2"/>
      <c r="B91" s="2"/>
      <c r="C91" s="2"/>
      <c r="D91" s="2"/>
      <c r="E91" s="2"/>
      <c r="F91" s="2"/>
      <c r="G91" s="2"/>
      <c r="H91" s="2"/>
      <c r="I91" s="2"/>
      <c r="J91" s="2"/>
      <c r="K91" s="2"/>
      <c r="L91" s="2"/>
      <c r="M91" s="2"/>
      <c r="N91" s="2"/>
      <c r="O91" s="2"/>
      <c r="P91" s="2"/>
      <c r="Q91" s="2"/>
      <c r="R91" s="2"/>
      <c r="S91" s="38" t="s">
        <v>707</v>
      </c>
      <c r="T91" s="2"/>
      <c r="U91" s="2"/>
      <c r="V91" s="38" t="s">
        <v>1007</v>
      </c>
      <c r="W91" s="2"/>
      <c r="X91" s="2"/>
      <c r="Y91" s="2"/>
      <c r="Z91" s="2"/>
    </row>
    <row r="92" spans="1:26" ht="12.75" customHeight="1" x14ac:dyDescent="0.2">
      <c r="A92" s="2"/>
      <c r="B92" s="2"/>
      <c r="C92" s="2"/>
      <c r="D92" s="2"/>
      <c r="E92" s="2"/>
      <c r="F92" s="2"/>
      <c r="G92" s="2"/>
      <c r="H92" s="2"/>
      <c r="I92" s="2"/>
      <c r="J92" s="2"/>
      <c r="K92" s="2"/>
      <c r="L92" s="2"/>
      <c r="M92" s="2"/>
      <c r="N92" s="2"/>
      <c r="O92" s="2"/>
      <c r="P92" s="2"/>
      <c r="Q92" s="2"/>
      <c r="R92" s="2"/>
      <c r="S92" s="38" t="s">
        <v>708</v>
      </c>
      <c r="T92" s="2"/>
      <c r="U92" s="2"/>
      <c r="V92" s="38" t="s">
        <v>1008</v>
      </c>
      <c r="W92" s="2"/>
      <c r="X92" s="2"/>
      <c r="Y92" s="2"/>
      <c r="Z92" s="2"/>
    </row>
    <row r="93" spans="1:26" ht="12.75" customHeight="1" x14ac:dyDescent="0.2">
      <c r="A93" s="2"/>
      <c r="B93" s="2"/>
      <c r="C93" s="2"/>
      <c r="D93" s="2"/>
      <c r="E93" s="2"/>
      <c r="F93" s="2"/>
      <c r="G93" s="2"/>
      <c r="H93" s="2"/>
      <c r="I93" s="2"/>
      <c r="J93" s="2"/>
      <c r="K93" s="2"/>
      <c r="L93" s="2"/>
      <c r="M93" s="2"/>
      <c r="N93" s="2"/>
      <c r="O93" s="2"/>
      <c r="P93" s="2"/>
      <c r="Q93" s="2"/>
      <c r="R93" s="2"/>
      <c r="S93" s="38" t="s">
        <v>709</v>
      </c>
      <c r="T93" s="2"/>
      <c r="U93" s="2"/>
      <c r="V93" s="38" t="s">
        <v>1009</v>
      </c>
      <c r="W93" s="2"/>
      <c r="X93" s="2"/>
      <c r="Y93" s="2"/>
      <c r="Z93" s="2"/>
    </row>
    <row r="94" spans="1:26" ht="12.75" customHeight="1" x14ac:dyDescent="0.2">
      <c r="A94" s="2"/>
      <c r="B94" s="2"/>
      <c r="C94" s="2"/>
      <c r="D94" s="2"/>
      <c r="E94" s="2"/>
      <c r="F94" s="2"/>
      <c r="G94" s="2"/>
      <c r="H94" s="2"/>
      <c r="I94" s="2"/>
      <c r="J94" s="2"/>
      <c r="K94" s="2"/>
      <c r="L94" s="2"/>
      <c r="M94" s="2"/>
      <c r="N94" s="2"/>
      <c r="O94" s="2"/>
      <c r="P94" s="2"/>
      <c r="Q94" s="2"/>
      <c r="R94" s="2"/>
      <c r="S94" s="38" t="s">
        <v>710</v>
      </c>
      <c r="T94" s="2"/>
      <c r="U94" s="2"/>
      <c r="V94" s="38" t="s">
        <v>1010</v>
      </c>
      <c r="W94" s="2"/>
      <c r="X94" s="2"/>
      <c r="Y94" s="2"/>
      <c r="Z94" s="2"/>
    </row>
    <row r="95" spans="1:26" ht="12.75" customHeight="1" x14ac:dyDescent="0.2">
      <c r="A95" s="2"/>
      <c r="B95" s="2"/>
      <c r="C95" s="2"/>
      <c r="D95" s="2"/>
      <c r="E95" s="2"/>
      <c r="F95" s="2"/>
      <c r="G95" s="2"/>
      <c r="H95" s="2"/>
      <c r="I95" s="2"/>
      <c r="J95" s="2"/>
      <c r="K95" s="2"/>
      <c r="L95" s="2"/>
      <c r="M95" s="2"/>
      <c r="N95" s="2"/>
      <c r="O95" s="2"/>
      <c r="P95" s="2"/>
      <c r="Q95" s="2"/>
      <c r="R95" s="2"/>
      <c r="S95" s="38" t="s">
        <v>711</v>
      </c>
      <c r="T95" s="2"/>
      <c r="U95" s="2"/>
      <c r="V95" s="38" t="s">
        <v>1011</v>
      </c>
      <c r="W95" s="2"/>
      <c r="X95" s="2"/>
      <c r="Y95" s="2"/>
      <c r="Z95" s="2"/>
    </row>
    <row r="96" spans="1:26" ht="12.75" customHeight="1" x14ac:dyDescent="0.2">
      <c r="A96" s="2"/>
      <c r="B96" s="2"/>
      <c r="C96" s="2"/>
      <c r="D96" s="2"/>
      <c r="E96" s="2"/>
      <c r="F96" s="2"/>
      <c r="G96" s="2"/>
      <c r="H96" s="2"/>
      <c r="I96" s="2"/>
      <c r="J96" s="2"/>
      <c r="K96" s="2"/>
      <c r="L96" s="2"/>
      <c r="M96" s="2"/>
      <c r="N96" s="2"/>
      <c r="O96" s="2"/>
      <c r="P96" s="2"/>
      <c r="Q96" s="2"/>
      <c r="R96" s="2"/>
      <c r="S96" s="38" t="s">
        <v>712</v>
      </c>
      <c r="T96" s="2"/>
      <c r="U96" s="2"/>
      <c r="V96" s="38" t="s">
        <v>1012</v>
      </c>
      <c r="W96" s="2"/>
      <c r="X96" s="2"/>
      <c r="Y96" s="2"/>
      <c r="Z96" s="2"/>
    </row>
    <row r="97" spans="1:26" ht="12.75" customHeight="1" x14ac:dyDescent="0.2">
      <c r="A97" s="2"/>
      <c r="B97" s="2"/>
      <c r="C97" s="2"/>
      <c r="D97" s="2"/>
      <c r="E97" s="2"/>
      <c r="F97" s="2"/>
      <c r="G97" s="2"/>
      <c r="H97" s="2"/>
      <c r="I97" s="2"/>
      <c r="J97" s="2"/>
      <c r="K97" s="2"/>
      <c r="L97" s="2"/>
      <c r="M97" s="2"/>
      <c r="N97" s="2"/>
      <c r="O97" s="2"/>
      <c r="P97" s="2"/>
      <c r="Q97" s="2"/>
      <c r="R97" s="2"/>
      <c r="S97" s="38" t="s">
        <v>713</v>
      </c>
      <c r="T97" s="2"/>
      <c r="U97" s="2"/>
      <c r="V97" s="38" t="s">
        <v>1013</v>
      </c>
      <c r="W97" s="2"/>
      <c r="X97" s="2"/>
      <c r="Y97" s="2"/>
      <c r="Z97" s="2"/>
    </row>
    <row r="98" spans="1:26" ht="12.75" customHeight="1" x14ac:dyDescent="0.2">
      <c r="A98" s="2"/>
      <c r="B98" s="2"/>
      <c r="C98" s="2"/>
      <c r="D98" s="2"/>
      <c r="E98" s="2"/>
      <c r="F98" s="2"/>
      <c r="G98" s="2"/>
      <c r="H98" s="2"/>
      <c r="I98" s="2"/>
      <c r="J98" s="2"/>
      <c r="K98" s="2"/>
      <c r="L98" s="2"/>
      <c r="M98" s="2"/>
      <c r="N98" s="2"/>
      <c r="O98" s="2"/>
      <c r="P98" s="2"/>
      <c r="Q98" s="2"/>
      <c r="R98" s="2"/>
      <c r="S98" s="38" t="s">
        <v>714</v>
      </c>
      <c r="T98" s="2"/>
      <c r="U98" s="2"/>
      <c r="V98" s="38" t="s">
        <v>1014</v>
      </c>
      <c r="W98" s="2"/>
      <c r="X98" s="2"/>
      <c r="Y98" s="2"/>
      <c r="Z98" s="2"/>
    </row>
    <row r="99" spans="1:26" ht="12.75" customHeight="1" x14ac:dyDescent="0.2">
      <c r="A99" s="2"/>
      <c r="B99" s="2"/>
      <c r="C99" s="2"/>
      <c r="D99" s="2"/>
      <c r="E99" s="2"/>
      <c r="F99" s="2"/>
      <c r="G99" s="2"/>
      <c r="H99" s="2"/>
      <c r="I99" s="2"/>
      <c r="J99" s="2"/>
      <c r="K99" s="2"/>
      <c r="L99" s="2"/>
      <c r="M99" s="2"/>
      <c r="N99" s="2"/>
      <c r="O99" s="2"/>
      <c r="P99" s="2"/>
      <c r="Q99" s="2"/>
      <c r="R99" s="2"/>
      <c r="S99" s="38" t="s">
        <v>715</v>
      </c>
      <c r="T99" s="2"/>
      <c r="U99" s="2"/>
      <c r="V99" s="38" t="s">
        <v>1015</v>
      </c>
      <c r="W99" s="2"/>
      <c r="X99" s="2"/>
      <c r="Y99" s="2"/>
      <c r="Z99" s="2"/>
    </row>
    <row r="100" spans="1:26" ht="12.75" customHeight="1" x14ac:dyDescent="0.2">
      <c r="A100" s="2"/>
      <c r="B100" s="2"/>
      <c r="C100" s="2"/>
      <c r="D100" s="2"/>
      <c r="E100" s="2"/>
      <c r="F100" s="2"/>
      <c r="G100" s="2"/>
      <c r="H100" s="2"/>
      <c r="I100" s="2"/>
      <c r="J100" s="2"/>
      <c r="K100" s="2"/>
      <c r="L100" s="2"/>
      <c r="M100" s="2"/>
      <c r="N100" s="2"/>
      <c r="O100" s="2"/>
      <c r="P100" s="2"/>
      <c r="Q100" s="2"/>
      <c r="R100" s="2"/>
      <c r="S100" s="38" t="s">
        <v>716</v>
      </c>
      <c r="T100" s="2"/>
      <c r="U100" s="2"/>
      <c r="V100" s="38" t="s">
        <v>1016</v>
      </c>
      <c r="W100" s="2"/>
      <c r="X100" s="2"/>
      <c r="Y100" s="2"/>
      <c r="Z100" s="2"/>
    </row>
    <row r="101" spans="1:26" ht="12.75" customHeight="1" x14ac:dyDescent="0.2">
      <c r="A101" s="2"/>
      <c r="B101" s="2"/>
      <c r="C101" s="2"/>
      <c r="D101" s="2"/>
      <c r="E101" s="2"/>
      <c r="F101" s="2"/>
      <c r="G101" s="2"/>
      <c r="H101" s="2"/>
      <c r="I101" s="2"/>
      <c r="J101" s="2"/>
      <c r="K101" s="2"/>
      <c r="L101" s="2"/>
      <c r="M101" s="2"/>
      <c r="N101" s="2"/>
      <c r="O101" s="2"/>
      <c r="P101" s="2"/>
      <c r="Q101" s="2"/>
      <c r="R101" s="2"/>
      <c r="S101" s="38" t="s">
        <v>717</v>
      </c>
      <c r="T101" s="2"/>
      <c r="U101" s="2"/>
      <c r="V101" s="38" t="s">
        <v>1017</v>
      </c>
      <c r="W101" s="2"/>
      <c r="X101" s="2"/>
      <c r="Y101" s="2"/>
      <c r="Z101" s="2"/>
    </row>
    <row r="102" spans="1:26" ht="12.75" customHeight="1" x14ac:dyDescent="0.2">
      <c r="A102" s="2"/>
      <c r="B102" s="2"/>
      <c r="C102" s="2"/>
      <c r="D102" s="2"/>
      <c r="E102" s="2"/>
      <c r="F102" s="2"/>
      <c r="G102" s="2"/>
      <c r="H102" s="2"/>
      <c r="I102" s="2"/>
      <c r="J102" s="2"/>
      <c r="K102" s="2"/>
      <c r="L102" s="2"/>
      <c r="M102" s="2"/>
      <c r="N102" s="2"/>
      <c r="O102" s="2"/>
      <c r="P102" s="2"/>
      <c r="Q102" s="2"/>
      <c r="R102" s="2"/>
      <c r="S102" s="38" t="s">
        <v>718</v>
      </c>
      <c r="T102" s="2"/>
      <c r="U102" s="2"/>
      <c r="V102" s="38" t="s">
        <v>1018</v>
      </c>
      <c r="W102" s="2"/>
      <c r="X102" s="2"/>
      <c r="Y102" s="2"/>
      <c r="Z102" s="2"/>
    </row>
    <row r="103" spans="1:26" ht="12.75" customHeight="1" x14ac:dyDescent="0.2">
      <c r="A103" s="2"/>
      <c r="B103" s="2"/>
      <c r="C103" s="2"/>
      <c r="D103" s="2"/>
      <c r="E103" s="2"/>
      <c r="F103" s="2"/>
      <c r="G103" s="2"/>
      <c r="H103" s="2"/>
      <c r="I103" s="2"/>
      <c r="J103" s="2"/>
      <c r="K103" s="2"/>
      <c r="L103" s="2"/>
      <c r="M103" s="2"/>
      <c r="N103" s="2"/>
      <c r="O103" s="2"/>
      <c r="P103" s="2"/>
      <c r="Q103" s="2"/>
      <c r="R103" s="2"/>
      <c r="S103" s="38" t="s">
        <v>719</v>
      </c>
      <c r="T103" s="2"/>
      <c r="U103" s="2"/>
      <c r="V103" s="38" t="s">
        <v>1019</v>
      </c>
      <c r="W103" s="2"/>
      <c r="X103" s="2"/>
      <c r="Y103" s="2"/>
      <c r="Z103" s="2"/>
    </row>
    <row r="104" spans="1:26" ht="12.75" customHeight="1" x14ac:dyDescent="0.2">
      <c r="A104" s="2"/>
      <c r="B104" s="2"/>
      <c r="C104" s="2"/>
      <c r="D104" s="2"/>
      <c r="E104" s="2"/>
      <c r="F104" s="2"/>
      <c r="G104" s="2"/>
      <c r="H104" s="2"/>
      <c r="I104" s="2"/>
      <c r="J104" s="2"/>
      <c r="K104" s="2"/>
      <c r="L104" s="2"/>
      <c r="M104" s="2"/>
      <c r="N104" s="2"/>
      <c r="O104" s="2"/>
      <c r="P104" s="2"/>
      <c r="Q104" s="2"/>
      <c r="R104" s="2"/>
      <c r="S104" s="38" t="s">
        <v>720</v>
      </c>
      <c r="T104" s="2"/>
      <c r="U104" s="2"/>
      <c r="V104" s="38" t="s">
        <v>467</v>
      </c>
      <c r="W104" s="2"/>
      <c r="X104" s="2"/>
      <c r="Y104" s="2"/>
      <c r="Z104" s="2"/>
    </row>
    <row r="105" spans="1:26" ht="12.75" customHeight="1" x14ac:dyDescent="0.2">
      <c r="A105" s="2"/>
      <c r="B105" s="2"/>
      <c r="C105" s="2"/>
      <c r="D105" s="2"/>
      <c r="E105" s="2"/>
      <c r="F105" s="2"/>
      <c r="G105" s="2"/>
      <c r="H105" s="2"/>
      <c r="I105" s="2"/>
      <c r="J105" s="2"/>
      <c r="K105" s="2"/>
      <c r="L105" s="2"/>
      <c r="M105" s="2"/>
      <c r="N105" s="2"/>
      <c r="O105" s="2"/>
      <c r="P105" s="2"/>
      <c r="Q105" s="2"/>
      <c r="R105" s="2"/>
      <c r="S105" s="38" t="s">
        <v>721</v>
      </c>
      <c r="T105" s="2"/>
      <c r="U105" s="2"/>
      <c r="V105" s="38" t="s">
        <v>1020</v>
      </c>
      <c r="W105" s="2"/>
      <c r="X105" s="2"/>
      <c r="Y105" s="2"/>
      <c r="Z105" s="2"/>
    </row>
    <row r="106" spans="1:26" ht="12.75" customHeight="1" x14ac:dyDescent="0.2">
      <c r="A106" s="2"/>
      <c r="B106" s="2"/>
      <c r="C106" s="2"/>
      <c r="D106" s="2"/>
      <c r="E106" s="2"/>
      <c r="F106" s="2"/>
      <c r="G106" s="2"/>
      <c r="H106" s="2"/>
      <c r="I106" s="2"/>
      <c r="J106" s="2"/>
      <c r="K106" s="2"/>
      <c r="L106" s="2"/>
      <c r="M106" s="2"/>
      <c r="N106" s="2"/>
      <c r="O106" s="2"/>
      <c r="P106" s="2"/>
      <c r="Q106" s="2"/>
      <c r="R106" s="2"/>
      <c r="S106" s="38" t="s">
        <v>722</v>
      </c>
      <c r="T106" s="2"/>
      <c r="U106" s="2"/>
      <c r="V106" s="38" t="s">
        <v>1021</v>
      </c>
      <c r="W106" s="2"/>
      <c r="X106" s="2"/>
      <c r="Y106" s="2"/>
      <c r="Z106" s="2"/>
    </row>
    <row r="107" spans="1:26" ht="12.75" customHeight="1" x14ac:dyDescent="0.2">
      <c r="A107" s="2"/>
      <c r="B107" s="2"/>
      <c r="C107" s="2"/>
      <c r="D107" s="2"/>
      <c r="E107" s="2"/>
      <c r="F107" s="2"/>
      <c r="G107" s="2"/>
      <c r="H107" s="2"/>
      <c r="I107" s="2"/>
      <c r="J107" s="2"/>
      <c r="K107" s="2"/>
      <c r="L107" s="2"/>
      <c r="M107" s="2"/>
      <c r="N107" s="2"/>
      <c r="O107" s="2"/>
      <c r="P107" s="2"/>
      <c r="Q107" s="2"/>
      <c r="R107" s="2"/>
      <c r="S107" s="38" t="s">
        <v>723</v>
      </c>
      <c r="T107" s="2"/>
      <c r="U107" s="2"/>
      <c r="V107" s="38" t="s">
        <v>1022</v>
      </c>
      <c r="W107" s="2"/>
      <c r="X107" s="2"/>
      <c r="Y107" s="2"/>
      <c r="Z107" s="2"/>
    </row>
    <row r="108" spans="1:26" ht="12.75" customHeight="1" x14ac:dyDescent="0.2">
      <c r="A108" s="2"/>
      <c r="B108" s="2"/>
      <c r="C108" s="2"/>
      <c r="D108" s="2"/>
      <c r="E108" s="2"/>
      <c r="F108" s="2"/>
      <c r="G108" s="2"/>
      <c r="H108" s="2"/>
      <c r="I108" s="2"/>
      <c r="J108" s="2"/>
      <c r="K108" s="2"/>
      <c r="L108" s="2"/>
      <c r="M108" s="2"/>
      <c r="N108" s="2"/>
      <c r="O108" s="2"/>
      <c r="P108" s="2"/>
      <c r="Q108" s="2"/>
      <c r="R108" s="2"/>
      <c r="S108" s="38" t="s">
        <v>724</v>
      </c>
      <c r="T108" s="2"/>
      <c r="U108" s="2"/>
      <c r="V108" s="38" t="s">
        <v>1023</v>
      </c>
      <c r="W108" s="2"/>
      <c r="X108" s="2"/>
      <c r="Y108" s="2"/>
      <c r="Z108" s="2"/>
    </row>
    <row r="109" spans="1:26" ht="12.75" customHeight="1" x14ac:dyDescent="0.2">
      <c r="A109" s="2"/>
      <c r="B109" s="2"/>
      <c r="C109" s="2"/>
      <c r="D109" s="2"/>
      <c r="E109" s="2"/>
      <c r="F109" s="2"/>
      <c r="G109" s="2"/>
      <c r="H109" s="2"/>
      <c r="I109" s="2"/>
      <c r="J109" s="2"/>
      <c r="K109" s="2"/>
      <c r="L109" s="2"/>
      <c r="M109" s="2"/>
      <c r="N109" s="2"/>
      <c r="O109" s="2"/>
      <c r="P109" s="2"/>
      <c r="Q109" s="2"/>
      <c r="R109" s="2"/>
      <c r="S109" s="38" t="s">
        <v>725</v>
      </c>
      <c r="T109" s="2"/>
      <c r="U109" s="2"/>
      <c r="V109" s="38" t="s">
        <v>1024</v>
      </c>
      <c r="W109" s="2"/>
      <c r="X109" s="2"/>
      <c r="Y109" s="2"/>
      <c r="Z109" s="2"/>
    </row>
    <row r="110" spans="1:26" ht="12.75" customHeight="1" x14ac:dyDescent="0.2">
      <c r="A110" s="2"/>
      <c r="B110" s="2"/>
      <c r="C110" s="2"/>
      <c r="D110" s="2"/>
      <c r="E110" s="2"/>
      <c r="F110" s="2"/>
      <c r="G110" s="2"/>
      <c r="H110" s="2"/>
      <c r="I110" s="2"/>
      <c r="J110" s="2"/>
      <c r="K110" s="2"/>
      <c r="L110" s="2"/>
      <c r="M110" s="2"/>
      <c r="N110" s="2"/>
      <c r="O110" s="2"/>
      <c r="P110" s="2"/>
      <c r="Q110" s="2"/>
      <c r="R110" s="2"/>
      <c r="S110" s="38" t="s">
        <v>726</v>
      </c>
      <c r="T110" s="2"/>
      <c r="U110" s="2"/>
      <c r="V110" s="38" t="s">
        <v>1025</v>
      </c>
      <c r="W110" s="2"/>
      <c r="X110" s="2"/>
      <c r="Y110" s="2"/>
      <c r="Z110" s="2"/>
    </row>
    <row r="111" spans="1:26" ht="12.75" customHeight="1" x14ac:dyDescent="0.2">
      <c r="A111" s="2"/>
      <c r="B111" s="2"/>
      <c r="C111" s="2"/>
      <c r="D111" s="2"/>
      <c r="E111" s="2"/>
      <c r="F111" s="2"/>
      <c r="G111" s="2"/>
      <c r="H111" s="2"/>
      <c r="I111" s="2"/>
      <c r="J111" s="2"/>
      <c r="K111" s="2"/>
      <c r="L111" s="2"/>
      <c r="M111" s="2"/>
      <c r="N111" s="2"/>
      <c r="O111" s="2"/>
      <c r="P111" s="2"/>
      <c r="Q111" s="2"/>
      <c r="R111" s="2"/>
      <c r="S111" s="38" t="s">
        <v>727</v>
      </c>
      <c r="T111" s="2"/>
      <c r="U111" s="2"/>
      <c r="V111" s="38" t="s">
        <v>1026</v>
      </c>
      <c r="W111" s="2"/>
      <c r="X111" s="2"/>
      <c r="Y111" s="2"/>
      <c r="Z111" s="2"/>
    </row>
    <row r="112" spans="1:26" ht="12.75" customHeight="1" x14ac:dyDescent="0.2">
      <c r="A112" s="2"/>
      <c r="B112" s="2"/>
      <c r="C112" s="2"/>
      <c r="D112" s="2"/>
      <c r="E112" s="2"/>
      <c r="F112" s="2"/>
      <c r="G112" s="2"/>
      <c r="H112" s="2"/>
      <c r="I112" s="2"/>
      <c r="J112" s="2"/>
      <c r="K112" s="2"/>
      <c r="L112" s="2"/>
      <c r="M112" s="2"/>
      <c r="N112" s="2"/>
      <c r="O112" s="2"/>
      <c r="P112" s="2"/>
      <c r="Q112" s="2"/>
      <c r="R112" s="2"/>
      <c r="S112" s="38" t="s">
        <v>728</v>
      </c>
      <c r="T112" s="2"/>
      <c r="U112" s="2"/>
      <c r="V112" s="38" t="s">
        <v>1027</v>
      </c>
      <c r="W112" s="2"/>
      <c r="X112" s="2"/>
      <c r="Y112" s="2"/>
      <c r="Z112" s="2"/>
    </row>
    <row r="113" spans="1:26" ht="12.75" customHeight="1" x14ac:dyDescent="0.2">
      <c r="A113" s="2"/>
      <c r="B113" s="2"/>
      <c r="C113" s="2"/>
      <c r="D113" s="2"/>
      <c r="E113" s="2"/>
      <c r="F113" s="2"/>
      <c r="G113" s="2"/>
      <c r="H113" s="2"/>
      <c r="I113" s="2"/>
      <c r="J113" s="2"/>
      <c r="K113" s="2"/>
      <c r="L113" s="2"/>
      <c r="M113" s="2"/>
      <c r="N113" s="2"/>
      <c r="O113" s="2"/>
      <c r="P113" s="2"/>
      <c r="Q113" s="2"/>
      <c r="R113" s="2"/>
      <c r="S113" s="38" t="s">
        <v>729</v>
      </c>
      <c r="T113" s="2"/>
      <c r="U113" s="2"/>
      <c r="V113" s="38" t="s">
        <v>1028</v>
      </c>
      <c r="W113" s="2"/>
      <c r="X113" s="2"/>
      <c r="Y113" s="2"/>
      <c r="Z113" s="2"/>
    </row>
    <row r="114" spans="1:26" ht="12.75" customHeight="1" x14ac:dyDescent="0.2">
      <c r="A114" s="2"/>
      <c r="B114" s="2"/>
      <c r="C114" s="2"/>
      <c r="D114" s="2"/>
      <c r="E114" s="2"/>
      <c r="F114" s="2"/>
      <c r="G114" s="2"/>
      <c r="H114" s="2"/>
      <c r="I114" s="2"/>
      <c r="J114" s="2"/>
      <c r="K114" s="2"/>
      <c r="L114" s="2"/>
      <c r="M114" s="2"/>
      <c r="N114" s="2"/>
      <c r="O114" s="2"/>
      <c r="P114" s="2"/>
      <c r="Q114" s="2"/>
      <c r="R114" s="2"/>
      <c r="S114" s="38" t="s">
        <v>730</v>
      </c>
      <c r="T114" s="2"/>
      <c r="U114" s="2"/>
      <c r="V114" s="38" t="s">
        <v>1029</v>
      </c>
      <c r="W114" s="2"/>
      <c r="X114" s="2"/>
      <c r="Y114" s="2"/>
      <c r="Z114" s="2"/>
    </row>
    <row r="115" spans="1:26" ht="12.75" customHeight="1" x14ac:dyDescent="0.2">
      <c r="A115" s="2"/>
      <c r="B115" s="2"/>
      <c r="C115" s="2"/>
      <c r="D115" s="2"/>
      <c r="E115" s="2"/>
      <c r="F115" s="2"/>
      <c r="G115" s="2"/>
      <c r="H115" s="2"/>
      <c r="I115" s="2"/>
      <c r="J115" s="2"/>
      <c r="K115" s="2"/>
      <c r="L115" s="2"/>
      <c r="M115" s="2"/>
      <c r="N115" s="2"/>
      <c r="O115" s="2"/>
      <c r="P115" s="2"/>
      <c r="Q115" s="2"/>
      <c r="R115" s="2"/>
      <c r="S115" s="38" t="s">
        <v>731</v>
      </c>
      <c r="T115" s="2"/>
      <c r="U115" s="2"/>
      <c r="V115" s="38" t="s">
        <v>1030</v>
      </c>
      <c r="W115" s="2"/>
      <c r="X115" s="2"/>
      <c r="Y115" s="2"/>
      <c r="Z115" s="2"/>
    </row>
    <row r="116" spans="1:26" ht="12.75" customHeight="1" x14ac:dyDescent="0.2">
      <c r="A116" s="2"/>
      <c r="B116" s="2"/>
      <c r="C116" s="2"/>
      <c r="D116" s="2"/>
      <c r="E116" s="2"/>
      <c r="F116" s="2"/>
      <c r="G116" s="2"/>
      <c r="H116" s="2"/>
      <c r="I116" s="2"/>
      <c r="J116" s="2"/>
      <c r="K116" s="2"/>
      <c r="L116" s="2"/>
      <c r="M116" s="2"/>
      <c r="N116" s="2"/>
      <c r="O116" s="2"/>
      <c r="P116" s="2"/>
      <c r="Q116" s="2"/>
      <c r="R116" s="2"/>
      <c r="S116" s="38" t="s">
        <v>732</v>
      </c>
      <c r="T116" s="2"/>
      <c r="U116" s="2"/>
      <c r="V116" s="38" t="s">
        <v>1031</v>
      </c>
      <c r="W116" s="2"/>
      <c r="X116" s="2"/>
      <c r="Y116" s="2"/>
      <c r="Z116" s="2"/>
    </row>
    <row r="117" spans="1:26" ht="12.75" customHeight="1" x14ac:dyDescent="0.2">
      <c r="A117" s="2"/>
      <c r="B117" s="2"/>
      <c r="C117" s="2"/>
      <c r="D117" s="2"/>
      <c r="E117" s="2"/>
      <c r="F117" s="2"/>
      <c r="G117" s="2"/>
      <c r="H117" s="2"/>
      <c r="I117" s="2"/>
      <c r="J117" s="2"/>
      <c r="K117" s="2"/>
      <c r="L117" s="2"/>
      <c r="M117" s="2"/>
      <c r="N117" s="2"/>
      <c r="O117" s="2"/>
      <c r="P117" s="2"/>
      <c r="Q117" s="2"/>
      <c r="R117" s="2"/>
      <c r="S117" s="38" t="s">
        <v>733</v>
      </c>
      <c r="T117" s="2"/>
      <c r="U117" s="2"/>
      <c r="V117" s="38" t="s">
        <v>1032</v>
      </c>
      <c r="W117" s="2"/>
      <c r="X117" s="2"/>
      <c r="Y117" s="2"/>
      <c r="Z117" s="2"/>
    </row>
    <row r="118" spans="1:26" ht="12.75" customHeight="1" x14ac:dyDescent="0.2">
      <c r="A118" s="2"/>
      <c r="B118" s="2"/>
      <c r="C118" s="2"/>
      <c r="D118" s="2"/>
      <c r="E118" s="2"/>
      <c r="F118" s="2"/>
      <c r="G118" s="2"/>
      <c r="H118" s="2"/>
      <c r="I118" s="2"/>
      <c r="J118" s="2"/>
      <c r="K118" s="2"/>
      <c r="L118" s="2"/>
      <c r="M118" s="2"/>
      <c r="N118" s="2"/>
      <c r="O118" s="2"/>
      <c r="P118" s="2"/>
      <c r="Q118" s="2"/>
      <c r="R118" s="2"/>
      <c r="S118" s="38" t="s">
        <v>734</v>
      </c>
      <c r="T118" s="2"/>
      <c r="U118" s="2"/>
      <c r="V118" s="38" t="s">
        <v>1033</v>
      </c>
      <c r="W118" s="2"/>
      <c r="X118" s="2"/>
      <c r="Y118" s="2"/>
      <c r="Z118" s="2"/>
    </row>
    <row r="119" spans="1:26" ht="12.75" customHeight="1" x14ac:dyDescent="0.2">
      <c r="A119" s="2"/>
      <c r="B119" s="2"/>
      <c r="C119" s="2"/>
      <c r="D119" s="2"/>
      <c r="E119" s="2"/>
      <c r="F119" s="2"/>
      <c r="G119" s="2"/>
      <c r="H119" s="2"/>
      <c r="I119" s="2"/>
      <c r="J119" s="2"/>
      <c r="K119" s="2"/>
      <c r="L119" s="2"/>
      <c r="M119" s="2"/>
      <c r="N119" s="2"/>
      <c r="O119" s="2"/>
      <c r="P119" s="2"/>
      <c r="Q119" s="2"/>
      <c r="R119" s="2"/>
      <c r="S119" s="38" t="s">
        <v>735</v>
      </c>
      <c r="T119" s="2"/>
      <c r="U119" s="2"/>
      <c r="V119" s="38" t="s">
        <v>1034</v>
      </c>
      <c r="W119" s="2"/>
      <c r="X119" s="2"/>
      <c r="Y119" s="2"/>
      <c r="Z119" s="2"/>
    </row>
    <row r="120" spans="1:26" ht="12.75" customHeight="1" x14ac:dyDescent="0.2">
      <c r="A120" s="2"/>
      <c r="B120" s="2"/>
      <c r="C120" s="2"/>
      <c r="D120" s="2"/>
      <c r="E120" s="2"/>
      <c r="F120" s="2"/>
      <c r="G120" s="2"/>
      <c r="H120" s="2"/>
      <c r="I120" s="2"/>
      <c r="J120" s="2"/>
      <c r="K120" s="2"/>
      <c r="L120" s="2"/>
      <c r="M120" s="2"/>
      <c r="N120" s="2"/>
      <c r="O120" s="2"/>
      <c r="P120" s="2"/>
      <c r="Q120" s="2"/>
      <c r="R120" s="2"/>
      <c r="S120" s="38" t="s">
        <v>736</v>
      </c>
      <c r="T120" s="2"/>
      <c r="U120" s="2"/>
      <c r="V120" s="38" t="s">
        <v>1035</v>
      </c>
      <c r="W120" s="2"/>
      <c r="X120" s="2"/>
      <c r="Y120" s="2"/>
      <c r="Z120" s="2"/>
    </row>
    <row r="121" spans="1:26" ht="12.75" customHeight="1" x14ac:dyDescent="0.2">
      <c r="A121" s="2"/>
      <c r="B121" s="2"/>
      <c r="C121" s="2"/>
      <c r="D121" s="2"/>
      <c r="E121" s="2"/>
      <c r="F121" s="2"/>
      <c r="G121" s="2"/>
      <c r="H121" s="2"/>
      <c r="I121" s="2"/>
      <c r="J121" s="2"/>
      <c r="K121" s="2"/>
      <c r="L121" s="2"/>
      <c r="M121" s="2"/>
      <c r="N121" s="2"/>
      <c r="O121" s="2"/>
      <c r="P121" s="2"/>
      <c r="Q121" s="2"/>
      <c r="R121" s="2"/>
      <c r="S121" s="38" t="s">
        <v>737</v>
      </c>
      <c r="T121" s="2"/>
      <c r="U121" s="2"/>
      <c r="V121" s="38" t="s">
        <v>1036</v>
      </c>
      <c r="W121" s="2"/>
      <c r="X121" s="2"/>
      <c r="Y121" s="2"/>
      <c r="Z121" s="2"/>
    </row>
    <row r="122" spans="1:26" ht="12.75" customHeight="1" x14ac:dyDescent="0.2">
      <c r="A122" s="2"/>
      <c r="B122" s="2"/>
      <c r="C122" s="2"/>
      <c r="D122" s="2"/>
      <c r="E122" s="2"/>
      <c r="F122" s="2"/>
      <c r="G122" s="2"/>
      <c r="H122" s="2"/>
      <c r="I122" s="2"/>
      <c r="J122" s="2"/>
      <c r="K122" s="2"/>
      <c r="L122" s="2"/>
      <c r="M122" s="2"/>
      <c r="N122" s="2"/>
      <c r="O122" s="2"/>
      <c r="P122" s="2"/>
      <c r="Q122" s="2"/>
      <c r="R122" s="2"/>
      <c r="S122" s="38" t="s">
        <v>738</v>
      </c>
      <c r="T122" s="2"/>
      <c r="U122" s="2"/>
      <c r="V122" s="38" t="s">
        <v>1037</v>
      </c>
      <c r="W122" s="2"/>
      <c r="X122" s="2"/>
      <c r="Y122" s="2"/>
      <c r="Z122" s="2"/>
    </row>
    <row r="123" spans="1:26" ht="12.75" customHeight="1" x14ac:dyDescent="0.2">
      <c r="A123" s="2"/>
      <c r="B123" s="2"/>
      <c r="C123" s="2"/>
      <c r="D123" s="2"/>
      <c r="E123" s="2"/>
      <c r="F123" s="2"/>
      <c r="G123" s="2"/>
      <c r="H123" s="2"/>
      <c r="I123" s="2"/>
      <c r="J123" s="2"/>
      <c r="K123" s="2"/>
      <c r="L123" s="2"/>
      <c r="M123" s="2"/>
      <c r="N123" s="2"/>
      <c r="O123" s="2"/>
      <c r="P123" s="2"/>
      <c r="Q123" s="2"/>
      <c r="R123" s="2"/>
      <c r="S123" s="38" t="s">
        <v>739</v>
      </c>
      <c r="T123" s="2"/>
      <c r="U123" s="2"/>
      <c r="V123" s="38" t="s">
        <v>1038</v>
      </c>
      <c r="W123" s="2"/>
      <c r="X123" s="2"/>
      <c r="Y123" s="2"/>
      <c r="Z123" s="2"/>
    </row>
    <row r="124" spans="1:26" ht="12.75" customHeight="1" x14ac:dyDescent="0.2">
      <c r="A124" s="2"/>
      <c r="B124" s="2"/>
      <c r="C124" s="2"/>
      <c r="D124" s="2"/>
      <c r="E124" s="2"/>
      <c r="F124" s="2"/>
      <c r="G124" s="2"/>
      <c r="H124" s="2"/>
      <c r="I124" s="2"/>
      <c r="J124" s="2"/>
      <c r="K124" s="2"/>
      <c r="L124" s="2"/>
      <c r="M124" s="2"/>
      <c r="N124" s="2"/>
      <c r="O124" s="2"/>
      <c r="P124" s="2"/>
      <c r="Q124" s="2"/>
      <c r="R124" s="2"/>
      <c r="S124" s="38" t="s">
        <v>740</v>
      </c>
      <c r="T124" s="2"/>
      <c r="U124" s="2"/>
      <c r="V124" s="38" t="s">
        <v>1039</v>
      </c>
      <c r="W124" s="2"/>
      <c r="X124" s="2"/>
      <c r="Y124" s="2"/>
      <c r="Z124" s="2"/>
    </row>
    <row r="125" spans="1:26" ht="12.75" customHeight="1" x14ac:dyDescent="0.2">
      <c r="A125" s="2"/>
      <c r="B125" s="2"/>
      <c r="C125" s="2"/>
      <c r="D125" s="2"/>
      <c r="E125" s="2"/>
      <c r="F125" s="2"/>
      <c r="G125" s="2"/>
      <c r="H125" s="2"/>
      <c r="I125" s="2"/>
      <c r="J125" s="2"/>
      <c r="K125" s="2"/>
      <c r="L125" s="2"/>
      <c r="M125" s="2"/>
      <c r="N125" s="2"/>
      <c r="O125" s="2"/>
      <c r="P125" s="2"/>
      <c r="Q125" s="2"/>
      <c r="R125" s="2"/>
      <c r="S125" s="38" t="s">
        <v>741</v>
      </c>
      <c r="T125" s="2"/>
      <c r="U125" s="2"/>
      <c r="V125" s="38" t="s">
        <v>1040</v>
      </c>
      <c r="W125" s="2"/>
      <c r="X125" s="2"/>
      <c r="Y125" s="2"/>
      <c r="Z125" s="2"/>
    </row>
    <row r="126" spans="1:26" ht="12.75" customHeight="1" x14ac:dyDescent="0.2">
      <c r="A126" s="2"/>
      <c r="B126" s="2"/>
      <c r="C126" s="2"/>
      <c r="D126" s="2"/>
      <c r="E126" s="2"/>
      <c r="F126" s="2"/>
      <c r="G126" s="2"/>
      <c r="H126" s="2"/>
      <c r="I126" s="2"/>
      <c r="J126" s="2"/>
      <c r="K126" s="2"/>
      <c r="L126" s="2"/>
      <c r="M126" s="2"/>
      <c r="N126" s="2"/>
      <c r="O126" s="2"/>
      <c r="P126" s="2"/>
      <c r="Q126" s="2"/>
      <c r="R126" s="2"/>
      <c r="S126" s="38" t="s">
        <v>742</v>
      </c>
      <c r="T126" s="2"/>
      <c r="U126" s="2"/>
      <c r="V126" s="38" t="s">
        <v>1041</v>
      </c>
      <c r="W126" s="2"/>
      <c r="X126" s="2"/>
      <c r="Y126" s="2"/>
      <c r="Z126" s="2"/>
    </row>
    <row r="127" spans="1:26" ht="12.75" customHeight="1" x14ac:dyDescent="0.2">
      <c r="A127" s="2"/>
      <c r="B127" s="2"/>
      <c r="C127" s="2"/>
      <c r="D127" s="2"/>
      <c r="E127" s="2"/>
      <c r="F127" s="2"/>
      <c r="G127" s="2"/>
      <c r="H127" s="2"/>
      <c r="I127" s="2"/>
      <c r="J127" s="2"/>
      <c r="K127" s="2"/>
      <c r="L127" s="2"/>
      <c r="M127" s="2"/>
      <c r="N127" s="2"/>
      <c r="O127" s="2"/>
      <c r="P127" s="2"/>
      <c r="Q127" s="2"/>
      <c r="R127" s="2"/>
      <c r="S127" s="38" t="s">
        <v>743</v>
      </c>
      <c r="T127" s="2"/>
      <c r="U127" s="2"/>
      <c r="V127" s="38" t="s">
        <v>1042</v>
      </c>
      <c r="W127" s="2"/>
      <c r="X127" s="2"/>
      <c r="Y127" s="2"/>
      <c r="Z127" s="2"/>
    </row>
    <row r="128" spans="1:26" ht="12.75" customHeight="1" x14ac:dyDescent="0.2">
      <c r="A128" s="2"/>
      <c r="B128" s="2"/>
      <c r="C128" s="2"/>
      <c r="D128" s="2"/>
      <c r="E128" s="2"/>
      <c r="F128" s="2"/>
      <c r="G128" s="2"/>
      <c r="H128" s="2"/>
      <c r="I128" s="2"/>
      <c r="J128" s="2"/>
      <c r="K128" s="2"/>
      <c r="L128" s="2"/>
      <c r="M128" s="2"/>
      <c r="N128" s="2"/>
      <c r="O128" s="2"/>
      <c r="P128" s="2"/>
      <c r="Q128" s="2"/>
      <c r="R128" s="2"/>
      <c r="S128" s="38" t="s">
        <v>744</v>
      </c>
      <c r="T128" s="2"/>
      <c r="U128" s="2"/>
      <c r="V128" s="38" t="s">
        <v>1043</v>
      </c>
      <c r="W128" s="2"/>
      <c r="X128" s="2"/>
      <c r="Y128" s="2"/>
      <c r="Z128" s="2"/>
    </row>
    <row r="129" spans="1:26" ht="12.75" customHeight="1" x14ac:dyDescent="0.2">
      <c r="A129" s="2"/>
      <c r="B129" s="2"/>
      <c r="C129" s="2"/>
      <c r="D129" s="2"/>
      <c r="E129" s="2"/>
      <c r="F129" s="2"/>
      <c r="G129" s="2"/>
      <c r="H129" s="2"/>
      <c r="I129" s="2"/>
      <c r="J129" s="2"/>
      <c r="K129" s="2"/>
      <c r="L129" s="2"/>
      <c r="M129" s="2"/>
      <c r="N129" s="2"/>
      <c r="O129" s="2"/>
      <c r="P129" s="2"/>
      <c r="Q129" s="2"/>
      <c r="R129" s="2"/>
      <c r="S129" s="38" t="s">
        <v>745</v>
      </c>
      <c r="T129" s="2"/>
      <c r="U129" s="2"/>
      <c r="V129" s="38" t="s">
        <v>1044</v>
      </c>
      <c r="W129" s="2"/>
      <c r="X129" s="2"/>
      <c r="Y129" s="2"/>
      <c r="Z129" s="2"/>
    </row>
    <row r="130" spans="1:26" ht="12.75" customHeight="1" x14ac:dyDescent="0.2">
      <c r="A130" s="2"/>
      <c r="B130" s="2"/>
      <c r="C130" s="2"/>
      <c r="D130" s="2"/>
      <c r="E130" s="2"/>
      <c r="F130" s="2"/>
      <c r="G130" s="2"/>
      <c r="H130" s="2"/>
      <c r="I130" s="2"/>
      <c r="J130" s="2"/>
      <c r="K130" s="2"/>
      <c r="L130" s="2"/>
      <c r="M130" s="2"/>
      <c r="N130" s="2"/>
      <c r="O130" s="2"/>
      <c r="P130" s="2"/>
      <c r="Q130" s="2"/>
      <c r="R130" s="2"/>
      <c r="S130" s="38" t="s">
        <v>746</v>
      </c>
      <c r="T130" s="2"/>
      <c r="U130" s="2"/>
      <c r="V130" s="38" t="s">
        <v>1045</v>
      </c>
      <c r="W130" s="2"/>
      <c r="X130" s="2"/>
      <c r="Y130" s="2"/>
      <c r="Z130" s="2"/>
    </row>
    <row r="131" spans="1:26" ht="12.75" customHeight="1" x14ac:dyDescent="0.2">
      <c r="A131" s="2"/>
      <c r="B131" s="2"/>
      <c r="C131" s="2"/>
      <c r="D131" s="2"/>
      <c r="E131" s="2"/>
      <c r="F131" s="2"/>
      <c r="G131" s="2"/>
      <c r="H131" s="2"/>
      <c r="I131" s="2"/>
      <c r="J131" s="2"/>
      <c r="K131" s="2"/>
      <c r="L131" s="2"/>
      <c r="M131" s="2"/>
      <c r="N131" s="2"/>
      <c r="O131" s="2"/>
      <c r="P131" s="2"/>
      <c r="Q131" s="2"/>
      <c r="R131" s="2"/>
      <c r="S131" s="38" t="s">
        <v>747</v>
      </c>
      <c r="T131" s="2"/>
      <c r="U131" s="2"/>
      <c r="V131" s="38" t="s">
        <v>1046</v>
      </c>
      <c r="W131" s="2"/>
      <c r="X131" s="2"/>
      <c r="Y131" s="2"/>
      <c r="Z131" s="2"/>
    </row>
    <row r="132" spans="1:26" ht="12.75" customHeight="1" x14ac:dyDescent="0.2">
      <c r="A132" s="2"/>
      <c r="B132" s="2"/>
      <c r="C132" s="2"/>
      <c r="D132" s="2"/>
      <c r="E132" s="2"/>
      <c r="F132" s="2"/>
      <c r="G132" s="2"/>
      <c r="H132" s="2"/>
      <c r="I132" s="2"/>
      <c r="J132" s="2"/>
      <c r="K132" s="2"/>
      <c r="L132" s="2"/>
      <c r="M132" s="2"/>
      <c r="N132" s="2"/>
      <c r="O132" s="2"/>
      <c r="P132" s="2"/>
      <c r="Q132" s="2"/>
      <c r="R132" s="2"/>
      <c r="S132" s="38" t="s">
        <v>748</v>
      </c>
      <c r="T132" s="2"/>
      <c r="U132" s="2"/>
      <c r="V132" s="38" t="s">
        <v>1047</v>
      </c>
      <c r="W132" s="2"/>
      <c r="X132" s="2"/>
      <c r="Y132" s="2"/>
      <c r="Z132" s="2"/>
    </row>
    <row r="133" spans="1:26" ht="12.75" customHeight="1" x14ac:dyDescent="0.2">
      <c r="A133" s="2"/>
      <c r="B133" s="2"/>
      <c r="C133" s="2"/>
      <c r="D133" s="2"/>
      <c r="E133" s="2"/>
      <c r="F133" s="2"/>
      <c r="G133" s="2"/>
      <c r="H133" s="2"/>
      <c r="I133" s="2"/>
      <c r="J133" s="2"/>
      <c r="K133" s="2"/>
      <c r="L133" s="2"/>
      <c r="M133" s="2"/>
      <c r="N133" s="2"/>
      <c r="O133" s="2"/>
      <c r="P133" s="2"/>
      <c r="Q133" s="2"/>
      <c r="R133" s="2"/>
      <c r="S133" s="38" t="s">
        <v>749</v>
      </c>
      <c r="T133" s="2"/>
      <c r="U133" s="2"/>
      <c r="V133" s="38" t="s">
        <v>1048</v>
      </c>
      <c r="W133" s="2"/>
      <c r="X133" s="2"/>
      <c r="Y133" s="2"/>
      <c r="Z133" s="2"/>
    </row>
    <row r="134" spans="1:26" ht="12.75" customHeight="1" x14ac:dyDescent="0.2">
      <c r="A134" s="2"/>
      <c r="B134" s="2"/>
      <c r="C134" s="2"/>
      <c r="D134" s="2"/>
      <c r="E134" s="2"/>
      <c r="F134" s="2"/>
      <c r="G134" s="2"/>
      <c r="H134" s="2"/>
      <c r="I134" s="2"/>
      <c r="J134" s="2"/>
      <c r="K134" s="2"/>
      <c r="L134" s="2"/>
      <c r="M134" s="2"/>
      <c r="N134" s="2"/>
      <c r="O134" s="2"/>
      <c r="P134" s="2"/>
      <c r="Q134" s="2"/>
      <c r="R134" s="2"/>
      <c r="S134" s="38" t="s">
        <v>750</v>
      </c>
      <c r="T134" s="2"/>
      <c r="U134" s="2"/>
      <c r="V134" s="38" t="s">
        <v>1049</v>
      </c>
      <c r="W134" s="2"/>
      <c r="X134" s="2"/>
      <c r="Y134" s="2"/>
      <c r="Z134" s="2"/>
    </row>
    <row r="135" spans="1:26" ht="12.75" customHeight="1" x14ac:dyDescent="0.2">
      <c r="A135" s="2"/>
      <c r="B135" s="2"/>
      <c r="C135" s="2"/>
      <c r="D135" s="2"/>
      <c r="E135" s="2"/>
      <c r="F135" s="2"/>
      <c r="G135" s="2"/>
      <c r="H135" s="2"/>
      <c r="I135" s="2"/>
      <c r="J135" s="2"/>
      <c r="K135" s="2"/>
      <c r="L135" s="2"/>
      <c r="M135" s="2"/>
      <c r="N135" s="2"/>
      <c r="O135" s="2"/>
      <c r="P135" s="2"/>
      <c r="Q135" s="2"/>
      <c r="R135" s="2"/>
      <c r="S135" s="38" t="s">
        <v>751</v>
      </c>
      <c r="T135" s="2"/>
      <c r="U135" s="2"/>
      <c r="V135" s="38" t="s">
        <v>1050</v>
      </c>
      <c r="W135" s="2"/>
      <c r="X135" s="2"/>
      <c r="Y135" s="2"/>
      <c r="Z135" s="2"/>
    </row>
    <row r="136" spans="1:26" ht="12.75" customHeight="1" x14ac:dyDescent="0.2">
      <c r="A136" s="2"/>
      <c r="B136" s="2"/>
      <c r="C136" s="2"/>
      <c r="D136" s="2"/>
      <c r="E136" s="2"/>
      <c r="F136" s="2"/>
      <c r="G136" s="2"/>
      <c r="H136" s="2"/>
      <c r="I136" s="2"/>
      <c r="J136" s="2"/>
      <c r="K136" s="2"/>
      <c r="L136" s="2"/>
      <c r="M136" s="2"/>
      <c r="N136" s="2"/>
      <c r="O136" s="2"/>
      <c r="P136" s="2"/>
      <c r="Q136" s="2"/>
      <c r="R136" s="2"/>
      <c r="S136" s="38" t="s">
        <v>752</v>
      </c>
      <c r="T136" s="2"/>
      <c r="U136" s="2"/>
      <c r="V136" s="38" t="s">
        <v>1051</v>
      </c>
      <c r="W136" s="2"/>
      <c r="X136" s="2"/>
      <c r="Y136" s="2"/>
      <c r="Z136" s="2"/>
    </row>
    <row r="137" spans="1:26" ht="12.75" customHeight="1" x14ac:dyDescent="0.2">
      <c r="A137" s="2"/>
      <c r="B137" s="2"/>
      <c r="C137" s="2"/>
      <c r="D137" s="2"/>
      <c r="E137" s="2"/>
      <c r="F137" s="2"/>
      <c r="G137" s="2"/>
      <c r="H137" s="2"/>
      <c r="I137" s="2"/>
      <c r="J137" s="2"/>
      <c r="K137" s="2"/>
      <c r="L137" s="2"/>
      <c r="M137" s="2"/>
      <c r="N137" s="2"/>
      <c r="O137" s="2"/>
      <c r="P137" s="2"/>
      <c r="Q137" s="2"/>
      <c r="R137" s="2"/>
      <c r="S137" s="38" t="s">
        <v>753</v>
      </c>
      <c r="T137" s="2"/>
      <c r="U137" s="2"/>
      <c r="V137" s="38" t="s">
        <v>1052</v>
      </c>
      <c r="W137" s="2"/>
      <c r="X137" s="2"/>
      <c r="Y137" s="2"/>
      <c r="Z137" s="2"/>
    </row>
    <row r="138" spans="1:26" ht="12.75" customHeight="1" x14ac:dyDescent="0.2">
      <c r="A138" s="2"/>
      <c r="B138" s="2"/>
      <c r="C138" s="2"/>
      <c r="D138" s="2"/>
      <c r="E138" s="2"/>
      <c r="F138" s="2"/>
      <c r="G138" s="2"/>
      <c r="H138" s="2"/>
      <c r="I138" s="2"/>
      <c r="J138" s="2"/>
      <c r="K138" s="2"/>
      <c r="L138" s="2"/>
      <c r="M138" s="2"/>
      <c r="N138" s="2"/>
      <c r="O138" s="2"/>
      <c r="P138" s="2"/>
      <c r="Q138" s="2"/>
      <c r="R138" s="2"/>
      <c r="S138" s="38" t="s">
        <v>754</v>
      </c>
      <c r="T138" s="2"/>
      <c r="U138" s="2"/>
      <c r="V138" s="38" t="s">
        <v>1053</v>
      </c>
      <c r="W138" s="2"/>
      <c r="X138" s="2"/>
      <c r="Y138" s="2"/>
      <c r="Z138" s="2"/>
    </row>
    <row r="139" spans="1:26" ht="12.75" customHeight="1" x14ac:dyDescent="0.2">
      <c r="A139" s="2"/>
      <c r="B139" s="2"/>
      <c r="C139" s="2"/>
      <c r="D139" s="2"/>
      <c r="E139" s="2"/>
      <c r="F139" s="2"/>
      <c r="G139" s="2"/>
      <c r="H139" s="2"/>
      <c r="I139" s="2"/>
      <c r="J139" s="2"/>
      <c r="K139" s="2"/>
      <c r="L139" s="2"/>
      <c r="M139" s="2"/>
      <c r="N139" s="2"/>
      <c r="O139" s="2"/>
      <c r="P139" s="2"/>
      <c r="Q139" s="2"/>
      <c r="R139" s="2"/>
      <c r="S139" s="38" t="s">
        <v>755</v>
      </c>
      <c r="T139" s="2"/>
      <c r="U139" s="2"/>
      <c r="V139" s="38" t="s">
        <v>1054</v>
      </c>
      <c r="W139" s="2"/>
      <c r="X139" s="2"/>
      <c r="Y139" s="2"/>
      <c r="Z139" s="2"/>
    </row>
    <row r="140" spans="1:26" ht="12.75" customHeight="1" x14ac:dyDescent="0.2">
      <c r="A140" s="2"/>
      <c r="B140" s="2"/>
      <c r="C140" s="2"/>
      <c r="D140" s="2"/>
      <c r="E140" s="2"/>
      <c r="F140" s="2"/>
      <c r="G140" s="2"/>
      <c r="H140" s="2"/>
      <c r="I140" s="2"/>
      <c r="J140" s="2"/>
      <c r="K140" s="2"/>
      <c r="L140" s="2"/>
      <c r="M140" s="2"/>
      <c r="N140" s="2"/>
      <c r="O140" s="2"/>
      <c r="P140" s="2"/>
      <c r="Q140" s="2"/>
      <c r="R140" s="2"/>
      <c r="S140" s="38" t="s">
        <v>756</v>
      </c>
      <c r="T140" s="2"/>
      <c r="U140" s="2"/>
      <c r="V140" s="38" t="s">
        <v>1055</v>
      </c>
      <c r="W140" s="2"/>
      <c r="X140" s="2"/>
      <c r="Y140" s="2"/>
      <c r="Z140" s="2"/>
    </row>
    <row r="141" spans="1:26" ht="12.75" customHeight="1" x14ac:dyDescent="0.2">
      <c r="A141" s="2"/>
      <c r="B141" s="2"/>
      <c r="C141" s="2"/>
      <c r="D141" s="2"/>
      <c r="E141" s="2"/>
      <c r="F141" s="2"/>
      <c r="G141" s="2"/>
      <c r="H141" s="2"/>
      <c r="I141" s="2"/>
      <c r="J141" s="2"/>
      <c r="K141" s="2"/>
      <c r="L141" s="2"/>
      <c r="M141" s="2"/>
      <c r="N141" s="2"/>
      <c r="O141" s="2"/>
      <c r="P141" s="2"/>
      <c r="Q141" s="2"/>
      <c r="R141" s="2"/>
      <c r="S141" s="38" t="s">
        <v>757</v>
      </c>
      <c r="T141" s="2"/>
      <c r="U141" s="2"/>
      <c r="V141" s="38" t="s">
        <v>1056</v>
      </c>
      <c r="W141" s="2"/>
      <c r="X141" s="2"/>
      <c r="Y141" s="2"/>
      <c r="Z141" s="2"/>
    </row>
    <row r="142" spans="1:26" ht="12.75" customHeight="1" x14ac:dyDescent="0.2">
      <c r="A142" s="2"/>
      <c r="B142" s="2"/>
      <c r="C142" s="2"/>
      <c r="D142" s="2"/>
      <c r="E142" s="2"/>
      <c r="F142" s="2"/>
      <c r="G142" s="2"/>
      <c r="H142" s="2"/>
      <c r="I142" s="2"/>
      <c r="J142" s="2"/>
      <c r="K142" s="2"/>
      <c r="L142" s="2"/>
      <c r="M142" s="2"/>
      <c r="N142" s="2"/>
      <c r="O142" s="2"/>
      <c r="P142" s="2"/>
      <c r="Q142" s="2"/>
      <c r="R142" s="2"/>
      <c r="S142" s="38" t="s">
        <v>758</v>
      </c>
      <c r="T142" s="2"/>
      <c r="U142" s="2"/>
      <c r="V142" s="38" t="s">
        <v>1057</v>
      </c>
      <c r="W142" s="2"/>
      <c r="X142" s="2"/>
      <c r="Y142" s="2"/>
      <c r="Z142" s="2"/>
    </row>
    <row r="143" spans="1:26" ht="12.75" customHeight="1" x14ac:dyDescent="0.2">
      <c r="A143" s="2"/>
      <c r="B143" s="2"/>
      <c r="C143" s="2"/>
      <c r="D143" s="2"/>
      <c r="E143" s="2"/>
      <c r="F143" s="2"/>
      <c r="G143" s="2"/>
      <c r="H143" s="2"/>
      <c r="I143" s="2"/>
      <c r="J143" s="2"/>
      <c r="K143" s="2"/>
      <c r="L143" s="2"/>
      <c r="M143" s="2"/>
      <c r="N143" s="2"/>
      <c r="O143" s="2"/>
      <c r="P143" s="2"/>
      <c r="Q143" s="2"/>
      <c r="R143" s="2"/>
      <c r="S143" s="38" t="s">
        <v>759</v>
      </c>
      <c r="T143" s="2"/>
      <c r="U143" s="2"/>
      <c r="V143" s="38" t="s">
        <v>1058</v>
      </c>
      <c r="W143" s="2"/>
      <c r="X143" s="2"/>
      <c r="Y143" s="2"/>
      <c r="Z143" s="2"/>
    </row>
    <row r="144" spans="1:26" ht="12.75" customHeight="1" x14ac:dyDescent="0.2">
      <c r="A144" s="2"/>
      <c r="B144" s="2"/>
      <c r="C144" s="2"/>
      <c r="D144" s="2"/>
      <c r="E144" s="2"/>
      <c r="F144" s="2"/>
      <c r="G144" s="2"/>
      <c r="H144" s="2"/>
      <c r="I144" s="2"/>
      <c r="J144" s="2"/>
      <c r="K144" s="2"/>
      <c r="L144" s="2"/>
      <c r="M144" s="2"/>
      <c r="N144" s="2"/>
      <c r="O144" s="2"/>
      <c r="P144" s="2"/>
      <c r="Q144" s="2"/>
      <c r="R144" s="2"/>
      <c r="S144" s="38" t="s">
        <v>760</v>
      </c>
      <c r="T144" s="2"/>
      <c r="U144" s="2"/>
      <c r="V144" s="38" t="s">
        <v>1059</v>
      </c>
      <c r="W144" s="2"/>
      <c r="X144" s="2"/>
      <c r="Y144" s="2"/>
      <c r="Z144" s="2"/>
    </row>
    <row r="145" spans="1:26" ht="12.75" customHeight="1" x14ac:dyDescent="0.2">
      <c r="A145" s="2"/>
      <c r="B145" s="2"/>
      <c r="C145" s="2"/>
      <c r="D145" s="2"/>
      <c r="E145" s="2"/>
      <c r="F145" s="2"/>
      <c r="G145" s="2"/>
      <c r="H145" s="2"/>
      <c r="I145" s="2"/>
      <c r="J145" s="2"/>
      <c r="K145" s="2"/>
      <c r="L145" s="2"/>
      <c r="M145" s="2"/>
      <c r="N145" s="2"/>
      <c r="O145" s="2"/>
      <c r="P145" s="2"/>
      <c r="Q145" s="2"/>
      <c r="R145" s="2"/>
      <c r="S145" s="38" t="s">
        <v>761</v>
      </c>
      <c r="T145" s="2"/>
      <c r="U145" s="2"/>
      <c r="V145" s="38" t="s">
        <v>1060</v>
      </c>
      <c r="W145" s="2"/>
      <c r="X145" s="2"/>
      <c r="Y145" s="2"/>
      <c r="Z145" s="2"/>
    </row>
    <row r="146" spans="1:26" ht="12.75" customHeight="1" x14ac:dyDescent="0.2">
      <c r="A146" s="2"/>
      <c r="B146" s="2"/>
      <c r="C146" s="2"/>
      <c r="D146" s="2"/>
      <c r="E146" s="2"/>
      <c r="F146" s="2"/>
      <c r="G146" s="2"/>
      <c r="H146" s="2"/>
      <c r="I146" s="2"/>
      <c r="J146" s="2"/>
      <c r="K146" s="2"/>
      <c r="L146" s="2"/>
      <c r="M146" s="2"/>
      <c r="N146" s="2"/>
      <c r="O146" s="2"/>
      <c r="P146" s="2"/>
      <c r="Q146" s="2"/>
      <c r="R146" s="2"/>
      <c r="S146" s="38" t="s">
        <v>762</v>
      </c>
      <c r="T146" s="2"/>
      <c r="U146" s="2"/>
      <c r="V146" s="38" t="s">
        <v>1061</v>
      </c>
      <c r="W146" s="2"/>
      <c r="X146" s="2"/>
      <c r="Y146" s="2"/>
      <c r="Z146" s="2"/>
    </row>
    <row r="147" spans="1:26" ht="12.75" customHeight="1" x14ac:dyDescent="0.2">
      <c r="A147" s="2"/>
      <c r="B147" s="2"/>
      <c r="C147" s="2"/>
      <c r="D147" s="2"/>
      <c r="E147" s="2"/>
      <c r="F147" s="2"/>
      <c r="G147" s="2"/>
      <c r="H147" s="2"/>
      <c r="I147" s="2"/>
      <c r="J147" s="2"/>
      <c r="K147" s="2"/>
      <c r="L147" s="2"/>
      <c r="M147" s="2"/>
      <c r="N147" s="2"/>
      <c r="O147" s="2"/>
      <c r="P147" s="2"/>
      <c r="Q147" s="2"/>
      <c r="R147" s="2"/>
      <c r="S147" s="38" t="s">
        <v>763</v>
      </c>
      <c r="T147" s="2"/>
      <c r="U147" s="2"/>
      <c r="V147" s="38" t="s">
        <v>1062</v>
      </c>
      <c r="W147" s="2"/>
      <c r="X147" s="2"/>
      <c r="Y147" s="2"/>
      <c r="Z147" s="2"/>
    </row>
    <row r="148" spans="1:26" ht="12.75" customHeight="1" x14ac:dyDescent="0.2">
      <c r="A148" s="2"/>
      <c r="B148" s="2"/>
      <c r="C148" s="2"/>
      <c r="D148" s="2"/>
      <c r="E148" s="2"/>
      <c r="F148" s="2"/>
      <c r="G148" s="2"/>
      <c r="H148" s="2"/>
      <c r="I148" s="2"/>
      <c r="J148" s="2"/>
      <c r="K148" s="2"/>
      <c r="L148" s="2"/>
      <c r="M148" s="2"/>
      <c r="N148" s="2"/>
      <c r="O148" s="2"/>
      <c r="P148" s="2"/>
      <c r="Q148" s="2"/>
      <c r="R148" s="2"/>
      <c r="S148" s="38" t="s">
        <v>764</v>
      </c>
      <c r="T148" s="2"/>
      <c r="U148" s="2"/>
      <c r="V148" s="38" t="s">
        <v>1063</v>
      </c>
      <c r="W148" s="2"/>
      <c r="X148" s="2"/>
      <c r="Y148" s="2"/>
      <c r="Z148" s="2"/>
    </row>
    <row r="149" spans="1:26" ht="12.75" customHeight="1" x14ac:dyDescent="0.2">
      <c r="A149" s="2"/>
      <c r="B149" s="2"/>
      <c r="C149" s="2"/>
      <c r="D149" s="2"/>
      <c r="E149" s="2"/>
      <c r="F149" s="2"/>
      <c r="G149" s="2"/>
      <c r="H149" s="2"/>
      <c r="I149" s="2"/>
      <c r="J149" s="2"/>
      <c r="K149" s="2"/>
      <c r="L149" s="2"/>
      <c r="M149" s="2"/>
      <c r="N149" s="2"/>
      <c r="O149" s="2"/>
      <c r="P149" s="2"/>
      <c r="Q149" s="2"/>
      <c r="R149" s="2"/>
      <c r="S149" s="38" t="s">
        <v>765</v>
      </c>
      <c r="T149" s="2"/>
      <c r="U149" s="2"/>
      <c r="V149" s="38" t="s">
        <v>1064</v>
      </c>
      <c r="W149" s="2"/>
      <c r="X149" s="2"/>
      <c r="Y149" s="2"/>
      <c r="Z149" s="2"/>
    </row>
    <row r="150" spans="1:26" ht="12.75" customHeight="1" x14ac:dyDescent="0.2">
      <c r="A150" s="2"/>
      <c r="B150" s="2"/>
      <c r="C150" s="2"/>
      <c r="D150" s="2"/>
      <c r="E150" s="2"/>
      <c r="F150" s="2"/>
      <c r="G150" s="2"/>
      <c r="H150" s="2"/>
      <c r="I150" s="2"/>
      <c r="J150" s="2"/>
      <c r="K150" s="2"/>
      <c r="L150" s="2"/>
      <c r="M150" s="2"/>
      <c r="N150" s="2"/>
      <c r="O150" s="2"/>
      <c r="P150" s="2"/>
      <c r="Q150" s="2"/>
      <c r="R150" s="2"/>
      <c r="S150" s="38" t="s">
        <v>766</v>
      </c>
      <c r="T150" s="2"/>
      <c r="U150" s="2"/>
      <c r="V150" s="38" t="s">
        <v>1065</v>
      </c>
      <c r="W150" s="2"/>
      <c r="X150" s="2"/>
      <c r="Y150" s="2"/>
      <c r="Z150" s="2"/>
    </row>
    <row r="151" spans="1:26" ht="12.75" customHeight="1" x14ac:dyDescent="0.2">
      <c r="A151" s="2"/>
      <c r="B151" s="2"/>
      <c r="C151" s="2"/>
      <c r="D151" s="2"/>
      <c r="E151" s="2"/>
      <c r="F151" s="2"/>
      <c r="G151" s="2"/>
      <c r="H151" s="2"/>
      <c r="I151" s="2"/>
      <c r="J151" s="2"/>
      <c r="K151" s="2"/>
      <c r="L151" s="2"/>
      <c r="M151" s="2"/>
      <c r="N151" s="2"/>
      <c r="O151" s="2"/>
      <c r="P151" s="2"/>
      <c r="Q151" s="2"/>
      <c r="R151" s="2"/>
      <c r="S151" s="38" t="s">
        <v>767</v>
      </c>
      <c r="T151" s="2"/>
      <c r="U151" s="2"/>
      <c r="V151" s="38" t="s">
        <v>1066</v>
      </c>
      <c r="W151" s="2"/>
      <c r="X151" s="2"/>
      <c r="Y151" s="2"/>
      <c r="Z151" s="2"/>
    </row>
    <row r="152" spans="1:26" ht="12.75" customHeight="1" x14ac:dyDescent="0.2">
      <c r="A152" s="2"/>
      <c r="B152" s="2"/>
      <c r="C152" s="2"/>
      <c r="D152" s="2"/>
      <c r="E152" s="2"/>
      <c r="F152" s="2"/>
      <c r="G152" s="2"/>
      <c r="H152" s="2"/>
      <c r="I152" s="2"/>
      <c r="J152" s="2"/>
      <c r="K152" s="2"/>
      <c r="L152" s="2"/>
      <c r="M152" s="2"/>
      <c r="N152" s="2"/>
      <c r="O152" s="2"/>
      <c r="P152" s="2"/>
      <c r="Q152" s="2"/>
      <c r="R152" s="2"/>
      <c r="S152" s="38" t="s">
        <v>768</v>
      </c>
      <c r="T152" s="2"/>
      <c r="U152" s="2"/>
      <c r="V152" s="38" t="s">
        <v>1067</v>
      </c>
      <c r="W152" s="2"/>
      <c r="X152" s="2"/>
      <c r="Y152" s="2"/>
      <c r="Z152" s="2"/>
    </row>
    <row r="153" spans="1:26" ht="12.75" customHeight="1" x14ac:dyDescent="0.2">
      <c r="A153" s="2"/>
      <c r="B153" s="2"/>
      <c r="C153" s="2"/>
      <c r="D153" s="2"/>
      <c r="E153" s="2"/>
      <c r="F153" s="2"/>
      <c r="G153" s="2"/>
      <c r="H153" s="2"/>
      <c r="I153" s="2"/>
      <c r="J153" s="2"/>
      <c r="K153" s="2"/>
      <c r="L153" s="2"/>
      <c r="M153" s="2"/>
      <c r="N153" s="2"/>
      <c r="O153" s="2"/>
      <c r="P153" s="2"/>
      <c r="Q153" s="2"/>
      <c r="R153" s="2"/>
      <c r="S153" s="38" t="s">
        <v>769</v>
      </c>
      <c r="T153" s="2"/>
      <c r="U153" s="2"/>
      <c r="V153" s="38" t="s">
        <v>1068</v>
      </c>
      <c r="W153" s="2"/>
      <c r="X153" s="2"/>
      <c r="Y153" s="2"/>
      <c r="Z153" s="2"/>
    </row>
    <row r="154" spans="1:26" ht="12.75" customHeight="1" x14ac:dyDescent="0.2">
      <c r="A154" s="2"/>
      <c r="B154" s="2"/>
      <c r="C154" s="2"/>
      <c r="D154" s="2"/>
      <c r="E154" s="2"/>
      <c r="F154" s="2"/>
      <c r="G154" s="2"/>
      <c r="H154" s="2"/>
      <c r="I154" s="2"/>
      <c r="J154" s="2"/>
      <c r="K154" s="2"/>
      <c r="L154" s="2"/>
      <c r="M154" s="2"/>
      <c r="N154" s="2"/>
      <c r="O154" s="2"/>
      <c r="P154" s="2"/>
      <c r="Q154" s="2"/>
      <c r="R154" s="2"/>
      <c r="S154" s="38" t="s">
        <v>770</v>
      </c>
      <c r="T154" s="2"/>
      <c r="U154" s="2"/>
      <c r="V154" s="38" t="s">
        <v>1069</v>
      </c>
      <c r="W154" s="2"/>
      <c r="X154" s="2"/>
      <c r="Y154" s="2"/>
      <c r="Z154" s="2"/>
    </row>
    <row r="155" spans="1:26" ht="12.75" customHeight="1" x14ac:dyDescent="0.2">
      <c r="A155" s="2"/>
      <c r="B155" s="2"/>
      <c r="C155" s="2"/>
      <c r="D155" s="2"/>
      <c r="E155" s="2"/>
      <c r="F155" s="2"/>
      <c r="G155" s="2"/>
      <c r="H155" s="2"/>
      <c r="I155" s="2"/>
      <c r="J155" s="2"/>
      <c r="K155" s="2"/>
      <c r="L155" s="2"/>
      <c r="M155" s="2"/>
      <c r="N155" s="2"/>
      <c r="O155" s="2"/>
      <c r="P155" s="2"/>
      <c r="Q155" s="2"/>
      <c r="R155" s="2"/>
      <c r="S155" s="38" t="s">
        <v>771</v>
      </c>
      <c r="T155" s="2"/>
      <c r="U155" s="2"/>
      <c r="V155" s="38" t="s">
        <v>1070</v>
      </c>
      <c r="W155" s="2"/>
      <c r="X155" s="2"/>
      <c r="Y155" s="2"/>
      <c r="Z155" s="2"/>
    </row>
    <row r="156" spans="1:26" ht="12.75" customHeight="1" x14ac:dyDescent="0.2">
      <c r="A156" s="2"/>
      <c r="B156" s="2"/>
      <c r="C156" s="2"/>
      <c r="D156" s="2"/>
      <c r="E156" s="2"/>
      <c r="F156" s="2"/>
      <c r="G156" s="2"/>
      <c r="H156" s="2"/>
      <c r="I156" s="2"/>
      <c r="J156" s="2"/>
      <c r="K156" s="2"/>
      <c r="L156" s="2"/>
      <c r="M156" s="2"/>
      <c r="N156" s="2"/>
      <c r="O156" s="2"/>
      <c r="P156" s="2"/>
      <c r="Q156" s="2"/>
      <c r="R156" s="2"/>
      <c r="S156" s="38" t="s">
        <v>772</v>
      </c>
      <c r="T156" s="2"/>
      <c r="U156" s="2"/>
      <c r="V156" s="38" t="s">
        <v>1071</v>
      </c>
      <c r="W156" s="2"/>
      <c r="X156" s="2"/>
      <c r="Y156" s="2"/>
      <c r="Z156" s="2"/>
    </row>
    <row r="157" spans="1:26" ht="12.75" customHeight="1" x14ac:dyDescent="0.2">
      <c r="A157" s="2"/>
      <c r="B157" s="2"/>
      <c r="C157" s="2"/>
      <c r="D157" s="2"/>
      <c r="E157" s="2"/>
      <c r="F157" s="2"/>
      <c r="G157" s="2"/>
      <c r="H157" s="2"/>
      <c r="I157" s="2"/>
      <c r="J157" s="2"/>
      <c r="K157" s="2"/>
      <c r="L157" s="2"/>
      <c r="M157" s="2"/>
      <c r="N157" s="2"/>
      <c r="O157" s="2"/>
      <c r="P157" s="2"/>
      <c r="Q157" s="2"/>
      <c r="R157" s="2"/>
      <c r="S157" s="38" t="s">
        <v>773</v>
      </c>
      <c r="T157" s="2"/>
      <c r="U157" s="2"/>
      <c r="V157" s="38" t="s">
        <v>1072</v>
      </c>
      <c r="W157" s="2"/>
      <c r="X157" s="2"/>
      <c r="Y157" s="2"/>
      <c r="Z157" s="2"/>
    </row>
    <row r="158" spans="1:26" ht="12.75" customHeight="1" x14ac:dyDescent="0.2">
      <c r="A158" s="2"/>
      <c r="B158" s="2"/>
      <c r="C158" s="2"/>
      <c r="D158" s="2"/>
      <c r="E158" s="2"/>
      <c r="F158" s="2"/>
      <c r="G158" s="2"/>
      <c r="H158" s="2"/>
      <c r="I158" s="2"/>
      <c r="J158" s="2"/>
      <c r="K158" s="2"/>
      <c r="L158" s="2"/>
      <c r="M158" s="2"/>
      <c r="N158" s="2"/>
      <c r="O158" s="2"/>
      <c r="P158" s="2"/>
      <c r="Q158" s="2"/>
      <c r="R158" s="2"/>
      <c r="S158" s="38" t="s">
        <v>447</v>
      </c>
      <c r="T158" s="2"/>
      <c r="U158" s="2"/>
      <c r="V158" s="38" t="s">
        <v>1073</v>
      </c>
      <c r="W158" s="2"/>
      <c r="X158" s="2"/>
      <c r="Y158" s="2"/>
      <c r="Z158" s="2"/>
    </row>
    <row r="159" spans="1:26" ht="12.75" customHeight="1" x14ac:dyDescent="0.2">
      <c r="A159" s="2"/>
      <c r="B159" s="2"/>
      <c r="C159" s="2"/>
      <c r="D159" s="2"/>
      <c r="E159" s="2"/>
      <c r="F159" s="2"/>
      <c r="G159" s="2"/>
      <c r="H159" s="2"/>
      <c r="I159" s="2"/>
      <c r="J159" s="2"/>
      <c r="K159" s="2"/>
      <c r="L159" s="2"/>
      <c r="M159" s="2"/>
      <c r="N159" s="2"/>
      <c r="O159" s="2"/>
      <c r="P159" s="2"/>
      <c r="Q159" s="2"/>
      <c r="R159" s="2"/>
      <c r="S159" s="38" t="s">
        <v>774</v>
      </c>
      <c r="T159" s="2"/>
      <c r="U159" s="2"/>
      <c r="V159" s="38" t="s">
        <v>1074</v>
      </c>
      <c r="W159" s="2"/>
      <c r="X159" s="2"/>
      <c r="Y159" s="2"/>
      <c r="Z159" s="2"/>
    </row>
    <row r="160" spans="1:26" ht="12.75" customHeight="1" x14ac:dyDescent="0.2">
      <c r="A160" s="2"/>
      <c r="B160" s="2"/>
      <c r="C160" s="2"/>
      <c r="D160" s="2"/>
      <c r="E160" s="2"/>
      <c r="F160" s="2"/>
      <c r="G160" s="2"/>
      <c r="H160" s="2"/>
      <c r="I160" s="2"/>
      <c r="J160" s="2"/>
      <c r="K160" s="2"/>
      <c r="L160" s="2"/>
      <c r="M160" s="2"/>
      <c r="N160" s="2"/>
      <c r="O160" s="2"/>
      <c r="P160" s="2"/>
      <c r="Q160" s="2"/>
      <c r="R160" s="2"/>
      <c r="S160" s="38" t="s">
        <v>775</v>
      </c>
      <c r="T160" s="2"/>
      <c r="U160" s="2"/>
      <c r="V160" s="38" t="s">
        <v>1075</v>
      </c>
      <c r="W160" s="2"/>
      <c r="X160" s="2"/>
      <c r="Y160" s="2"/>
      <c r="Z160" s="2"/>
    </row>
    <row r="161" spans="1:26" ht="12.75" customHeight="1" x14ac:dyDescent="0.2">
      <c r="A161" s="2"/>
      <c r="B161" s="2"/>
      <c r="C161" s="2"/>
      <c r="D161" s="2"/>
      <c r="E161" s="2"/>
      <c r="F161" s="2"/>
      <c r="G161" s="2"/>
      <c r="H161" s="2"/>
      <c r="I161" s="2"/>
      <c r="J161" s="2"/>
      <c r="K161" s="2"/>
      <c r="L161" s="2"/>
      <c r="M161" s="2"/>
      <c r="N161" s="2"/>
      <c r="O161" s="2"/>
      <c r="P161" s="2"/>
      <c r="Q161" s="2"/>
      <c r="R161" s="2"/>
      <c r="S161" s="38" t="s">
        <v>776</v>
      </c>
      <c r="T161" s="2"/>
      <c r="U161" s="2"/>
      <c r="V161" s="38" t="s">
        <v>1076</v>
      </c>
      <c r="W161" s="2"/>
      <c r="X161" s="2"/>
      <c r="Y161" s="2"/>
      <c r="Z161" s="2"/>
    </row>
    <row r="162" spans="1:26" ht="12.75" customHeight="1" x14ac:dyDescent="0.2">
      <c r="A162" s="2"/>
      <c r="B162" s="2"/>
      <c r="C162" s="2"/>
      <c r="D162" s="2"/>
      <c r="E162" s="2"/>
      <c r="F162" s="2"/>
      <c r="G162" s="2"/>
      <c r="H162" s="2"/>
      <c r="I162" s="2"/>
      <c r="J162" s="2"/>
      <c r="K162" s="2"/>
      <c r="L162" s="2"/>
      <c r="M162" s="2"/>
      <c r="N162" s="2"/>
      <c r="O162" s="2"/>
      <c r="P162" s="2"/>
      <c r="Q162" s="2"/>
      <c r="R162" s="2"/>
      <c r="S162" s="38" t="s">
        <v>777</v>
      </c>
      <c r="T162" s="2"/>
      <c r="U162" s="2"/>
      <c r="V162" s="38" t="s">
        <v>1077</v>
      </c>
      <c r="W162" s="2"/>
      <c r="X162" s="2"/>
      <c r="Y162" s="2"/>
      <c r="Z162" s="2"/>
    </row>
    <row r="163" spans="1:26" ht="12.75" customHeight="1" x14ac:dyDescent="0.2">
      <c r="A163" s="2"/>
      <c r="B163" s="2"/>
      <c r="C163" s="2"/>
      <c r="D163" s="2"/>
      <c r="E163" s="2"/>
      <c r="F163" s="2"/>
      <c r="G163" s="2"/>
      <c r="H163" s="2"/>
      <c r="I163" s="2"/>
      <c r="J163" s="2"/>
      <c r="K163" s="2"/>
      <c r="L163" s="2"/>
      <c r="M163" s="2"/>
      <c r="N163" s="2"/>
      <c r="O163" s="2"/>
      <c r="P163" s="2"/>
      <c r="Q163" s="2"/>
      <c r="R163" s="2"/>
      <c r="S163" s="38" t="s">
        <v>778</v>
      </c>
      <c r="T163" s="2"/>
      <c r="U163" s="2"/>
      <c r="V163" s="38" t="s">
        <v>1078</v>
      </c>
      <c r="W163" s="2"/>
      <c r="X163" s="2"/>
      <c r="Y163" s="2"/>
      <c r="Z163" s="2"/>
    </row>
    <row r="164" spans="1:26" ht="12.75" customHeight="1" x14ac:dyDescent="0.2">
      <c r="A164" s="2"/>
      <c r="B164" s="2"/>
      <c r="C164" s="2"/>
      <c r="D164" s="2"/>
      <c r="E164" s="2"/>
      <c r="F164" s="2"/>
      <c r="G164" s="2"/>
      <c r="H164" s="2"/>
      <c r="I164" s="2"/>
      <c r="J164" s="2"/>
      <c r="K164" s="2"/>
      <c r="L164" s="2"/>
      <c r="M164" s="2"/>
      <c r="N164" s="2"/>
      <c r="O164" s="2"/>
      <c r="P164" s="2"/>
      <c r="Q164" s="2"/>
      <c r="R164" s="2"/>
      <c r="S164" s="38" t="s">
        <v>779</v>
      </c>
      <c r="T164" s="2"/>
      <c r="U164" s="2"/>
      <c r="V164" s="38" t="s">
        <v>1079</v>
      </c>
      <c r="W164" s="2"/>
      <c r="X164" s="2"/>
      <c r="Y164" s="2"/>
      <c r="Z164" s="2"/>
    </row>
    <row r="165" spans="1:26" ht="12.75" customHeight="1" x14ac:dyDescent="0.2">
      <c r="A165" s="2"/>
      <c r="B165" s="2"/>
      <c r="C165" s="2"/>
      <c r="D165" s="2"/>
      <c r="E165" s="2"/>
      <c r="F165" s="2"/>
      <c r="G165" s="2"/>
      <c r="H165" s="2"/>
      <c r="I165" s="2"/>
      <c r="J165" s="2"/>
      <c r="K165" s="2"/>
      <c r="L165" s="2"/>
      <c r="M165" s="2"/>
      <c r="N165" s="2"/>
      <c r="O165" s="2"/>
      <c r="P165" s="2"/>
      <c r="Q165" s="2"/>
      <c r="R165" s="2"/>
      <c r="S165" s="38" t="s">
        <v>780</v>
      </c>
      <c r="T165" s="2"/>
      <c r="U165" s="2"/>
      <c r="V165" s="38" t="s">
        <v>1080</v>
      </c>
      <c r="W165" s="2"/>
      <c r="X165" s="2"/>
      <c r="Y165" s="2"/>
      <c r="Z165" s="2"/>
    </row>
    <row r="166" spans="1:26" ht="12.75" customHeight="1" x14ac:dyDescent="0.2">
      <c r="A166" s="2"/>
      <c r="B166" s="2"/>
      <c r="C166" s="2"/>
      <c r="D166" s="2"/>
      <c r="E166" s="2"/>
      <c r="F166" s="2"/>
      <c r="G166" s="2"/>
      <c r="H166" s="2"/>
      <c r="I166" s="2"/>
      <c r="J166" s="2"/>
      <c r="K166" s="2"/>
      <c r="L166" s="2"/>
      <c r="M166" s="2"/>
      <c r="N166" s="2"/>
      <c r="O166" s="2"/>
      <c r="P166" s="2"/>
      <c r="Q166" s="2"/>
      <c r="R166" s="2"/>
      <c r="S166" s="38" t="s">
        <v>781</v>
      </c>
      <c r="T166" s="2"/>
      <c r="U166" s="2"/>
      <c r="V166" s="38" t="s">
        <v>1081</v>
      </c>
      <c r="W166" s="2"/>
      <c r="X166" s="2"/>
      <c r="Y166" s="2"/>
      <c r="Z166" s="2"/>
    </row>
    <row r="167" spans="1:26" ht="12.75" customHeight="1" x14ac:dyDescent="0.2">
      <c r="A167" s="2"/>
      <c r="B167" s="2"/>
      <c r="C167" s="2"/>
      <c r="D167" s="2"/>
      <c r="E167" s="2"/>
      <c r="F167" s="2"/>
      <c r="G167" s="2"/>
      <c r="H167" s="2"/>
      <c r="I167" s="2"/>
      <c r="J167" s="2"/>
      <c r="K167" s="2"/>
      <c r="L167" s="2"/>
      <c r="M167" s="2"/>
      <c r="N167" s="2"/>
      <c r="O167" s="2"/>
      <c r="P167" s="2"/>
      <c r="Q167" s="2"/>
      <c r="R167" s="2"/>
      <c r="S167" s="38" t="s">
        <v>782</v>
      </c>
      <c r="T167" s="2"/>
      <c r="U167" s="2"/>
      <c r="V167" s="38" t="s">
        <v>1082</v>
      </c>
      <c r="W167" s="2"/>
      <c r="X167" s="2"/>
      <c r="Y167" s="2"/>
      <c r="Z167" s="2"/>
    </row>
    <row r="168" spans="1:26" ht="12.75" customHeight="1" x14ac:dyDescent="0.2">
      <c r="A168" s="2"/>
      <c r="B168" s="2"/>
      <c r="C168" s="2"/>
      <c r="D168" s="2"/>
      <c r="E168" s="2"/>
      <c r="F168" s="2"/>
      <c r="G168" s="2"/>
      <c r="H168" s="2"/>
      <c r="I168" s="2"/>
      <c r="J168" s="2"/>
      <c r="K168" s="2"/>
      <c r="L168" s="2"/>
      <c r="M168" s="2"/>
      <c r="N168" s="2"/>
      <c r="O168" s="2"/>
      <c r="P168" s="2"/>
      <c r="Q168" s="2"/>
      <c r="R168" s="2"/>
      <c r="S168" s="38" t="s">
        <v>783</v>
      </c>
      <c r="T168" s="2"/>
      <c r="U168" s="2"/>
      <c r="V168" s="38" t="s">
        <v>1083</v>
      </c>
      <c r="W168" s="2"/>
      <c r="X168" s="2"/>
      <c r="Y168" s="2"/>
      <c r="Z168" s="2"/>
    </row>
    <row r="169" spans="1:26" ht="12.75" customHeight="1" x14ac:dyDescent="0.2">
      <c r="A169" s="2"/>
      <c r="B169" s="2"/>
      <c r="C169" s="2"/>
      <c r="D169" s="2"/>
      <c r="E169" s="2"/>
      <c r="F169" s="2"/>
      <c r="G169" s="2"/>
      <c r="H169" s="2"/>
      <c r="I169" s="2"/>
      <c r="J169" s="2"/>
      <c r="K169" s="2"/>
      <c r="L169" s="2"/>
      <c r="M169" s="2"/>
      <c r="N169" s="2"/>
      <c r="O169" s="2"/>
      <c r="P169" s="2"/>
      <c r="Q169" s="2"/>
      <c r="R169" s="2"/>
      <c r="S169" s="38" t="s">
        <v>784</v>
      </c>
      <c r="T169" s="2"/>
      <c r="U169" s="2"/>
      <c r="V169" s="38" t="s">
        <v>1084</v>
      </c>
      <c r="W169" s="2"/>
      <c r="X169" s="2"/>
      <c r="Y169" s="2"/>
      <c r="Z169" s="2"/>
    </row>
    <row r="170" spans="1:26" ht="12.75" customHeight="1" x14ac:dyDescent="0.2">
      <c r="A170" s="2"/>
      <c r="B170" s="2"/>
      <c r="C170" s="2"/>
      <c r="D170" s="2"/>
      <c r="E170" s="2"/>
      <c r="F170" s="2"/>
      <c r="G170" s="2"/>
      <c r="H170" s="2"/>
      <c r="I170" s="2"/>
      <c r="J170" s="2"/>
      <c r="K170" s="2"/>
      <c r="L170" s="2"/>
      <c r="M170" s="2"/>
      <c r="N170" s="2"/>
      <c r="O170" s="2"/>
      <c r="P170" s="2"/>
      <c r="Q170" s="2"/>
      <c r="R170" s="2"/>
      <c r="S170" s="38" t="s">
        <v>785</v>
      </c>
      <c r="T170" s="2"/>
      <c r="U170" s="2"/>
      <c r="V170" s="38" t="s">
        <v>1085</v>
      </c>
      <c r="W170" s="2"/>
      <c r="X170" s="2"/>
      <c r="Y170" s="2"/>
      <c r="Z170" s="2"/>
    </row>
    <row r="171" spans="1:26" ht="12.75" customHeight="1" x14ac:dyDescent="0.2">
      <c r="A171" s="2"/>
      <c r="B171" s="2"/>
      <c r="C171" s="2"/>
      <c r="D171" s="2"/>
      <c r="E171" s="2"/>
      <c r="F171" s="2"/>
      <c r="G171" s="2"/>
      <c r="H171" s="2"/>
      <c r="I171" s="2"/>
      <c r="J171" s="2"/>
      <c r="K171" s="2"/>
      <c r="L171" s="2"/>
      <c r="M171" s="2"/>
      <c r="N171" s="2"/>
      <c r="O171" s="2"/>
      <c r="P171" s="2"/>
      <c r="Q171" s="2"/>
      <c r="R171" s="2"/>
      <c r="S171" s="38" t="s">
        <v>786</v>
      </c>
      <c r="T171" s="2"/>
      <c r="U171" s="2"/>
      <c r="V171" s="38" t="s">
        <v>1086</v>
      </c>
      <c r="W171" s="2"/>
      <c r="X171" s="2"/>
      <c r="Y171" s="2"/>
      <c r="Z171" s="2"/>
    </row>
    <row r="172" spans="1:26" ht="12.75" customHeight="1" x14ac:dyDescent="0.2">
      <c r="A172" s="2"/>
      <c r="B172" s="2"/>
      <c r="C172" s="2"/>
      <c r="D172" s="2"/>
      <c r="E172" s="2"/>
      <c r="F172" s="2"/>
      <c r="G172" s="2"/>
      <c r="H172" s="2"/>
      <c r="I172" s="2"/>
      <c r="J172" s="2"/>
      <c r="K172" s="2"/>
      <c r="L172" s="2"/>
      <c r="M172" s="2"/>
      <c r="N172" s="2"/>
      <c r="O172" s="2"/>
      <c r="P172" s="2"/>
      <c r="Q172" s="2"/>
      <c r="R172" s="2"/>
      <c r="S172" s="38" t="s">
        <v>787</v>
      </c>
      <c r="T172" s="2"/>
      <c r="U172" s="2"/>
      <c r="V172" s="38" t="s">
        <v>1087</v>
      </c>
      <c r="W172" s="2"/>
      <c r="X172" s="2"/>
      <c r="Y172" s="2"/>
      <c r="Z172" s="2"/>
    </row>
    <row r="173" spans="1:26" ht="12.75" customHeight="1" x14ac:dyDescent="0.2">
      <c r="A173" s="2"/>
      <c r="B173" s="2"/>
      <c r="C173" s="2"/>
      <c r="D173" s="2"/>
      <c r="E173" s="2"/>
      <c r="F173" s="2"/>
      <c r="G173" s="2"/>
      <c r="H173" s="2"/>
      <c r="I173" s="2"/>
      <c r="J173" s="2"/>
      <c r="K173" s="2"/>
      <c r="L173" s="2"/>
      <c r="M173" s="2"/>
      <c r="N173" s="2"/>
      <c r="O173" s="2"/>
      <c r="P173" s="2"/>
      <c r="Q173" s="2"/>
      <c r="R173" s="2"/>
      <c r="S173" s="38" t="s">
        <v>788</v>
      </c>
      <c r="T173" s="2"/>
      <c r="U173" s="2"/>
      <c r="V173" s="38" t="s">
        <v>1088</v>
      </c>
      <c r="W173" s="2"/>
      <c r="X173" s="2"/>
      <c r="Y173" s="2"/>
      <c r="Z173" s="2"/>
    </row>
    <row r="174" spans="1:26" ht="12.75" customHeight="1" x14ac:dyDescent="0.2">
      <c r="A174" s="2"/>
      <c r="B174" s="2"/>
      <c r="C174" s="2"/>
      <c r="D174" s="2"/>
      <c r="E174" s="2"/>
      <c r="F174" s="2"/>
      <c r="G174" s="2"/>
      <c r="H174" s="2"/>
      <c r="I174" s="2"/>
      <c r="J174" s="2"/>
      <c r="K174" s="2"/>
      <c r="L174" s="2"/>
      <c r="M174" s="2"/>
      <c r="N174" s="2"/>
      <c r="O174" s="2"/>
      <c r="P174" s="2"/>
      <c r="Q174" s="2"/>
      <c r="R174" s="2"/>
      <c r="S174" s="38" t="s">
        <v>789</v>
      </c>
      <c r="T174" s="2"/>
      <c r="U174" s="2"/>
      <c r="V174" s="38" t="s">
        <v>1089</v>
      </c>
      <c r="W174" s="2"/>
      <c r="X174" s="2"/>
      <c r="Y174" s="2"/>
      <c r="Z174" s="2"/>
    </row>
    <row r="175" spans="1:26" ht="12.75" customHeight="1" x14ac:dyDescent="0.2">
      <c r="A175" s="2"/>
      <c r="B175" s="2"/>
      <c r="C175" s="2"/>
      <c r="D175" s="2"/>
      <c r="E175" s="2"/>
      <c r="F175" s="2"/>
      <c r="G175" s="2"/>
      <c r="H175" s="2"/>
      <c r="I175" s="2"/>
      <c r="J175" s="2"/>
      <c r="K175" s="2"/>
      <c r="L175" s="2"/>
      <c r="M175" s="2"/>
      <c r="N175" s="2"/>
      <c r="O175" s="2"/>
      <c r="P175" s="2"/>
      <c r="Q175" s="2"/>
      <c r="R175" s="2"/>
      <c r="S175" s="38" t="s">
        <v>790</v>
      </c>
      <c r="T175" s="2"/>
      <c r="U175" s="2"/>
      <c r="V175" s="38" t="s">
        <v>1090</v>
      </c>
      <c r="W175" s="2"/>
      <c r="X175" s="2"/>
      <c r="Y175" s="2"/>
      <c r="Z175" s="2"/>
    </row>
    <row r="176" spans="1:26" ht="12.75" customHeight="1" x14ac:dyDescent="0.2">
      <c r="A176" s="2"/>
      <c r="B176" s="2"/>
      <c r="C176" s="2"/>
      <c r="D176" s="2"/>
      <c r="E176" s="2"/>
      <c r="F176" s="2"/>
      <c r="G176" s="2"/>
      <c r="H176" s="2"/>
      <c r="I176" s="2"/>
      <c r="J176" s="2"/>
      <c r="K176" s="2"/>
      <c r="L176" s="2"/>
      <c r="M176" s="2"/>
      <c r="N176" s="2"/>
      <c r="O176" s="2"/>
      <c r="P176" s="2"/>
      <c r="Q176" s="2"/>
      <c r="R176" s="2"/>
      <c r="S176" s="38" t="s">
        <v>791</v>
      </c>
      <c r="T176" s="2"/>
      <c r="U176" s="2"/>
      <c r="V176" s="38" t="s">
        <v>1091</v>
      </c>
      <c r="W176" s="2"/>
      <c r="X176" s="2"/>
      <c r="Y176" s="2"/>
      <c r="Z176" s="2"/>
    </row>
    <row r="177" spans="1:26" ht="12.75" customHeight="1" x14ac:dyDescent="0.2">
      <c r="A177" s="2"/>
      <c r="B177" s="2"/>
      <c r="C177" s="2"/>
      <c r="D177" s="2"/>
      <c r="E177" s="2"/>
      <c r="F177" s="2"/>
      <c r="G177" s="2"/>
      <c r="H177" s="2"/>
      <c r="I177" s="2"/>
      <c r="J177" s="2"/>
      <c r="K177" s="2"/>
      <c r="L177" s="2"/>
      <c r="M177" s="2"/>
      <c r="N177" s="2"/>
      <c r="O177" s="2"/>
      <c r="P177" s="2"/>
      <c r="Q177" s="2"/>
      <c r="R177" s="2"/>
      <c r="S177" s="38" t="s">
        <v>792</v>
      </c>
      <c r="T177" s="2"/>
      <c r="U177" s="2"/>
      <c r="V177" s="38" t="s">
        <v>1092</v>
      </c>
      <c r="W177" s="2"/>
      <c r="X177" s="2"/>
      <c r="Y177" s="2"/>
      <c r="Z177" s="2"/>
    </row>
    <row r="178" spans="1:26" ht="12.75" customHeight="1" x14ac:dyDescent="0.2">
      <c r="A178" s="2"/>
      <c r="B178" s="2"/>
      <c r="C178" s="2"/>
      <c r="D178" s="2"/>
      <c r="E178" s="2"/>
      <c r="F178" s="2"/>
      <c r="G178" s="2"/>
      <c r="H178" s="2"/>
      <c r="I178" s="2"/>
      <c r="J178" s="2"/>
      <c r="K178" s="2"/>
      <c r="L178" s="2"/>
      <c r="M178" s="2"/>
      <c r="N178" s="2"/>
      <c r="O178" s="2"/>
      <c r="P178" s="2"/>
      <c r="Q178" s="2"/>
      <c r="R178" s="2"/>
      <c r="S178" s="38" t="s">
        <v>793</v>
      </c>
      <c r="T178" s="2"/>
      <c r="U178" s="2"/>
      <c r="V178" s="38" t="s">
        <v>1093</v>
      </c>
      <c r="W178" s="2"/>
      <c r="X178" s="2"/>
      <c r="Y178" s="2"/>
      <c r="Z178" s="2"/>
    </row>
    <row r="179" spans="1:26" ht="12.75" customHeight="1" x14ac:dyDescent="0.2">
      <c r="A179" s="2"/>
      <c r="B179" s="2"/>
      <c r="C179" s="2"/>
      <c r="D179" s="2"/>
      <c r="E179" s="2"/>
      <c r="F179" s="2"/>
      <c r="G179" s="2"/>
      <c r="H179" s="2"/>
      <c r="I179" s="2"/>
      <c r="J179" s="2"/>
      <c r="K179" s="2"/>
      <c r="L179" s="2"/>
      <c r="M179" s="2"/>
      <c r="N179" s="2"/>
      <c r="O179" s="2"/>
      <c r="P179" s="2"/>
      <c r="Q179" s="2"/>
      <c r="R179" s="2"/>
      <c r="S179" s="38" t="s">
        <v>794</v>
      </c>
      <c r="T179" s="2"/>
      <c r="U179" s="2"/>
      <c r="V179" s="38" t="s">
        <v>1094</v>
      </c>
      <c r="W179" s="2"/>
      <c r="X179" s="2"/>
      <c r="Y179" s="2"/>
      <c r="Z179" s="2"/>
    </row>
    <row r="180" spans="1:26" ht="12.75" customHeight="1" x14ac:dyDescent="0.2">
      <c r="A180" s="2"/>
      <c r="B180" s="2"/>
      <c r="C180" s="2"/>
      <c r="D180" s="2"/>
      <c r="E180" s="2"/>
      <c r="F180" s="2"/>
      <c r="G180" s="2"/>
      <c r="H180" s="2"/>
      <c r="I180" s="2"/>
      <c r="J180" s="2"/>
      <c r="K180" s="2"/>
      <c r="L180" s="2"/>
      <c r="M180" s="2"/>
      <c r="N180" s="2"/>
      <c r="O180" s="2"/>
      <c r="P180" s="2"/>
      <c r="Q180" s="2"/>
      <c r="R180" s="2"/>
      <c r="S180" s="38" t="s">
        <v>795</v>
      </c>
      <c r="T180" s="2"/>
      <c r="U180" s="2"/>
      <c r="V180" s="38" t="s">
        <v>1095</v>
      </c>
      <c r="W180" s="2"/>
      <c r="X180" s="2"/>
      <c r="Y180" s="2"/>
      <c r="Z180" s="2"/>
    </row>
    <row r="181" spans="1:26" ht="12.75" customHeight="1" x14ac:dyDescent="0.2">
      <c r="A181" s="2"/>
      <c r="B181" s="2"/>
      <c r="C181" s="2"/>
      <c r="D181" s="2"/>
      <c r="E181" s="2"/>
      <c r="F181" s="2"/>
      <c r="G181" s="2"/>
      <c r="H181" s="2"/>
      <c r="I181" s="2"/>
      <c r="J181" s="2"/>
      <c r="K181" s="2"/>
      <c r="L181" s="2"/>
      <c r="M181" s="2"/>
      <c r="N181" s="2"/>
      <c r="O181" s="2"/>
      <c r="P181" s="2"/>
      <c r="Q181" s="2"/>
      <c r="R181" s="2"/>
      <c r="S181" s="38" t="s">
        <v>796</v>
      </c>
      <c r="T181" s="2"/>
      <c r="U181" s="2"/>
      <c r="V181" s="38" t="s">
        <v>1096</v>
      </c>
      <c r="W181" s="2"/>
      <c r="X181" s="2"/>
      <c r="Y181" s="2"/>
      <c r="Z181" s="2"/>
    </row>
    <row r="182" spans="1:26" ht="12.75" customHeight="1" x14ac:dyDescent="0.2">
      <c r="A182" s="2"/>
      <c r="B182" s="2"/>
      <c r="C182" s="2"/>
      <c r="D182" s="2"/>
      <c r="E182" s="2"/>
      <c r="F182" s="2"/>
      <c r="G182" s="2"/>
      <c r="H182" s="2"/>
      <c r="I182" s="2"/>
      <c r="J182" s="2"/>
      <c r="K182" s="2"/>
      <c r="L182" s="2"/>
      <c r="M182" s="2"/>
      <c r="N182" s="2"/>
      <c r="O182" s="2"/>
      <c r="P182" s="2"/>
      <c r="Q182" s="2"/>
      <c r="R182" s="2"/>
      <c r="S182" s="38" t="s">
        <v>797</v>
      </c>
      <c r="T182" s="2"/>
      <c r="U182" s="2"/>
      <c r="V182" s="38" t="s">
        <v>1097</v>
      </c>
      <c r="W182" s="2"/>
      <c r="X182" s="2"/>
      <c r="Y182" s="2"/>
      <c r="Z182" s="2"/>
    </row>
    <row r="183" spans="1:26" ht="12.75" customHeight="1" x14ac:dyDescent="0.2">
      <c r="A183" s="2"/>
      <c r="B183" s="2"/>
      <c r="C183" s="2"/>
      <c r="D183" s="2"/>
      <c r="E183" s="2"/>
      <c r="F183" s="2"/>
      <c r="G183" s="2"/>
      <c r="H183" s="2"/>
      <c r="I183" s="2"/>
      <c r="J183" s="2"/>
      <c r="K183" s="2"/>
      <c r="L183" s="2"/>
      <c r="M183" s="2"/>
      <c r="N183" s="2"/>
      <c r="O183" s="2"/>
      <c r="P183" s="2"/>
      <c r="Q183" s="2"/>
      <c r="R183" s="2"/>
      <c r="S183" s="38" t="s">
        <v>798</v>
      </c>
      <c r="T183" s="2"/>
      <c r="U183" s="2"/>
      <c r="V183" s="38" t="s">
        <v>1098</v>
      </c>
      <c r="W183" s="2"/>
      <c r="X183" s="2"/>
      <c r="Y183" s="2"/>
      <c r="Z183" s="2"/>
    </row>
    <row r="184" spans="1:26" ht="12.75" customHeight="1" x14ac:dyDescent="0.2">
      <c r="A184" s="2"/>
      <c r="B184" s="2"/>
      <c r="C184" s="2"/>
      <c r="D184" s="2"/>
      <c r="E184" s="2"/>
      <c r="F184" s="2"/>
      <c r="G184" s="2"/>
      <c r="H184" s="2"/>
      <c r="I184" s="2"/>
      <c r="J184" s="2"/>
      <c r="K184" s="2"/>
      <c r="L184" s="2"/>
      <c r="M184" s="2"/>
      <c r="N184" s="2"/>
      <c r="O184" s="2"/>
      <c r="P184" s="2"/>
      <c r="Q184" s="2"/>
      <c r="R184" s="2"/>
      <c r="S184" s="38" t="s">
        <v>799</v>
      </c>
      <c r="T184" s="2"/>
      <c r="U184" s="2"/>
      <c r="V184" s="38" t="s">
        <v>1099</v>
      </c>
      <c r="W184" s="2"/>
      <c r="X184" s="2"/>
      <c r="Y184" s="2"/>
      <c r="Z184" s="2"/>
    </row>
    <row r="185" spans="1:26" ht="12.75" customHeight="1" x14ac:dyDescent="0.2">
      <c r="A185" s="2"/>
      <c r="B185" s="2"/>
      <c r="C185" s="2"/>
      <c r="D185" s="2"/>
      <c r="E185" s="2"/>
      <c r="F185" s="2"/>
      <c r="G185" s="2"/>
      <c r="H185" s="2"/>
      <c r="I185" s="2"/>
      <c r="J185" s="2"/>
      <c r="K185" s="2"/>
      <c r="L185" s="2"/>
      <c r="M185" s="2"/>
      <c r="N185" s="2"/>
      <c r="O185" s="2"/>
      <c r="P185" s="2"/>
      <c r="Q185" s="2"/>
      <c r="R185" s="2"/>
      <c r="S185" s="38" t="s">
        <v>800</v>
      </c>
      <c r="T185" s="2"/>
      <c r="U185" s="2"/>
      <c r="V185" s="38" t="s">
        <v>1100</v>
      </c>
      <c r="W185" s="2"/>
      <c r="X185" s="2"/>
      <c r="Y185" s="2"/>
      <c r="Z185" s="2"/>
    </row>
    <row r="186" spans="1:26" ht="12.75" customHeight="1" x14ac:dyDescent="0.2">
      <c r="A186" s="2"/>
      <c r="B186" s="2"/>
      <c r="C186" s="2"/>
      <c r="D186" s="2"/>
      <c r="E186" s="2"/>
      <c r="F186" s="2"/>
      <c r="G186" s="2"/>
      <c r="H186" s="2"/>
      <c r="I186" s="2"/>
      <c r="J186" s="2"/>
      <c r="K186" s="2"/>
      <c r="L186" s="2"/>
      <c r="M186" s="2"/>
      <c r="N186" s="2"/>
      <c r="O186" s="2"/>
      <c r="P186" s="2"/>
      <c r="Q186" s="2"/>
      <c r="R186" s="2"/>
      <c r="S186" s="38" t="s">
        <v>801</v>
      </c>
      <c r="T186" s="2"/>
      <c r="U186" s="2"/>
      <c r="V186" s="38" t="s">
        <v>1101</v>
      </c>
      <c r="W186" s="2"/>
      <c r="X186" s="2"/>
      <c r="Y186" s="2"/>
      <c r="Z186" s="2"/>
    </row>
    <row r="187" spans="1:26" ht="12.75" customHeight="1" x14ac:dyDescent="0.2">
      <c r="A187" s="2"/>
      <c r="B187" s="2"/>
      <c r="C187" s="2"/>
      <c r="D187" s="2"/>
      <c r="E187" s="2"/>
      <c r="F187" s="2"/>
      <c r="G187" s="2"/>
      <c r="H187" s="2"/>
      <c r="I187" s="2"/>
      <c r="J187" s="2"/>
      <c r="K187" s="2"/>
      <c r="L187" s="2"/>
      <c r="M187" s="2"/>
      <c r="N187" s="2"/>
      <c r="O187" s="2"/>
      <c r="P187" s="2"/>
      <c r="Q187" s="2"/>
      <c r="R187" s="2"/>
      <c r="S187" s="38" t="s">
        <v>802</v>
      </c>
      <c r="T187" s="2"/>
      <c r="U187" s="2"/>
      <c r="V187" s="38" t="s">
        <v>1102</v>
      </c>
      <c r="W187" s="2"/>
      <c r="X187" s="2"/>
      <c r="Y187" s="2"/>
      <c r="Z187" s="2"/>
    </row>
    <row r="188" spans="1:26" ht="12.75" customHeight="1" x14ac:dyDescent="0.2">
      <c r="A188" s="2"/>
      <c r="B188" s="2"/>
      <c r="C188" s="2"/>
      <c r="D188" s="2"/>
      <c r="E188" s="2"/>
      <c r="F188" s="2"/>
      <c r="G188" s="2"/>
      <c r="H188" s="2"/>
      <c r="I188" s="2"/>
      <c r="J188" s="2"/>
      <c r="K188" s="2"/>
      <c r="L188" s="2"/>
      <c r="M188" s="2"/>
      <c r="N188" s="2"/>
      <c r="O188" s="2"/>
      <c r="P188" s="2"/>
      <c r="Q188" s="2"/>
      <c r="R188" s="2"/>
      <c r="S188" s="38" t="s">
        <v>803</v>
      </c>
      <c r="T188" s="2"/>
      <c r="U188" s="2"/>
      <c r="V188" s="38" t="s">
        <v>1103</v>
      </c>
      <c r="W188" s="2"/>
      <c r="X188" s="2"/>
      <c r="Y188" s="2"/>
      <c r="Z188" s="2"/>
    </row>
    <row r="189" spans="1:26" ht="12.75" customHeight="1" x14ac:dyDescent="0.2">
      <c r="A189" s="2"/>
      <c r="B189" s="2"/>
      <c r="C189" s="2"/>
      <c r="D189" s="2"/>
      <c r="E189" s="2"/>
      <c r="F189" s="2"/>
      <c r="G189" s="2"/>
      <c r="H189" s="2"/>
      <c r="I189" s="2"/>
      <c r="J189" s="2"/>
      <c r="K189" s="2"/>
      <c r="L189" s="2"/>
      <c r="M189" s="2"/>
      <c r="N189" s="2"/>
      <c r="O189" s="2"/>
      <c r="P189" s="2"/>
      <c r="Q189" s="2"/>
      <c r="R189" s="2"/>
      <c r="S189" s="38" t="s">
        <v>804</v>
      </c>
      <c r="T189" s="2"/>
      <c r="U189" s="2"/>
      <c r="V189" s="38" t="s">
        <v>1104</v>
      </c>
      <c r="W189" s="2"/>
      <c r="X189" s="2"/>
      <c r="Y189" s="2"/>
      <c r="Z189" s="2"/>
    </row>
    <row r="190" spans="1:26" ht="12.75" customHeight="1" x14ac:dyDescent="0.2">
      <c r="A190" s="2"/>
      <c r="B190" s="2"/>
      <c r="C190" s="2"/>
      <c r="D190" s="2"/>
      <c r="E190" s="2"/>
      <c r="F190" s="2"/>
      <c r="G190" s="2"/>
      <c r="H190" s="2"/>
      <c r="I190" s="2"/>
      <c r="J190" s="2"/>
      <c r="K190" s="2"/>
      <c r="L190" s="2"/>
      <c r="M190" s="2"/>
      <c r="N190" s="2"/>
      <c r="O190" s="2"/>
      <c r="P190" s="2"/>
      <c r="Q190" s="2"/>
      <c r="R190" s="2"/>
      <c r="S190" s="38" t="s">
        <v>805</v>
      </c>
      <c r="T190" s="2"/>
      <c r="U190" s="2"/>
      <c r="V190" s="38" t="s">
        <v>1105</v>
      </c>
      <c r="W190" s="2"/>
      <c r="X190" s="2"/>
      <c r="Y190" s="2"/>
      <c r="Z190" s="2"/>
    </row>
    <row r="191" spans="1:26" ht="12.75" customHeight="1" x14ac:dyDescent="0.2">
      <c r="A191" s="2"/>
      <c r="B191" s="2"/>
      <c r="C191" s="2"/>
      <c r="D191" s="2"/>
      <c r="E191" s="2"/>
      <c r="F191" s="2"/>
      <c r="G191" s="2"/>
      <c r="H191" s="2"/>
      <c r="I191" s="2"/>
      <c r="J191" s="2"/>
      <c r="K191" s="2"/>
      <c r="L191" s="2"/>
      <c r="M191" s="2"/>
      <c r="N191" s="2"/>
      <c r="O191" s="2"/>
      <c r="P191" s="2"/>
      <c r="Q191" s="2"/>
      <c r="R191" s="2"/>
      <c r="S191" s="38" t="s">
        <v>806</v>
      </c>
      <c r="T191" s="2"/>
      <c r="U191" s="2"/>
      <c r="V191" s="38" t="s">
        <v>1106</v>
      </c>
      <c r="W191" s="2"/>
      <c r="X191" s="2"/>
      <c r="Y191" s="2"/>
      <c r="Z191" s="2"/>
    </row>
    <row r="192" spans="1:26" ht="12.75" customHeight="1" x14ac:dyDescent="0.2">
      <c r="A192" s="2"/>
      <c r="B192" s="2"/>
      <c r="C192" s="2"/>
      <c r="D192" s="2"/>
      <c r="E192" s="2"/>
      <c r="F192" s="2"/>
      <c r="G192" s="2"/>
      <c r="H192" s="2"/>
      <c r="I192" s="2"/>
      <c r="J192" s="2"/>
      <c r="K192" s="2"/>
      <c r="L192" s="2"/>
      <c r="M192" s="2"/>
      <c r="N192" s="2"/>
      <c r="O192" s="2"/>
      <c r="P192" s="2"/>
      <c r="Q192" s="2"/>
      <c r="R192" s="2"/>
      <c r="S192" s="38" t="s">
        <v>807</v>
      </c>
      <c r="T192" s="2"/>
      <c r="U192" s="2"/>
      <c r="V192" s="38" t="s">
        <v>1107</v>
      </c>
      <c r="W192" s="2"/>
      <c r="X192" s="2"/>
      <c r="Y192" s="2"/>
      <c r="Z192" s="2"/>
    </row>
    <row r="193" spans="1:26" ht="12.75" customHeight="1" x14ac:dyDescent="0.2">
      <c r="A193" s="2"/>
      <c r="B193" s="2"/>
      <c r="C193" s="2"/>
      <c r="D193" s="2"/>
      <c r="E193" s="2"/>
      <c r="F193" s="2"/>
      <c r="G193" s="2"/>
      <c r="H193" s="2"/>
      <c r="I193" s="2"/>
      <c r="J193" s="2"/>
      <c r="K193" s="2"/>
      <c r="L193" s="2"/>
      <c r="M193" s="2"/>
      <c r="N193" s="2"/>
      <c r="O193" s="2"/>
      <c r="P193" s="2"/>
      <c r="Q193" s="2"/>
      <c r="R193" s="2"/>
      <c r="S193" s="38" t="s">
        <v>808</v>
      </c>
      <c r="T193" s="2"/>
      <c r="U193" s="2"/>
      <c r="V193" s="38" t="s">
        <v>1108</v>
      </c>
      <c r="W193" s="2"/>
      <c r="X193" s="2"/>
      <c r="Y193" s="2"/>
      <c r="Z193" s="2"/>
    </row>
    <row r="194" spans="1:26" ht="12.75" customHeight="1" x14ac:dyDescent="0.2">
      <c r="A194" s="2"/>
      <c r="B194" s="2"/>
      <c r="C194" s="2"/>
      <c r="D194" s="2"/>
      <c r="E194" s="2"/>
      <c r="F194" s="2"/>
      <c r="G194" s="2"/>
      <c r="H194" s="2"/>
      <c r="I194" s="2"/>
      <c r="J194" s="2"/>
      <c r="K194" s="2"/>
      <c r="L194" s="2"/>
      <c r="M194" s="2"/>
      <c r="N194" s="2"/>
      <c r="O194" s="2"/>
      <c r="P194" s="2"/>
      <c r="Q194" s="2"/>
      <c r="R194" s="2"/>
      <c r="S194" s="38" t="s">
        <v>809</v>
      </c>
      <c r="T194" s="2"/>
      <c r="U194" s="2"/>
      <c r="V194" s="38" t="s">
        <v>1109</v>
      </c>
      <c r="W194" s="2"/>
      <c r="X194" s="2"/>
      <c r="Y194" s="2"/>
      <c r="Z194" s="2"/>
    </row>
    <row r="195" spans="1:26" ht="12.75" customHeight="1" x14ac:dyDescent="0.2">
      <c r="A195" s="2"/>
      <c r="B195" s="2"/>
      <c r="C195" s="2"/>
      <c r="D195" s="2"/>
      <c r="E195" s="2"/>
      <c r="F195" s="2"/>
      <c r="G195" s="2"/>
      <c r="H195" s="2"/>
      <c r="I195" s="2"/>
      <c r="J195" s="2"/>
      <c r="K195" s="2"/>
      <c r="L195" s="2"/>
      <c r="M195" s="2"/>
      <c r="N195" s="2"/>
      <c r="O195" s="2"/>
      <c r="P195" s="2"/>
      <c r="Q195" s="2"/>
      <c r="R195" s="2"/>
      <c r="S195" s="38" t="s">
        <v>810</v>
      </c>
      <c r="T195" s="2"/>
      <c r="U195" s="2"/>
      <c r="V195" s="38" t="s">
        <v>1110</v>
      </c>
      <c r="W195" s="2"/>
      <c r="X195" s="2"/>
      <c r="Y195" s="2"/>
      <c r="Z195" s="2"/>
    </row>
    <row r="196" spans="1:26" ht="12.75" customHeight="1" x14ac:dyDescent="0.2">
      <c r="A196" s="2"/>
      <c r="B196" s="2"/>
      <c r="C196" s="2"/>
      <c r="D196" s="2"/>
      <c r="E196" s="2"/>
      <c r="F196" s="2"/>
      <c r="G196" s="2"/>
      <c r="H196" s="2"/>
      <c r="I196" s="2"/>
      <c r="J196" s="2"/>
      <c r="K196" s="2"/>
      <c r="L196" s="2"/>
      <c r="M196" s="2"/>
      <c r="N196" s="2"/>
      <c r="O196" s="2"/>
      <c r="P196" s="2"/>
      <c r="Q196" s="2"/>
      <c r="R196" s="2"/>
      <c r="S196" s="38" t="s">
        <v>811</v>
      </c>
      <c r="T196" s="2"/>
      <c r="U196" s="2"/>
      <c r="V196" s="38" t="s">
        <v>1111</v>
      </c>
      <c r="W196" s="2"/>
      <c r="X196" s="2"/>
      <c r="Y196" s="2"/>
      <c r="Z196" s="2"/>
    </row>
    <row r="197" spans="1:26" ht="12.75" customHeight="1" x14ac:dyDescent="0.2">
      <c r="A197" s="2"/>
      <c r="B197" s="2"/>
      <c r="C197" s="2"/>
      <c r="D197" s="2"/>
      <c r="E197" s="2"/>
      <c r="F197" s="2"/>
      <c r="G197" s="2"/>
      <c r="H197" s="2"/>
      <c r="I197" s="2"/>
      <c r="J197" s="2"/>
      <c r="K197" s="2"/>
      <c r="L197" s="2"/>
      <c r="M197" s="2"/>
      <c r="N197" s="2"/>
      <c r="O197" s="2"/>
      <c r="P197" s="2"/>
      <c r="Q197" s="2"/>
      <c r="R197" s="2"/>
      <c r="S197" s="38" t="s">
        <v>812</v>
      </c>
      <c r="T197" s="2"/>
      <c r="U197" s="2"/>
      <c r="V197" s="38" t="s">
        <v>1112</v>
      </c>
      <c r="W197" s="2"/>
      <c r="X197" s="2"/>
      <c r="Y197" s="2"/>
      <c r="Z197" s="2"/>
    </row>
    <row r="198" spans="1:26" ht="12.75" customHeight="1" x14ac:dyDescent="0.2">
      <c r="A198" s="2"/>
      <c r="B198" s="2"/>
      <c r="C198" s="2"/>
      <c r="D198" s="2"/>
      <c r="E198" s="2"/>
      <c r="F198" s="2"/>
      <c r="G198" s="2"/>
      <c r="H198" s="2"/>
      <c r="I198" s="2"/>
      <c r="J198" s="2"/>
      <c r="K198" s="2"/>
      <c r="L198" s="2"/>
      <c r="M198" s="2"/>
      <c r="N198" s="2"/>
      <c r="O198" s="2"/>
      <c r="P198" s="2"/>
      <c r="Q198" s="2"/>
      <c r="R198" s="2"/>
      <c r="S198" s="38" t="s">
        <v>813</v>
      </c>
      <c r="T198" s="2"/>
      <c r="U198" s="2"/>
      <c r="V198" s="38" t="s">
        <v>1113</v>
      </c>
      <c r="W198" s="2"/>
      <c r="X198" s="2"/>
      <c r="Y198" s="2"/>
      <c r="Z198" s="2"/>
    </row>
    <row r="199" spans="1:26" ht="12.75" customHeight="1" x14ac:dyDescent="0.2">
      <c r="A199" s="2"/>
      <c r="B199" s="2"/>
      <c r="C199" s="2"/>
      <c r="D199" s="2"/>
      <c r="E199" s="2"/>
      <c r="F199" s="2"/>
      <c r="G199" s="2"/>
      <c r="H199" s="2"/>
      <c r="I199" s="2"/>
      <c r="J199" s="2"/>
      <c r="K199" s="2"/>
      <c r="L199" s="2"/>
      <c r="M199" s="2"/>
      <c r="N199" s="2"/>
      <c r="O199" s="2"/>
      <c r="P199" s="2"/>
      <c r="Q199" s="2"/>
      <c r="R199" s="2"/>
      <c r="S199" s="38" t="s">
        <v>814</v>
      </c>
      <c r="T199" s="2"/>
      <c r="U199" s="2"/>
      <c r="V199" s="38" t="s">
        <v>1114</v>
      </c>
      <c r="W199" s="2"/>
      <c r="X199" s="2"/>
      <c r="Y199" s="2"/>
      <c r="Z199" s="2"/>
    </row>
    <row r="200" spans="1:26" ht="12.75" customHeight="1" x14ac:dyDescent="0.2">
      <c r="A200" s="2"/>
      <c r="B200" s="2"/>
      <c r="C200" s="2"/>
      <c r="D200" s="2"/>
      <c r="E200" s="2"/>
      <c r="F200" s="2"/>
      <c r="G200" s="2"/>
      <c r="H200" s="2"/>
      <c r="I200" s="2"/>
      <c r="J200" s="2"/>
      <c r="K200" s="2"/>
      <c r="L200" s="2"/>
      <c r="M200" s="2"/>
      <c r="N200" s="2"/>
      <c r="O200" s="2"/>
      <c r="P200" s="2"/>
      <c r="Q200" s="2"/>
      <c r="R200" s="2"/>
      <c r="S200" s="38" t="s">
        <v>815</v>
      </c>
      <c r="T200" s="2"/>
      <c r="U200" s="2"/>
      <c r="V200" s="38" t="s">
        <v>1115</v>
      </c>
      <c r="W200" s="2"/>
      <c r="X200" s="2"/>
      <c r="Y200" s="2"/>
      <c r="Z200" s="2"/>
    </row>
    <row r="201" spans="1:26" ht="12.75" customHeight="1" x14ac:dyDescent="0.2">
      <c r="A201" s="2"/>
      <c r="B201" s="2"/>
      <c r="C201" s="2"/>
      <c r="D201" s="2"/>
      <c r="E201" s="2"/>
      <c r="F201" s="2"/>
      <c r="G201" s="2"/>
      <c r="H201" s="2"/>
      <c r="I201" s="2"/>
      <c r="J201" s="2"/>
      <c r="K201" s="2"/>
      <c r="L201" s="2"/>
      <c r="M201" s="2"/>
      <c r="N201" s="2"/>
      <c r="O201" s="2"/>
      <c r="P201" s="2"/>
      <c r="Q201" s="2"/>
      <c r="R201" s="2"/>
      <c r="S201" s="38" t="s">
        <v>816</v>
      </c>
      <c r="T201" s="2"/>
      <c r="U201" s="2"/>
      <c r="V201" s="38" t="s">
        <v>1116</v>
      </c>
      <c r="W201" s="2"/>
      <c r="X201" s="2"/>
      <c r="Y201" s="2"/>
      <c r="Z201" s="2"/>
    </row>
    <row r="202" spans="1:26" ht="12.75" customHeight="1" x14ac:dyDescent="0.2">
      <c r="A202" s="2"/>
      <c r="B202" s="2"/>
      <c r="C202" s="2"/>
      <c r="D202" s="2"/>
      <c r="E202" s="2"/>
      <c r="F202" s="2"/>
      <c r="G202" s="2"/>
      <c r="H202" s="2"/>
      <c r="I202" s="2"/>
      <c r="J202" s="2"/>
      <c r="K202" s="2"/>
      <c r="L202" s="2"/>
      <c r="M202" s="2"/>
      <c r="N202" s="2"/>
      <c r="O202" s="2"/>
      <c r="P202" s="2"/>
      <c r="Q202" s="2"/>
      <c r="R202" s="2"/>
      <c r="S202" s="38" t="s">
        <v>817</v>
      </c>
      <c r="T202" s="2"/>
      <c r="U202" s="2"/>
      <c r="V202" s="38" t="s">
        <v>1117</v>
      </c>
      <c r="W202" s="2"/>
      <c r="X202" s="2"/>
      <c r="Y202" s="2"/>
      <c r="Z202" s="2"/>
    </row>
    <row r="203" spans="1:26" ht="12.75" customHeight="1" x14ac:dyDescent="0.2">
      <c r="A203" s="2"/>
      <c r="B203" s="2"/>
      <c r="C203" s="2"/>
      <c r="D203" s="2"/>
      <c r="E203" s="2"/>
      <c r="F203" s="2"/>
      <c r="G203" s="2"/>
      <c r="H203" s="2"/>
      <c r="I203" s="2"/>
      <c r="J203" s="2"/>
      <c r="K203" s="2"/>
      <c r="L203" s="2"/>
      <c r="M203" s="2"/>
      <c r="N203" s="2"/>
      <c r="O203" s="2"/>
      <c r="P203" s="2"/>
      <c r="Q203" s="2"/>
      <c r="R203" s="2"/>
      <c r="S203" s="38" t="s">
        <v>818</v>
      </c>
      <c r="T203" s="2"/>
      <c r="U203" s="2"/>
      <c r="V203" s="38" t="s">
        <v>1118</v>
      </c>
      <c r="W203" s="2"/>
      <c r="X203" s="2"/>
      <c r="Y203" s="2"/>
      <c r="Z203" s="2"/>
    </row>
    <row r="204" spans="1:26" ht="12.75" customHeight="1" x14ac:dyDescent="0.2">
      <c r="A204" s="2"/>
      <c r="B204" s="2"/>
      <c r="C204" s="2"/>
      <c r="D204" s="2"/>
      <c r="E204" s="2"/>
      <c r="F204" s="2"/>
      <c r="G204" s="2"/>
      <c r="H204" s="2"/>
      <c r="I204" s="2"/>
      <c r="J204" s="2"/>
      <c r="K204" s="2"/>
      <c r="L204" s="2"/>
      <c r="M204" s="2"/>
      <c r="N204" s="2"/>
      <c r="O204" s="2"/>
      <c r="P204" s="2"/>
      <c r="Q204" s="2"/>
      <c r="R204" s="2"/>
      <c r="S204" s="38" t="s">
        <v>819</v>
      </c>
      <c r="T204" s="2"/>
      <c r="U204" s="2"/>
      <c r="V204" s="38" t="s">
        <v>1119</v>
      </c>
      <c r="W204" s="2"/>
      <c r="X204" s="2"/>
      <c r="Y204" s="2"/>
      <c r="Z204" s="2"/>
    </row>
    <row r="205" spans="1:26" ht="12.75" customHeight="1" x14ac:dyDescent="0.2">
      <c r="A205" s="2"/>
      <c r="B205" s="2"/>
      <c r="C205" s="2"/>
      <c r="D205" s="2"/>
      <c r="E205" s="2"/>
      <c r="F205" s="2"/>
      <c r="G205" s="2"/>
      <c r="H205" s="2"/>
      <c r="I205" s="2"/>
      <c r="J205" s="2"/>
      <c r="K205" s="2"/>
      <c r="L205" s="2"/>
      <c r="M205" s="2"/>
      <c r="N205" s="2"/>
      <c r="O205" s="2"/>
      <c r="P205" s="2"/>
      <c r="Q205" s="2"/>
      <c r="R205" s="2"/>
      <c r="S205" s="38" t="s">
        <v>820</v>
      </c>
      <c r="T205" s="2"/>
      <c r="U205" s="2"/>
      <c r="V205" s="38" t="s">
        <v>1120</v>
      </c>
      <c r="W205" s="2"/>
      <c r="X205" s="2"/>
      <c r="Y205" s="2"/>
      <c r="Z205" s="2"/>
    </row>
    <row r="206" spans="1:26" ht="12.75" customHeight="1" x14ac:dyDescent="0.2">
      <c r="A206" s="2"/>
      <c r="B206" s="2"/>
      <c r="C206" s="2"/>
      <c r="D206" s="2"/>
      <c r="E206" s="2"/>
      <c r="F206" s="2"/>
      <c r="G206" s="2"/>
      <c r="H206" s="2"/>
      <c r="I206" s="2"/>
      <c r="J206" s="2"/>
      <c r="K206" s="2"/>
      <c r="L206" s="2"/>
      <c r="M206" s="2"/>
      <c r="N206" s="2"/>
      <c r="O206" s="2"/>
      <c r="P206" s="2"/>
      <c r="Q206" s="2"/>
      <c r="R206" s="2"/>
      <c r="S206" s="38" t="s">
        <v>821</v>
      </c>
      <c r="T206" s="2"/>
      <c r="U206" s="2"/>
      <c r="V206" s="38" t="s">
        <v>1121</v>
      </c>
      <c r="W206" s="2"/>
      <c r="X206" s="2"/>
      <c r="Y206" s="2"/>
      <c r="Z206" s="2"/>
    </row>
    <row r="207" spans="1:26" ht="12.75" customHeight="1" x14ac:dyDescent="0.2">
      <c r="A207" s="2"/>
      <c r="B207" s="2"/>
      <c r="C207" s="2"/>
      <c r="D207" s="2"/>
      <c r="E207" s="2"/>
      <c r="F207" s="2"/>
      <c r="G207" s="2"/>
      <c r="H207" s="2"/>
      <c r="I207" s="2"/>
      <c r="J207" s="2"/>
      <c r="K207" s="2"/>
      <c r="L207" s="2"/>
      <c r="M207" s="2"/>
      <c r="N207" s="2"/>
      <c r="O207" s="2"/>
      <c r="P207" s="2"/>
      <c r="Q207" s="2"/>
      <c r="R207" s="2"/>
      <c r="S207" s="38" t="s">
        <v>822</v>
      </c>
      <c r="T207" s="2"/>
      <c r="U207" s="2"/>
      <c r="V207" s="38" t="s">
        <v>1122</v>
      </c>
      <c r="W207" s="2"/>
      <c r="X207" s="2"/>
      <c r="Y207" s="2"/>
      <c r="Z207" s="2"/>
    </row>
    <row r="208" spans="1:26" ht="12.75" customHeight="1" x14ac:dyDescent="0.2">
      <c r="A208" s="2"/>
      <c r="B208" s="2"/>
      <c r="C208" s="2"/>
      <c r="D208" s="2"/>
      <c r="E208" s="2"/>
      <c r="F208" s="2"/>
      <c r="G208" s="2"/>
      <c r="H208" s="2"/>
      <c r="I208" s="2"/>
      <c r="J208" s="2"/>
      <c r="K208" s="2"/>
      <c r="L208" s="2"/>
      <c r="M208" s="2"/>
      <c r="N208" s="2"/>
      <c r="O208" s="2"/>
      <c r="P208" s="2"/>
      <c r="Q208" s="2"/>
      <c r="R208" s="2"/>
      <c r="S208" s="38" t="s">
        <v>823</v>
      </c>
      <c r="T208" s="2"/>
      <c r="U208" s="2"/>
      <c r="V208" s="38" t="s">
        <v>1123</v>
      </c>
      <c r="W208" s="2"/>
      <c r="X208" s="2"/>
      <c r="Y208" s="2"/>
      <c r="Z208" s="2"/>
    </row>
    <row r="209" spans="1:26" ht="12.75" customHeight="1" x14ac:dyDescent="0.2">
      <c r="A209" s="2"/>
      <c r="B209" s="2"/>
      <c r="C209" s="2"/>
      <c r="D209" s="2"/>
      <c r="E209" s="2"/>
      <c r="F209" s="2"/>
      <c r="G209" s="2"/>
      <c r="H209" s="2"/>
      <c r="I209" s="2"/>
      <c r="J209" s="2"/>
      <c r="K209" s="2"/>
      <c r="L209" s="2"/>
      <c r="M209" s="2"/>
      <c r="N209" s="2"/>
      <c r="O209" s="2"/>
      <c r="P209" s="2"/>
      <c r="Q209" s="2"/>
      <c r="R209" s="2"/>
      <c r="S209" s="38" t="s">
        <v>824</v>
      </c>
      <c r="T209" s="2"/>
      <c r="U209" s="2"/>
      <c r="V209" s="38" t="s">
        <v>1124</v>
      </c>
      <c r="W209" s="2"/>
      <c r="X209" s="2"/>
      <c r="Y209" s="2"/>
      <c r="Z209" s="2"/>
    </row>
    <row r="210" spans="1:26" ht="12.75" customHeight="1" x14ac:dyDescent="0.2">
      <c r="A210" s="2"/>
      <c r="B210" s="2"/>
      <c r="C210" s="2"/>
      <c r="D210" s="2"/>
      <c r="E210" s="2"/>
      <c r="F210" s="2"/>
      <c r="G210" s="2"/>
      <c r="H210" s="2"/>
      <c r="I210" s="2"/>
      <c r="J210" s="2"/>
      <c r="K210" s="2"/>
      <c r="L210" s="2"/>
      <c r="M210" s="2"/>
      <c r="N210" s="2"/>
      <c r="O210" s="2"/>
      <c r="P210" s="2"/>
      <c r="Q210" s="2"/>
      <c r="R210" s="2"/>
      <c r="S210" s="38" t="s">
        <v>825</v>
      </c>
      <c r="T210" s="2"/>
      <c r="U210" s="2"/>
      <c r="V210" s="38" t="s">
        <v>1125</v>
      </c>
      <c r="W210" s="2"/>
      <c r="X210" s="2"/>
      <c r="Y210" s="2"/>
      <c r="Z210" s="2"/>
    </row>
    <row r="211" spans="1:26" ht="12.75" customHeight="1" x14ac:dyDescent="0.2">
      <c r="A211" s="2"/>
      <c r="B211" s="2"/>
      <c r="C211" s="2"/>
      <c r="D211" s="2"/>
      <c r="E211" s="2"/>
      <c r="F211" s="2"/>
      <c r="G211" s="2"/>
      <c r="H211" s="2"/>
      <c r="I211" s="2"/>
      <c r="J211" s="2"/>
      <c r="K211" s="2"/>
      <c r="L211" s="2"/>
      <c r="M211" s="2"/>
      <c r="N211" s="2"/>
      <c r="O211" s="2"/>
      <c r="P211" s="2"/>
      <c r="Q211" s="2"/>
      <c r="R211" s="2"/>
      <c r="S211" s="38" t="s">
        <v>826</v>
      </c>
      <c r="T211" s="2"/>
      <c r="U211" s="2"/>
      <c r="V211" s="38" t="s">
        <v>1126</v>
      </c>
      <c r="W211" s="2"/>
      <c r="X211" s="2"/>
      <c r="Y211" s="2"/>
      <c r="Z211" s="2"/>
    </row>
    <row r="212" spans="1:26" ht="12.75" customHeight="1" x14ac:dyDescent="0.2">
      <c r="A212" s="2"/>
      <c r="B212" s="2"/>
      <c r="C212" s="2"/>
      <c r="D212" s="2"/>
      <c r="E212" s="2"/>
      <c r="F212" s="2"/>
      <c r="G212" s="2"/>
      <c r="H212" s="2"/>
      <c r="I212" s="2"/>
      <c r="J212" s="2"/>
      <c r="K212" s="2"/>
      <c r="L212" s="2"/>
      <c r="M212" s="2"/>
      <c r="N212" s="2"/>
      <c r="O212" s="2"/>
      <c r="P212" s="2"/>
      <c r="Q212" s="2"/>
      <c r="R212" s="2"/>
      <c r="S212" s="38" t="s">
        <v>827</v>
      </c>
      <c r="T212" s="2"/>
      <c r="U212" s="2"/>
      <c r="V212" s="38" t="s">
        <v>1127</v>
      </c>
      <c r="W212" s="2"/>
      <c r="X212" s="2"/>
      <c r="Y212" s="2"/>
      <c r="Z212" s="2"/>
    </row>
    <row r="213" spans="1:26" ht="12.75" customHeight="1" x14ac:dyDescent="0.2">
      <c r="A213" s="2"/>
      <c r="B213" s="2"/>
      <c r="C213" s="2"/>
      <c r="D213" s="2"/>
      <c r="E213" s="2"/>
      <c r="F213" s="2"/>
      <c r="G213" s="2"/>
      <c r="H213" s="2"/>
      <c r="I213" s="2"/>
      <c r="J213" s="2"/>
      <c r="K213" s="2"/>
      <c r="L213" s="2"/>
      <c r="M213" s="2"/>
      <c r="N213" s="2"/>
      <c r="O213" s="2"/>
      <c r="P213" s="2"/>
      <c r="Q213" s="2"/>
      <c r="R213" s="2"/>
      <c r="S213" s="38" t="s">
        <v>828</v>
      </c>
      <c r="T213" s="2"/>
      <c r="U213" s="2"/>
      <c r="V213" s="38" t="s">
        <v>1128</v>
      </c>
      <c r="W213" s="2"/>
      <c r="X213" s="2"/>
      <c r="Y213" s="2"/>
      <c r="Z213" s="2"/>
    </row>
    <row r="214" spans="1:26" ht="12.75" customHeight="1" x14ac:dyDescent="0.2">
      <c r="A214" s="2"/>
      <c r="B214" s="2"/>
      <c r="C214" s="2"/>
      <c r="D214" s="2"/>
      <c r="E214" s="2"/>
      <c r="F214" s="2"/>
      <c r="G214" s="2"/>
      <c r="H214" s="2"/>
      <c r="I214" s="2"/>
      <c r="J214" s="2"/>
      <c r="K214" s="2"/>
      <c r="L214" s="2"/>
      <c r="M214" s="2"/>
      <c r="N214" s="2"/>
      <c r="O214" s="2"/>
      <c r="P214" s="2"/>
      <c r="Q214" s="2"/>
      <c r="R214" s="2"/>
      <c r="S214" s="38" t="s">
        <v>829</v>
      </c>
      <c r="T214" s="2"/>
      <c r="U214" s="2"/>
      <c r="V214" s="38" t="s">
        <v>1129</v>
      </c>
      <c r="W214" s="2"/>
      <c r="X214" s="2"/>
      <c r="Y214" s="2"/>
      <c r="Z214" s="2"/>
    </row>
    <row r="215" spans="1:26" ht="12.75" customHeight="1" x14ac:dyDescent="0.2">
      <c r="A215" s="2"/>
      <c r="B215" s="2"/>
      <c r="C215" s="2"/>
      <c r="D215" s="2"/>
      <c r="E215" s="2"/>
      <c r="F215" s="2"/>
      <c r="G215" s="2"/>
      <c r="H215" s="2"/>
      <c r="I215" s="2"/>
      <c r="J215" s="2"/>
      <c r="K215" s="2"/>
      <c r="L215" s="2"/>
      <c r="M215" s="2"/>
      <c r="N215" s="2"/>
      <c r="O215" s="2"/>
      <c r="P215" s="2"/>
      <c r="Q215" s="2"/>
      <c r="R215" s="2"/>
      <c r="S215" s="38" t="s">
        <v>830</v>
      </c>
      <c r="T215" s="2"/>
      <c r="U215" s="2"/>
      <c r="V215" s="38" t="s">
        <v>1130</v>
      </c>
      <c r="W215" s="2"/>
      <c r="X215" s="2"/>
      <c r="Y215" s="2"/>
      <c r="Z215" s="2"/>
    </row>
    <row r="216" spans="1:26" ht="12.75" customHeight="1" x14ac:dyDescent="0.2">
      <c r="A216" s="2"/>
      <c r="B216" s="2"/>
      <c r="C216" s="2"/>
      <c r="D216" s="2"/>
      <c r="E216" s="2"/>
      <c r="F216" s="2"/>
      <c r="G216" s="2"/>
      <c r="H216" s="2"/>
      <c r="I216" s="2"/>
      <c r="J216" s="2"/>
      <c r="K216" s="2"/>
      <c r="L216" s="2"/>
      <c r="M216" s="2"/>
      <c r="N216" s="2"/>
      <c r="O216" s="2"/>
      <c r="P216" s="2"/>
      <c r="Q216" s="2"/>
      <c r="R216" s="2"/>
      <c r="S216" s="38" t="s">
        <v>831</v>
      </c>
      <c r="T216" s="2"/>
      <c r="U216" s="2"/>
      <c r="V216" s="38" t="s">
        <v>1131</v>
      </c>
      <c r="W216" s="2"/>
      <c r="X216" s="2"/>
      <c r="Y216" s="2"/>
      <c r="Z216" s="2"/>
    </row>
    <row r="217" spans="1:26" ht="12.75" customHeight="1" x14ac:dyDescent="0.2">
      <c r="A217" s="2"/>
      <c r="B217" s="2"/>
      <c r="C217" s="2"/>
      <c r="D217" s="2"/>
      <c r="E217" s="2"/>
      <c r="F217" s="2"/>
      <c r="G217" s="2"/>
      <c r="H217" s="2"/>
      <c r="I217" s="2"/>
      <c r="J217" s="2"/>
      <c r="K217" s="2"/>
      <c r="L217" s="2"/>
      <c r="M217" s="2"/>
      <c r="N217" s="2"/>
      <c r="O217" s="2"/>
      <c r="P217" s="2"/>
      <c r="Q217" s="2"/>
      <c r="R217" s="2"/>
      <c r="S217" s="38" t="s">
        <v>832</v>
      </c>
      <c r="T217" s="2"/>
      <c r="U217" s="2"/>
      <c r="V217" s="38" t="s">
        <v>1132</v>
      </c>
      <c r="W217" s="2"/>
      <c r="X217" s="2"/>
      <c r="Y217" s="2"/>
      <c r="Z217" s="2"/>
    </row>
    <row r="218" spans="1:26" ht="12.75" customHeight="1" x14ac:dyDescent="0.2">
      <c r="A218" s="2"/>
      <c r="B218" s="2"/>
      <c r="C218" s="2"/>
      <c r="D218" s="2"/>
      <c r="E218" s="2"/>
      <c r="F218" s="2"/>
      <c r="G218" s="2"/>
      <c r="H218" s="2"/>
      <c r="I218" s="2"/>
      <c r="J218" s="2"/>
      <c r="K218" s="2"/>
      <c r="L218" s="2"/>
      <c r="M218" s="2"/>
      <c r="N218" s="2"/>
      <c r="O218" s="2"/>
      <c r="P218" s="2"/>
      <c r="Q218" s="2"/>
      <c r="R218" s="2"/>
      <c r="S218" s="38" t="s">
        <v>833</v>
      </c>
      <c r="T218" s="2"/>
      <c r="U218" s="2"/>
      <c r="V218" s="38" t="s">
        <v>1133</v>
      </c>
      <c r="W218" s="2"/>
      <c r="X218" s="2"/>
      <c r="Y218" s="2"/>
      <c r="Z218" s="2"/>
    </row>
    <row r="219" spans="1:26" ht="12.75" customHeight="1" x14ac:dyDescent="0.2">
      <c r="A219" s="2"/>
      <c r="B219" s="2"/>
      <c r="C219" s="2"/>
      <c r="D219" s="2"/>
      <c r="E219" s="2"/>
      <c r="F219" s="2"/>
      <c r="G219" s="2"/>
      <c r="H219" s="2"/>
      <c r="I219" s="2"/>
      <c r="J219" s="2"/>
      <c r="K219" s="2"/>
      <c r="L219" s="2"/>
      <c r="M219" s="2"/>
      <c r="N219" s="2"/>
      <c r="O219" s="2"/>
      <c r="P219" s="2"/>
      <c r="Q219" s="2"/>
      <c r="R219" s="2"/>
      <c r="S219" s="38" t="s">
        <v>834</v>
      </c>
      <c r="T219" s="2"/>
      <c r="U219" s="2"/>
      <c r="V219" s="38" t="s">
        <v>1134</v>
      </c>
      <c r="W219" s="2"/>
      <c r="X219" s="2"/>
      <c r="Y219" s="2"/>
      <c r="Z219" s="2"/>
    </row>
    <row r="220" spans="1:26" ht="12.75" customHeight="1" x14ac:dyDescent="0.2">
      <c r="A220" s="2"/>
      <c r="B220" s="2"/>
      <c r="C220" s="2"/>
      <c r="D220" s="2"/>
      <c r="E220" s="2"/>
      <c r="F220" s="2"/>
      <c r="G220" s="2"/>
      <c r="H220" s="2"/>
      <c r="I220" s="2"/>
      <c r="J220" s="2"/>
      <c r="K220" s="2"/>
      <c r="L220" s="2"/>
      <c r="M220" s="2"/>
      <c r="N220" s="2"/>
      <c r="O220" s="2"/>
      <c r="P220" s="2"/>
      <c r="Q220" s="2"/>
      <c r="R220" s="2"/>
      <c r="S220" s="38" t="s">
        <v>835</v>
      </c>
      <c r="T220" s="2"/>
      <c r="U220" s="2"/>
      <c r="V220" s="38" t="s">
        <v>1135</v>
      </c>
      <c r="W220" s="2"/>
      <c r="X220" s="2"/>
      <c r="Y220" s="2"/>
      <c r="Z220" s="2"/>
    </row>
    <row r="221" spans="1:26" ht="12.75" customHeight="1" x14ac:dyDescent="0.2">
      <c r="A221" s="2"/>
      <c r="B221" s="2"/>
      <c r="C221" s="2"/>
      <c r="D221" s="2"/>
      <c r="E221" s="2"/>
      <c r="F221" s="2"/>
      <c r="G221" s="2"/>
      <c r="H221" s="2"/>
      <c r="I221" s="2"/>
      <c r="J221" s="2"/>
      <c r="K221" s="2"/>
      <c r="L221" s="2"/>
      <c r="M221" s="2"/>
      <c r="N221" s="2"/>
      <c r="O221" s="2"/>
      <c r="P221" s="2"/>
      <c r="Q221" s="2"/>
      <c r="R221" s="2"/>
      <c r="S221" s="38" t="s">
        <v>836</v>
      </c>
      <c r="T221" s="2"/>
      <c r="U221" s="2"/>
      <c r="V221" s="38" t="s">
        <v>1136</v>
      </c>
      <c r="W221" s="2"/>
      <c r="X221" s="2"/>
      <c r="Y221" s="2"/>
      <c r="Z221" s="2"/>
    </row>
    <row r="222" spans="1:26" ht="12.75" customHeight="1" x14ac:dyDescent="0.2">
      <c r="A222" s="2"/>
      <c r="B222" s="2"/>
      <c r="C222" s="2"/>
      <c r="D222" s="2"/>
      <c r="E222" s="2"/>
      <c r="F222" s="2"/>
      <c r="G222" s="2"/>
      <c r="H222" s="2"/>
      <c r="I222" s="2"/>
      <c r="J222" s="2"/>
      <c r="K222" s="2"/>
      <c r="L222" s="2"/>
      <c r="M222" s="2"/>
      <c r="N222" s="2"/>
      <c r="O222" s="2"/>
      <c r="P222" s="2"/>
      <c r="Q222" s="2"/>
      <c r="R222" s="2"/>
      <c r="S222" s="38" t="s">
        <v>837</v>
      </c>
      <c r="T222" s="2"/>
      <c r="U222" s="2"/>
      <c r="V222" s="38" t="s">
        <v>1137</v>
      </c>
      <c r="W222" s="2"/>
      <c r="X222" s="2"/>
      <c r="Y222" s="2"/>
      <c r="Z222" s="2"/>
    </row>
    <row r="223" spans="1:26" ht="12.75" customHeight="1" x14ac:dyDescent="0.2">
      <c r="A223" s="2"/>
      <c r="B223" s="2"/>
      <c r="C223" s="2"/>
      <c r="D223" s="2"/>
      <c r="E223" s="2"/>
      <c r="F223" s="2"/>
      <c r="G223" s="2"/>
      <c r="H223" s="2"/>
      <c r="I223" s="2"/>
      <c r="J223" s="2"/>
      <c r="K223" s="2"/>
      <c r="L223" s="2"/>
      <c r="M223" s="2"/>
      <c r="N223" s="2"/>
      <c r="O223" s="2"/>
      <c r="P223" s="2"/>
      <c r="Q223" s="2"/>
      <c r="R223" s="2"/>
      <c r="S223" s="38" t="s">
        <v>838</v>
      </c>
      <c r="T223" s="2"/>
      <c r="U223" s="2"/>
      <c r="V223" s="38" t="s">
        <v>1138</v>
      </c>
      <c r="W223" s="2"/>
      <c r="X223" s="2"/>
      <c r="Y223" s="2"/>
      <c r="Z223" s="2"/>
    </row>
    <row r="224" spans="1:26" ht="12.75" customHeight="1" x14ac:dyDescent="0.2">
      <c r="A224" s="2"/>
      <c r="B224" s="2"/>
      <c r="C224" s="2"/>
      <c r="D224" s="2"/>
      <c r="E224" s="2"/>
      <c r="F224" s="2"/>
      <c r="G224" s="2"/>
      <c r="H224" s="2"/>
      <c r="I224" s="2"/>
      <c r="J224" s="2"/>
      <c r="K224" s="2"/>
      <c r="L224" s="2"/>
      <c r="M224" s="2"/>
      <c r="N224" s="2"/>
      <c r="O224" s="2"/>
      <c r="P224" s="2"/>
      <c r="Q224" s="2"/>
      <c r="R224" s="2"/>
      <c r="S224" s="38" t="s">
        <v>839</v>
      </c>
      <c r="T224" s="2"/>
      <c r="U224" s="2"/>
      <c r="V224" s="38" t="s">
        <v>1139</v>
      </c>
      <c r="W224" s="2"/>
      <c r="X224" s="2"/>
      <c r="Y224" s="2"/>
      <c r="Z224" s="2"/>
    </row>
    <row r="225" spans="1:26" ht="12.75" customHeight="1" x14ac:dyDescent="0.2">
      <c r="A225" s="2"/>
      <c r="B225" s="2"/>
      <c r="C225" s="2"/>
      <c r="D225" s="2"/>
      <c r="E225" s="2"/>
      <c r="F225" s="2"/>
      <c r="G225" s="2"/>
      <c r="H225" s="2"/>
      <c r="I225" s="2"/>
      <c r="J225" s="2"/>
      <c r="K225" s="2"/>
      <c r="L225" s="2"/>
      <c r="M225" s="2"/>
      <c r="N225" s="2"/>
      <c r="O225" s="2"/>
      <c r="P225" s="2"/>
      <c r="Q225" s="2"/>
      <c r="R225" s="2"/>
      <c r="S225" s="38" t="s">
        <v>840</v>
      </c>
      <c r="T225" s="2"/>
      <c r="U225" s="2"/>
      <c r="V225" s="38" t="s">
        <v>1140</v>
      </c>
      <c r="W225" s="2"/>
      <c r="X225" s="2"/>
      <c r="Y225" s="2"/>
      <c r="Z225" s="2"/>
    </row>
    <row r="226" spans="1:26" ht="12.75" customHeight="1" x14ac:dyDescent="0.2">
      <c r="A226" s="2"/>
      <c r="B226" s="2"/>
      <c r="C226" s="2"/>
      <c r="D226" s="2"/>
      <c r="E226" s="2"/>
      <c r="F226" s="2"/>
      <c r="G226" s="2"/>
      <c r="H226" s="2"/>
      <c r="I226" s="2"/>
      <c r="J226" s="2"/>
      <c r="K226" s="2"/>
      <c r="L226" s="2"/>
      <c r="M226" s="2"/>
      <c r="N226" s="2"/>
      <c r="O226" s="2"/>
      <c r="P226" s="2"/>
      <c r="Q226" s="2"/>
      <c r="R226" s="2"/>
      <c r="S226" s="38" t="s">
        <v>841</v>
      </c>
      <c r="T226" s="2"/>
      <c r="U226" s="2"/>
      <c r="V226" s="38" t="s">
        <v>1141</v>
      </c>
      <c r="W226" s="2"/>
      <c r="X226" s="2"/>
      <c r="Y226" s="2"/>
      <c r="Z226" s="2"/>
    </row>
    <row r="227" spans="1:26" ht="12.75" customHeight="1" x14ac:dyDescent="0.2">
      <c r="A227" s="2"/>
      <c r="B227" s="2"/>
      <c r="C227" s="2"/>
      <c r="D227" s="2"/>
      <c r="E227" s="2"/>
      <c r="F227" s="2"/>
      <c r="G227" s="2"/>
      <c r="H227" s="2"/>
      <c r="I227" s="2"/>
      <c r="J227" s="2"/>
      <c r="K227" s="2"/>
      <c r="L227" s="2"/>
      <c r="M227" s="2"/>
      <c r="N227" s="2"/>
      <c r="O227" s="2"/>
      <c r="P227" s="2"/>
      <c r="Q227" s="2"/>
      <c r="R227" s="2"/>
      <c r="S227" s="38" t="s">
        <v>842</v>
      </c>
      <c r="T227" s="2"/>
      <c r="U227" s="2"/>
      <c r="V227" s="38" t="s">
        <v>1142</v>
      </c>
      <c r="W227" s="2"/>
      <c r="X227" s="2"/>
      <c r="Y227" s="2"/>
      <c r="Z227" s="2"/>
    </row>
    <row r="228" spans="1:26" ht="12.75" customHeight="1" x14ac:dyDescent="0.2">
      <c r="A228" s="2"/>
      <c r="B228" s="2"/>
      <c r="C228" s="2"/>
      <c r="D228" s="2"/>
      <c r="E228" s="2"/>
      <c r="F228" s="2"/>
      <c r="G228" s="2"/>
      <c r="H228" s="2"/>
      <c r="I228" s="2"/>
      <c r="J228" s="2"/>
      <c r="K228" s="2"/>
      <c r="L228" s="2"/>
      <c r="M228" s="2"/>
      <c r="N228" s="2"/>
      <c r="O228" s="2"/>
      <c r="P228" s="2"/>
      <c r="Q228" s="2"/>
      <c r="R228" s="2"/>
      <c r="S228" s="38" t="s">
        <v>843</v>
      </c>
      <c r="T228" s="2"/>
      <c r="U228" s="2"/>
      <c r="V228" s="38" t="s">
        <v>1143</v>
      </c>
      <c r="W228" s="2"/>
      <c r="X228" s="2"/>
      <c r="Y228" s="2"/>
      <c r="Z228" s="2"/>
    </row>
    <row r="229" spans="1:26" ht="12.75" customHeight="1" x14ac:dyDescent="0.2">
      <c r="A229" s="2"/>
      <c r="B229" s="2"/>
      <c r="C229" s="2"/>
      <c r="D229" s="2"/>
      <c r="E229" s="2"/>
      <c r="F229" s="2"/>
      <c r="G229" s="2"/>
      <c r="H229" s="2"/>
      <c r="I229" s="2"/>
      <c r="J229" s="2"/>
      <c r="K229" s="2"/>
      <c r="L229" s="2"/>
      <c r="M229" s="2"/>
      <c r="N229" s="2"/>
      <c r="O229" s="2"/>
      <c r="P229" s="2"/>
      <c r="Q229" s="2"/>
      <c r="R229" s="2"/>
      <c r="S229" s="38" t="s">
        <v>844</v>
      </c>
      <c r="T229" s="2"/>
      <c r="U229" s="2"/>
      <c r="V229" s="38" t="s">
        <v>1144</v>
      </c>
      <c r="W229" s="2"/>
      <c r="X229" s="2"/>
      <c r="Y229" s="2"/>
      <c r="Z229" s="2"/>
    </row>
    <row r="230" spans="1:26" ht="12.75" customHeight="1" x14ac:dyDescent="0.2">
      <c r="A230" s="2"/>
      <c r="B230" s="2"/>
      <c r="C230" s="2"/>
      <c r="D230" s="2"/>
      <c r="E230" s="2"/>
      <c r="F230" s="2"/>
      <c r="G230" s="2"/>
      <c r="H230" s="2"/>
      <c r="I230" s="2"/>
      <c r="J230" s="2"/>
      <c r="K230" s="2"/>
      <c r="L230" s="2"/>
      <c r="M230" s="2"/>
      <c r="N230" s="2"/>
      <c r="O230" s="2"/>
      <c r="P230" s="2"/>
      <c r="Q230" s="2"/>
      <c r="R230" s="2"/>
      <c r="S230" s="38" t="s">
        <v>845</v>
      </c>
      <c r="T230" s="2"/>
      <c r="U230" s="2"/>
      <c r="V230" s="38" t="s">
        <v>1145</v>
      </c>
      <c r="W230" s="2"/>
      <c r="X230" s="2"/>
      <c r="Y230" s="2"/>
      <c r="Z230" s="2"/>
    </row>
    <row r="231" spans="1:26" ht="12.75" customHeight="1" x14ac:dyDescent="0.2">
      <c r="A231" s="2"/>
      <c r="B231" s="2"/>
      <c r="C231" s="2"/>
      <c r="D231" s="2"/>
      <c r="E231" s="2"/>
      <c r="F231" s="2"/>
      <c r="G231" s="2"/>
      <c r="H231" s="2"/>
      <c r="I231" s="2"/>
      <c r="J231" s="2"/>
      <c r="K231" s="2"/>
      <c r="L231" s="2"/>
      <c r="M231" s="2"/>
      <c r="N231" s="2"/>
      <c r="O231" s="2"/>
      <c r="P231" s="2"/>
      <c r="Q231" s="2"/>
      <c r="R231" s="2"/>
      <c r="S231" s="38" t="s">
        <v>846</v>
      </c>
      <c r="T231" s="2"/>
      <c r="U231" s="2"/>
      <c r="V231" s="38" t="s">
        <v>1146</v>
      </c>
      <c r="W231" s="2"/>
      <c r="X231" s="2"/>
      <c r="Y231" s="2"/>
      <c r="Z231" s="2"/>
    </row>
    <row r="232" spans="1:26" ht="12.75" customHeight="1" x14ac:dyDescent="0.2">
      <c r="A232" s="2"/>
      <c r="B232" s="2"/>
      <c r="C232" s="2"/>
      <c r="D232" s="2"/>
      <c r="E232" s="2"/>
      <c r="F232" s="2"/>
      <c r="G232" s="2"/>
      <c r="H232" s="2"/>
      <c r="I232" s="2"/>
      <c r="J232" s="2"/>
      <c r="K232" s="2"/>
      <c r="L232" s="2"/>
      <c r="M232" s="2"/>
      <c r="N232" s="2"/>
      <c r="O232" s="2"/>
      <c r="P232" s="2"/>
      <c r="Q232" s="2"/>
      <c r="R232" s="2"/>
      <c r="S232" s="38" t="s">
        <v>847</v>
      </c>
      <c r="T232" s="2"/>
      <c r="U232" s="2"/>
      <c r="V232" s="38" t="s">
        <v>1147</v>
      </c>
      <c r="W232" s="2"/>
      <c r="X232" s="2"/>
      <c r="Y232" s="2"/>
      <c r="Z232" s="2"/>
    </row>
    <row r="233" spans="1:26" ht="12.75" customHeight="1" x14ac:dyDescent="0.2">
      <c r="A233" s="2"/>
      <c r="B233" s="2"/>
      <c r="C233" s="2"/>
      <c r="D233" s="2"/>
      <c r="E233" s="2"/>
      <c r="F233" s="2"/>
      <c r="G233" s="2"/>
      <c r="H233" s="2"/>
      <c r="I233" s="2"/>
      <c r="J233" s="2"/>
      <c r="K233" s="2"/>
      <c r="L233" s="2"/>
      <c r="M233" s="2"/>
      <c r="N233" s="2"/>
      <c r="O233" s="2"/>
      <c r="P233" s="2"/>
      <c r="Q233" s="2"/>
      <c r="R233" s="2"/>
      <c r="S233" s="38" t="s">
        <v>848</v>
      </c>
      <c r="T233" s="2"/>
      <c r="U233" s="2"/>
      <c r="V233" s="38" t="s">
        <v>1148</v>
      </c>
      <c r="W233" s="2"/>
      <c r="X233" s="2"/>
      <c r="Y233" s="2"/>
      <c r="Z233" s="2"/>
    </row>
    <row r="234" spans="1:26" ht="12.75" customHeight="1" x14ac:dyDescent="0.2">
      <c r="A234" s="2"/>
      <c r="B234" s="2"/>
      <c r="C234" s="2"/>
      <c r="D234" s="2"/>
      <c r="E234" s="2"/>
      <c r="F234" s="2"/>
      <c r="G234" s="2"/>
      <c r="H234" s="2"/>
      <c r="I234" s="2"/>
      <c r="J234" s="2"/>
      <c r="K234" s="2"/>
      <c r="L234" s="2"/>
      <c r="M234" s="2"/>
      <c r="N234" s="2"/>
      <c r="O234" s="2"/>
      <c r="P234" s="2"/>
      <c r="Q234" s="2"/>
      <c r="R234" s="2"/>
      <c r="S234" s="38" t="s">
        <v>849</v>
      </c>
      <c r="T234" s="2"/>
      <c r="U234" s="2"/>
      <c r="V234" s="38" t="s">
        <v>1149</v>
      </c>
      <c r="W234" s="2"/>
      <c r="X234" s="2"/>
      <c r="Y234" s="2"/>
      <c r="Z234" s="2"/>
    </row>
    <row r="235" spans="1:26" ht="12.75" customHeight="1" x14ac:dyDescent="0.2">
      <c r="A235" s="2"/>
      <c r="B235" s="2"/>
      <c r="C235" s="2"/>
      <c r="D235" s="2"/>
      <c r="E235" s="2"/>
      <c r="F235" s="2"/>
      <c r="G235" s="2"/>
      <c r="H235" s="2"/>
      <c r="I235" s="2"/>
      <c r="J235" s="2"/>
      <c r="K235" s="2"/>
      <c r="L235" s="2"/>
      <c r="M235" s="2"/>
      <c r="N235" s="2"/>
      <c r="O235" s="2"/>
      <c r="P235" s="2"/>
      <c r="Q235" s="2"/>
      <c r="R235" s="2"/>
      <c r="S235" s="38" t="s">
        <v>850</v>
      </c>
      <c r="T235" s="2"/>
      <c r="U235" s="2"/>
      <c r="V235" s="38" t="s">
        <v>1150</v>
      </c>
      <c r="W235" s="2"/>
      <c r="X235" s="2"/>
      <c r="Y235" s="2"/>
      <c r="Z235" s="2"/>
    </row>
    <row r="236" spans="1:26" ht="12.75" customHeight="1" x14ac:dyDescent="0.2">
      <c r="A236" s="2"/>
      <c r="B236" s="2"/>
      <c r="C236" s="2"/>
      <c r="D236" s="2"/>
      <c r="E236" s="2"/>
      <c r="F236" s="2"/>
      <c r="G236" s="2"/>
      <c r="H236" s="2"/>
      <c r="I236" s="2"/>
      <c r="J236" s="2"/>
      <c r="K236" s="2"/>
      <c r="L236" s="2"/>
      <c r="M236" s="2"/>
      <c r="N236" s="2"/>
      <c r="O236" s="2"/>
      <c r="P236" s="2"/>
      <c r="Q236" s="2"/>
      <c r="R236" s="2"/>
      <c r="S236" s="38" t="s">
        <v>851</v>
      </c>
      <c r="T236" s="2"/>
      <c r="U236" s="2"/>
      <c r="V236" s="38" t="s">
        <v>1151</v>
      </c>
      <c r="W236" s="2"/>
      <c r="X236" s="2"/>
      <c r="Y236" s="2"/>
      <c r="Z236" s="2"/>
    </row>
    <row r="237" spans="1:26" ht="12.75" customHeight="1" x14ac:dyDescent="0.2">
      <c r="A237" s="2"/>
      <c r="B237" s="2"/>
      <c r="C237" s="2"/>
      <c r="D237" s="2"/>
      <c r="E237" s="2"/>
      <c r="F237" s="2"/>
      <c r="G237" s="2"/>
      <c r="H237" s="2"/>
      <c r="I237" s="2"/>
      <c r="J237" s="2"/>
      <c r="K237" s="2"/>
      <c r="L237" s="2"/>
      <c r="M237" s="2"/>
      <c r="N237" s="2"/>
      <c r="O237" s="2"/>
      <c r="P237" s="2"/>
      <c r="Q237" s="2"/>
      <c r="R237" s="2"/>
      <c r="S237" s="38" t="s">
        <v>852</v>
      </c>
      <c r="T237" s="2"/>
      <c r="U237" s="2"/>
      <c r="V237" s="38" t="s">
        <v>1152</v>
      </c>
      <c r="W237" s="2"/>
      <c r="X237" s="2"/>
      <c r="Y237" s="2"/>
      <c r="Z237" s="2"/>
    </row>
    <row r="238" spans="1:26" ht="12.75" customHeight="1" x14ac:dyDescent="0.2">
      <c r="A238" s="2"/>
      <c r="B238" s="2"/>
      <c r="C238" s="2"/>
      <c r="D238" s="2"/>
      <c r="E238" s="2"/>
      <c r="F238" s="2"/>
      <c r="G238" s="2"/>
      <c r="H238" s="2"/>
      <c r="I238" s="2"/>
      <c r="J238" s="2"/>
      <c r="K238" s="2"/>
      <c r="L238" s="2"/>
      <c r="M238" s="2"/>
      <c r="N238" s="2"/>
      <c r="O238" s="2"/>
      <c r="P238" s="2"/>
      <c r="Q238" s="2"/>
      <c r="R238" s="2"/>
      <c r="S238" s="38" t="s">
        <v>853</v>
      </c>
      <c r="T238" s="2"/>
      <c r="U238" s="2"/>
      <c r="V238" s="38" t="s">
        <v>1153</v>
      </c>
      <c r="W238" s="2"/>
      <c r="X238" s="2"/>
      <c r="Y238" s="2"/>
      <c r="Z238" s="2"/>
    </row>
    <row r="239" spans="1:26" ht="12.75" customHeight="1" x14ac:dyDescent="0.2">
      <c r="A239" s="2"/>
      <c r="B239" s="2"/>
      <c r="C239" s="2"/>
      <c r="D239" s="2"/>
      <c r="E239" s="2"/>
      <c r="F239" s="2"/>
      <c r="G239" s="2"/>
      <c r="H239" s="2"/>
      <c r="I239" s="2"/>
      <c r="J239" s="2"/>
      <c r="K239" s="2"/>
      <c r="L239" s="2"/>
      <c r="M239" s="2"/>
      <c r="N239" s="2"/>
      <c r="O239" s="2"/>
      <c r="P239" s="2"/>
      <c r="Q239" s="2"/>
      <c r="R239" s="2"/>
      <c r="S239" s="38" t="s">
        <v>854</v>
      </c>
      <c r="T239" s="2"/>
      <c r="U239" s="2"/>
      <c r="V239" s="38" t="s">
        <v>1154</v>
      </c>
      <c r="W239" s="2"/>
      <c r="X239" s="2"/>
      <c r="Y239" s="2"/>
      <c r="Z239" s="2"/>
    </row>
    <row r="240" spans="1:26" ht="12.75" customHeight="1" x14ac:dyDescent="0.2">
      <c r="A240" s="2"/>
      <c r="B240" s="2"/>
      <c r="C240" s="2"/>
      <c r="D240" s="2"/>
      <c r="E240" s="2"/>
      <c r="F240" s="2"/>
      <c r="G240" s="2"/>
      <c r="H240" s="2"/>
      <c r="I240" s="2"/>
      <c r="J240" s="2"/>
      <c r="K240" s="2"/>
      <c r="L240" s="2"/>
      <c r="M240" s="2"/>
      <c r="N240" s="2"/>
      <c r="O240" s="2"/>
      <c r="P240" s="2"/>
      <c r="Q240" s="2"/>
      <c r="R240" s="2"/>
      <c r="S240" s="38" t="s">
        <v>855</v>
      </c>
      <c r="T240" s="2"/>
      <c r="U240" s="2"/>
      <c r="V240" s="38" t="s">
        <v>1155</v>
      </c>
      <c r="W240" s="2"/>
      <c r="X240" s="2"/>
      <c r="Y240" s="2"/>
      <c r="Z240" s="2"/>
    </row>
    <row r="241" spans="1:26" ht="12.75" customHeight="1" x14ac:dyDescent="0.2">
      <c r="A241" s="2"/>
      <c r="B241" s="2"/>
      <c r="C241" s="2"/>
      <c r="D241" s="2"/>
      <c r="E241" s="2"/>
      <c r="F241" s="2"/>
      <c r="G241" s="2"/>
      <c r="H241" s="2"/>
      <c r="I241" s="2"/>
      <c r="J241" s="2"/>
      <c r="K241" s="2"/>
      <c r="L241" s="2"/>
      <c r="M241" s="2"/>
      <c r="N241" s="2"/>
      <c r="O241" s="2"/>
      <c r="P241" s="2"/>
      <c r="Q241" s="2"/>
      <c r="R241" s="2"/>
      <c r="S241" s="38" t="s">
        <v>856</v>
      </c>
      <c r="T241" s="2"/>
      <c r="U241" s="2"/>
      <c r="V241" s="38" t="s">
        <v>1156</v>
      </c>
      <c r="W241" s="2"/>
      <c r="X241" s="2"/>
      <c r="Y241" s="2"/>
      <c r="Z241" s="2"/>
    </row>
    <row r="242" spans="1:26" ht="12.75" customHeight="1" x14ac:dyDescent="0.2">
      <c r="A242" s="2"/>
      <c r="B242" s="2"/>
      <c r="C242" s="2"/>
      <c r="D242" s="2"/>
      <c r="E242" s="2"/>
      <c r="F242" s="2"/>
      <c r="G242" s="2"/>
      <c r="H242" s="2"/>
      <c r="I242" s="2"/>
      <c r="J242" s="2"/>
      <c r="K242" s="2"/>
      <c r="L242" s="2"/>
      <c r="M242" s="2"/>
      <c r="N242" s="2"/>
      <c r="O242" s="2"/>
      <c r="P242" s="2"/>
      <c r="Q242" s="2"/>
      <c r="R242" s="2"/>
      <c r="S242" s="38" t="s">
        <v>857</v>
      </c>
      <c r="T242" s="2"/>
      <c r="U242" s="2"/>
      <c r="V242" s="38" t="s">
        <v>1157</v>
      </c>
      <c r="W242" s="2"/>
      <c r="X242" s="2"/>
      <c r="Y242" s="2"/>
      <c r="Z242" s="2"/>
    </row>
    <row r="243" spans="1:26" ht="12.75" customHeight="1" x14ac:dyDescent="0.2">
      <c r="A243" s="2"/>
      <c r="B243" s="2"/>
      <c r="C243" s="2"/>
      <c r="D243" s="2"/>
      <c r="E243" s="2"/>
      <c r="F243" s="2"/>
      <c r="G243" s="2"/>
      <c r="H243" s="2"/>
      <c r="I243" s="2"/>
      <c r="J243" s="2"/>
      <c r="K243" s="2"/>
      <c r="L243" s="2"/>
      <c r="M243" s="2"/>
      <c r="N243" s="2"/>
      <c r="O243" s="2"/>
      <c r="P243" s="2"/>
      <c r="Q243" s="2"/>
      <c r="R243" s="2"/>
      <c r="S243" s="38" t="s">
        <v>858</v>
      </c>
      <c r="T243" s="2"/>
      <c r="U243" s="2"/>
      <c r="V243" s="38" t="s">
        <v>1158</v>
      </c>
      <c r="W243" s="2"/>
      <c r="X243" s="2"/>
      <c r="Y243" s="2"/>
      <c r="Z243" s="2"/>
    </row>
    <row r="244" spans="1:26" ht="12.75" customHeight="1" x14ac:dyDescent="0.2">
      <c r="A244" s="2"/>
      <c r="B244" s="2"/>
      <c r="C244" s="2"/>
      <c r="D244" s="2"/>
      <c r="E244" s="2"/>
      <c r="F244" s="2"/>
      <c r="G244" s="2"/>
      <c r="H244" s="2"/>
      <c r="I244" s="2"/>
      <c r="J244" s="2"/>
      <c r="K244" s="2"/>
      <c r="L244" s="2"/>
      <c r="M244" s="2"/>
      <c r="N244" s="2"/>
      <c r="O244" s="2"/>
      <c r="P244" s="2"/>
      <c r="Q244" s="2"/>
      <c r="R244" s="2"/>
      <c r="S244" s="38" t="s">
        <v>859</v>
      </c>
      <c r="T244" s="2"/>
      <c r="U244" s="2"/>
      <c r="V244" s="38" t="s">
        <v>1159</v>
      </c>
      <c r="W244" s="2"/>
      <c r="X244" s="2"/>
      <c r="Y244" s="2"/>
      <c r="Z244" s="2"/>
    </row>
    <row r="245" spans="1:26" ht="12.75" customHeight="1" x14ac:dyDescent="0.2">
      <c r="A245" s="2"/>
      <c r="B245" s="2"/>
      <c r="C245" s="2"/>
      <c r="D245" s="2"/>
      <c r="E245" s="2"/>
      <c r="F245" s="2"/>
      <c r="G245" s="2"/>
      <c r="H245" s="2"/>
      <c r="I245" s="2"/>
      <c r="J245" s="2"/>
      <c r="K245" s="2"/>
      <c r="L245" s="2"/>
      <c r="M245" s="2"/>
      <c r="N245" s="2"/>
      <c r="O245" s="2"/>
      <c r="P245" s="2"/>
      <c r="Q245" s="2"/>
      <c r="R245" s="2"/>
      <c r="S245" s="38" t="s">
        <v>860</v>
      </c>
      <c r="T245" s="2"/>
      <c r="U245" s="2"/>
      <c r="V245" s="38" t="s">
        <v>1160</v>
      </c>
      <c r="W245" s="2"/>
      <c r="X245" s="2"/>
      <c r="Y245" s="2"/>
      <c r="Z245" s="2"/>
    </row>
    <row r="246" spans="1:26" ht="12.75" customHeight="1" x14ac:dyDescent="0.2">
      <c r="A246" s="2"/>
      <c r="B246" s="2"/>
      <c r="C246" s="2"/>
      <c r="D246" s="2"/>
      <c r="E246" s="2"/>
      <c r="F246" s="2"/>
      <c r="G246" s="2"/>
      <c r="H246" s="2"/>
      <c r="I246" s="2"/>
      <c r="J246" s="2"/>
      <c r="K246" s="2"/>
      <c r="L246" s="2"/>
      <c r="M246" s="2"/>
      <c r="N246" s="2"/>
      <c r="O246" s="2"/>
      <c r="P246" s="2"/>
      <c r="Q246" s="2"/>
      <c r="R246" s="2"/>
      <c r="S246" s="38" t="s">
        <v>861</v>
      </c>
      <c r="T246" s="2"/>
      <c r="U246" s="2"/>
      <c r="V246" s="38" t="s">
        <v>1161</v>
      </c>
      <c r="W246" s="2"/>
      <c r="X246" s="2"/>
      <c r="Y246" s="2"/>
      <c r="Z246" s="2"/>
    </row>
    <row r="247" spans="1:26" ht="12.75" customHeight="1" x14ac:dyDescent="0.2">
      <c r="A247" s="2"/>
      <c r="B247" s="2"/>
      <c r="C247" s="2"/>
      <c r="D247" s="2"/>
      <c r="E247" s="2"/>
      <c r="F247" s="2"/>
      <c r="G247" s="2"/>
      <c r="H247" s="2"/>
      <c r="I247" s="2"/>
      <c r="J247" s="2"/>
      <c r="K247" s="2"/>
      <c r="L247" s="2"/>
      <c r="M247" s="2"/>
      <c r="N247" s="2"/>
      <c r="O247" s="2"/>
      <c r="P247" s="2"/>
      <c r="Q247" s="2"/>
      <c r="R247" s="2"/>
      <c r="S247" s="38" t="s">
        <v>862</v>
      </c>
      <c r="T247" s="2"/>
      <c r="U247" s="2"/>
      <c r="V247" s="38" t="s">
        <v>1162</v>
      </c>
      <c r="W247" s="2"/>
      <c r="X247" s="2"/>
      <c r="Y247" s="2"/>
      <c r="Z247" s="2"/>
    </row>
    <row r="248" spans="1:26" ht="12.75" customHeight="1" x14ac:dyDescent="0.2">
      <c r="A248" s="2"/>
      <c r="B248" s="2"/>
      <c r="C248" s="2"/>
      <c r="D248" s="2"/>
      <c r="E248" s="2"/>
      <c r="F248" s="2"/>
      <c r="G248" s="2"/>
      <c r="H248" s="2"/>
      <c r="I248" s="2"/>
      <c r="J248" s="2"/>
      <c r="K248" s="2"/>
      <c r="L248" s="2"/>
      <c r="M248" s="2"/>
      <c r="N248" s="2"/>
      <c r="O248" s="2"/>
      <c r="P248" s="2"/>
      <c r="Q248" s="2"/>
      <c r="R248" s="2"/>
      <c r="S248" s="38" t="s">
        <v>863</v>
      </c>
      <c r="T248" s="2"/>
      <c r="U248" s="2"/>
      <c r="V248" s="38" t="s">
        <v>1163</v>
      </c>
      <c r="W248" s="2"/>
      <c r="X248" s="2"/>
      <c r="Y248" s="2"/>
      <c r="Z248" s="2"/>
    </row>
    <row r="249" spans="1:26" ht="12.75" customHeight="1" x14ac:dyDescent="0.2">
      <c r="A249" s="2"/>
      <c r="B249" s="2"/>
      <c r="C249" s="2"/>
      <c r="D249" s="2"/>
      <c r="E249" s="2"/>
      <c r="F249" s="2"/>
      <c r="G249" s="2"/>
      <c r="H249" s="2"/>
      <c r="I249" s="2"/>
      <c r="J249" s="2"/>
      <c r="K249" s="2"/>
      <c r="L249" s="2"/>
      <c r="M249" s="2"/>
      <c r="N249" s="2"/>
      <c r="O249" s="2"/>
      <c r="P249" s="2"/>
      <c r="Q249" s="2"/>
      <c r="R249" s="2"/>
      <c r="S249" s="38" t="s">
        <v>864</v>
      </c>
      <c r="T249" s="2"/>
      <c r="U249" s="2"/>
      <c r="V249" s="38" t="s">
        <v>1164</v>
      </c>
      <c r="W249" s="2"/>
      <c r="X249" s="2"/>
      <c r="Y249" s="2"/>
      <c r="Z249" s="2"/>
    </row>
    <row r="250" spans="1:26" ht="12.75" customHeight="1" x14ac:dyDescent="0.2">
      <c r="A250" s="2"/>
      <c r="B250" s="2"/>
      <c r="C250" s="2"/>
      <c r="D250" s="2"/>
      <c r="E250" s="2"/>
      <c r="F250" s="2"/>
      <c r="G250" s="2"/>
      <c r="H250" s="2"/>
      <c r="I250" s="2"/>
      <c r="J250" s="2"/>
      <c r="K250" s="2"/>
      <c r="L250" s="2"/>
      <c r="M250" s="2"/>
      <c r="N250" s="2"/>
      <c r="O250" s="2"/>
      <c r="P250" s="2"/>
      <c r="Q250" s="2"/>
      <c r="R250" s="2"/>
      <c r="S250" s="38" t="s">
        <v>865</v>
      </c>
      <c r="T250" s="2"/>
      <c r="U250" s="2"/>
      <c r="V250" s="38" t="s">
        <v>1165</v>
      </c>
      <c r="W250" s="2"/>
      <c r="X250" s="2"/>
      <c r="Y250" s="2"/>
      <c r="Z250" s="2"/>
    </row>
    <row r="251" spans="1:26" ht="12.75" customHeight="1" x14ac:dyDescent="0.2">
      <c r="A251" s="2"/>
      <c r="B251" s="2"/>
      <c r="C251" s="2"/>
      <c r="D251" s="2"/>
      <c r="E251" s="2"/>
      <c r="F251" s="2"/>
      <c r="G251" s="2"/>
      <c r="H251" s="2"/>
      <c r="I251" s="2"/>
      <c r="J251" s="2"/>
      <c r="K251" s="2"/>
      <c r="L251" s="2"/>
      <c r="M251" s="2"/>
      <c r="N251" s="2"/>
      <c r="O251" s="2"/>
      <c r="P251" s="2"/>
      <c r="Q251" s="2"/>
      <c r="R251" s="2"/>
      <c r="S251" s="38" t="s">
        <v>866</v>
      </c>
      <c r="T251" s="2"/>
      <c r="U251" s="2"/>
      <c r="V251" s="38" t="s">
        <v>1166</v>
      </c>
      <c r="W251" s="2"/>
      <c r="X251" s="2"/>
      <c r="Y251" s="2"/>
      <c r="Z251" s="2"/>
    </row>
    <row r="252" spans="1:26" ht="12.75" customHeight="1" x14ac:dyDescent="0.2">
      <c r="A252" s="2"/>
      <c r="B252" s="2"/>
      <c r="C252" s="2"/>
      <c r="D252" s="2"/>
      <c r="E252" s="2"/>
      <c r="F252" s="2"/>
      <c r="G252" s="2"/>
      <c r="H252" s="2"/>
      <c r="I252" s="2"/>
      <c r="J252" s="2"/>
      <c r="K252" s="2"/>
      <c r="L252" s="2"/>
      <c r="M252" s="2"/>
      <c r="N252" s="2"/>
      <c r="O252" s="2"/>
      <c r="P252" s="2"/>
      <c r="Q252" s="2"/>
      <c r="R252" s="2"/>
      <c r="S252" s="2"/>
      <c r="T252" s="2"/>
      <c r="U252" s="2"/>
      <c r="V252" s="38" t="s">
        <v>1167</v>
      </c>
      <c r="W252" s="2"/>
      <c r="X252" s="2"/>
      <c r="Y252" s="2"/>
      <c r="Z252" s="2"/>
    </row>
    <row r="253" spans="1:26" ht="12.75" customHeight="1" x14ac:dyDescent="0.2">
      <c r="A253" s="2"/>
      <c r="B253" s="2"/>
      <c r="C253" s="2"/>
      <c r="D253" s="2"/>
      <c r="E253" s="2"/>
      <c r="F253" s="2"/>
      <c r="G253" s="2"/>
      <c r="H253" s="2"/>
      <c r="I253" s="2"/>
      <c r="J253" s="2"/>
      <c r="K253" s="2"/>
      <c r="L253" s="2"/>
      <c r="M253" s="2"/>
      <c r="N253" s="2"/>
      <c r="O253" s="2"/>
      <c r="P253" s="2"/>
      <c r="Q253" s="2"/>
      <c r="R253" s="2"/>
      <c r="S253" s="2"/>
      <c r="T253" s="2"/>
      <c r="U253" s="2"/>
      <c r="V253" s="38" t="s">
        <v>1168</v>
      </c>
      <c r="W253" s="2"/>
      <c r="X253" s="2"/>
      <c r="Y253" s="2"/>
      <c r="Z253" s="2"/>
    </row>
    <row r="254" spans="1:26" ht="12.75" customHeight="1" x14ac:dyDescent="0.2">
      <c r="A254" s="2"/>
      <c r="B254" s="2"/>
      <c r="C254" s="2"/>
      <c r="D254" s="2"/>
      <c r="E254" s="2"/>
      <c r="F254" s="2"/>
      <c r="G254" s="2"/>
      <c r="H254" s="2"/>
      <c r="I254" s="2"/>
      <c r="J254" s="2"/>
      <c r="K254" s="2"/>
      <c r="L254" s="2"/>
      <c r="M254" s="2"/>
      <c r="N254" s="2"/>
      <c r="O254" s="2"/>
      <c r="P254" s="2"/>
      <c r="Q254" s="2"/>
      <c r="R254" s="2"/>
      <c r="S254" s="2"/>
      <c r="T254" s="2"/>
      <c r="U254" s="2"/>
      <c r="V254" s="38" t="s">
        <v>1169</v>
      </c>
      <c r="W254" s="2"/>
      <c r="X254" s="2"/>
      <c r="Y254" s="2"/>
      <c r="Z254" s="2"/>
    </row>
    <row r="255" spans="1:26" ht="12.75" customHeight="1" x14ac:dyDescent="0.2">
      <c r="A255" s="2"/>
      <c r="B255" s="2"/>
      <c r="C255" s="2"/>
      <c r="D255" s="2"/>
      <c r="E255" s="2"/>
      <c r="F255" s="2"/>
      <c r="G255" s="2"/>
      <c r="H255" s="2"/>
      <c r="I255" s="2"/>
      <c r="J255" s="2"/>
      <c r="K255" s="2"/>
      <c r="L255" s="2"/>
      <c r="M255" s="2"/>
      <c r="N255" s="2"/>
      <c r="O255" s="2"/>
      <c r="P255" s="2"/>
      <c r="Q255" s="2"/>
      <c r="R255" s="2"/>
      <c r="S255" s="2"/>
      <c r="T255" s="2"/>
      <c r="U255" s="2"/>
      <c r="V255" s="38" t="s">
        <v>1170</v>
      </c>
      <c r="W255" s="2"/>
      <c r="X255" s="2"/>
      <c r="Y255" s="2"/>
      <c r="Z255" s="2"/>
    </row>
    <row r="256" spans="1:26" ht="12.75" customHeight="1" x14ac:dyDescent="0.2">
      <c r="A256" s="2"/>
      <c r="B256" s="2"/>
      <c r="C256" s="2"/>
      <c r="D256" s="2"/>
      <c r="E256" s="2"/>
      <c r="F256" s="2"/>
      <c r="G256" s="2"/>
      <c r="H256" s="2"/>
      <c r="I256" s="2"/>
      <c r="J256" s="2"/>
      <c r="K256" s="2"/>
      <c r="L256" s="2"/>
      <c r="M256" s="2"/>
      <c r="N256" s="2"/>
      <c r="O256" s="2"/>
      <c r="P256" s="2"/>
      <c r="Q256" s="2"/>
      <c r="R256" s="2"/>
      <c r="S256" s="2"/>
      <c r="T256" s="2"/>
      <c r="U256" s="2"/>
      <c r="V256" s="38" t="s">
        <v>1171</v>
      </c>
      <c r="W256" s="2"/>
      <c r="X256" s="2"/>
      <c r="Y256" s="2"/>
      <c r="Z256" s="2"/>
    </row>
    <row r="257" spans="1:26" ht="12.75" customHeight="1" x14ac:dyDescent="0.2">
      <c r="A257" s="2"/>
      <c r="B257" s="2"/>
      <c r="C257" s="2"/>
      <c r="D257" s="2"/>
      <c r="E257" s="2"/>
      <c r="F257" s="2"/>
      <c r="G257" s="2"/>
      <c r="H257" s="2"/>
      <c r="I257" s="2"/>
      <c r="J257" s="2"/>
      <c r="K257" s="2"/>
      <c r="L257" s="2"/>
      <c r="M257" s="2"/>
      <c r="N257" s="2"/>
      <c r="O257" s="2"/>
      <c r="P257" s="2"/>
      <c r="Q257" s="2"/>
      <c r="R257" s="2"/>
      <c r="S257" s="2"/>
      <c r="T257" s="2"/>
      <c r="U257" s="2"/>
      <c r="V257" s="38" t="s">
        <v>1172</v>
      </c>
      <c r="W257" s="2"/>
      <c r="X257" s="2"/>
      <c r="Y257" s="2"/>
      <c r="Z257" s="2"/>
    </row>
    <row r="258" spans="1:26" ht="12.75" customHeight="1" x14ac:dyDescent="0.2">
      <c r="A258" s="2"/>
      <c r="B258" s="2"/>
      <c r="C258" s="2"/>
      <c r="D258" s="2"/>
      <c r="E258" s="2"/>
      <c r="F258" s="2"/>
      <c r="G258" s="2"/>
      <c r="H258" s="2"/>
      <c r="I258" s="2"/>
      <c r="J258" s="2"/>
      <c r="K258" s="2"/>
      <c r="L258" s="2"/>
      <c r="M258" s="2"/>
      <c r="N258" s="2"/>
      <c r="O258" s="2"/>
      <c r="P258" s="2"/>
      <c r="Q258" s="2"/>
      <c r="R258" s="2"/>
      <c r="S258" s="2"/>
      <c r="T258" s="2"/>
      <c r="U258" s="2"/>
      <c r="V258" s="38" t="s">
        <v>1173</v>
      </c>
      <c r="W258" s="2"/>
      <c r="X258" s="2"/>
      <c r="Y258" s="2"/>
      <c r="Z258" s="2"/>
    </row>
    <row r="259" spans="1:26" ht="12.75" customHeight="1" x14ac:dyDescent="0.2">
      <c r="A259" s="2"/>
      <c r="B259" s="2"/>
      <c r="C259" s="2"/>
      <c r="D259" s="2"/>
      <c r="E259" s="2"/>
      <c r="F259" s="2"/>
      <c r="G259" s="2"/>
      <c r="H259" s="2"/>
      <c r="I259" s="2"/>
      <c r="J259" s="2"/>
      <c r="K259" s="2"/>
      <c r="L259" s="2"/>
      <c r="M259" s="2"/>
      <c r="N259" s="2"/>
      <c r="O259" s="2"/>
      <c r="P259" s="2"/>
      <c r="Q259" s="2"/>
      <c r="R259" s="2"/>
      <c r="S259" s="2"/>
      <c r="T259" s="2"/>
      <c r="U259" s="2"/>
      <c r="V259" s="38" t="s">
        <v>1174</v>
      </c>
      <c r="W259" s="2"/>
      <c r="X259" s="2"/>
      <c r="Y259" s="2"/>
      <c r="Z259" s="2"/>
    </row>
    <row r="260" spans="1:26" ht="12.75" customHeight="1" x14ac:dyDescent="0.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2.75" customHeight="1" x14ac:dyDescent="0.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2.75" customHeight="1" x14ac:dyDescent="0.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2.75" customHeight="1" x14ac:dyDescent="0.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2.75" customHeight="1" x14ac:dyDescent="0.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2.75" customHeight="1" x14ac:dyDescent="0.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2.75" customHeight="1" x14ac:dyDescent="0.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2.75" customHeight="1" x14ac:dyDescent="0.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2.75" customHeight="1" x14ac:dyDescent="0.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2.75" customHeight="1" x14ac:dyDescent="0.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2.75" customHeight="1" x14ac:dyDescent="0.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2.75" customHeight="1" x14ac:dyDescent="0.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2.75" customHeight="1" x14ac:dyDescent="0.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2.75" customHeight="1" x14ac:dyDescent="0.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2.75" customHeight="1" x14ac:dyDescent="0.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2.75" customHeight="1" x14ac:dyDescent="0.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2.75" customHeight="1" x14ac:dyDescent="0.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2.75" customHeight="1" x14ac:dyDescent="0.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2.75" customHeight="1" x14ac:dyDescent="0.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2.75" customHeight="1" x14ac:dyDescent="0.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2.75" customHeight="1" x14ac:dyDescent="0.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2.75" customHeight="1" x14ac:dyDescent="0.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2.75" customHeight="1" x14ac:dyDescent="0.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2.75" customHeight="1" x14ac:dyDescent="0.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2.75" customHeight="1" x14ac:dyDescent="0.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2.75" customHeight="1" x14ac:dyDescent="0.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2.75" customHeight="1" x14ac:dyDescent="0.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2.75" customHeight="1" x14ac:dyDescent="0.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2.75" customHeight="1"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2.75" customHeight="1" x14ac:dyDescent="0.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2.75" customHeight="1" x14ac:dyDescent="0.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2.75" customHeight="1" x14ac:dyDescent="0.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2.75" customHeight="1" x14ac:dyDescent="0.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2.75" customHeight="1" x14ac:dyDescent="0.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2.75" customHeight="1" x14ac:dyDescent="0.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2.75" customHeight="1" x14ac:dyDescent="0.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2.75" customHeight="1" x14ac:dyDescent="0.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2.75" customHeight="1" x14ac:dyDescent="0.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2.75" customHeight="1" x14ac:dyDescent="0.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2.75" customHeight="1" x14ac:dyDescent="0.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2.75" customHeight="1" x14ac:dyDescent="0.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2.75" customHeight="1" x14ac:dyDescent="0.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2.75" customHeight="1" x14ac:dyDescent="0.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2.75" customHeight="1" x14ac:dyDescent="0.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2.75" customHeight="1" x14ac:dyDescent="0.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2.75" customHeight="1"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2.75" customHeight="1"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2.75" customHeight="1"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2.75" customHeight="1"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2.75" customHeight="1"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2.75" customHeight="1"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2.75" customHeight="1"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2.75" customHeight="1"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2.75" customHeight="1"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2.75" customHeight="1"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2.75" customHeight="1"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2.75" customHeight="1"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2.75" customHeight="1"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2.75" customHeight="1"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2.75" customHeight="1"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2.75" customHeight="1"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2.75" customHeight="1"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2.75" customHeight="1"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2.75" customHeight="1"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2.75" customHeight="1"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2.75" customHeight="1"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2.75" customHeight="1"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2.75" customHeight="1"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2.75" customHeight="1"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2.75" customHeight="1"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2.75" customHeight="1"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2.75" customHeight="1"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2.75" customHeight="1"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2.75" customHeight="1"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2.75" customHeight="1"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2.75" customHeight="1"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2.75" customHeight="1"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2.75" customHeight="1"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2.75" customHeight="1"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2.75" customHeight="1"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2.75" customHeight="1"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2.75" customHeight="1"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2.75" customHeight="1"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2.75" customHeight="1"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2.75" customHeight="1"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2.75" customHeight="1"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2.75" customHeight="1"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2.75" customHeight="1"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2.75" customHeight="1"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2.75" customHeight="1"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2.75" customHeight="1"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2.75" customHeight="1"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2.75" customHeight="1"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2.75" customHeight="1"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2.75" customHeight="1"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2.75" customHeight="1"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2.75" customHeight="1"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2.75" customHeight="1"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2.75" customHeight="1"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2.75" customHeight="1"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2.75" customHeight="1"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2.75" customHeight="1"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2.75" customHeight="1"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2.75" customHeight="1"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2.75" customHeight="1"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2.75" customHeight="1"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2.75" customHeight="1"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2.75" customHeight="1"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2.75" customHeight="1"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2.75" customHeight="1"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2.75" customHeight="1"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2.75" customHeight="1"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2.75" customHeight="1"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2.75" customHeight="1"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2.75" customHeight="1"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2.75" customHeight="1"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2.75" customHeight="1"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2.75" customHeight="1"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2.75" customHeight="1"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2.75" customHeight="1"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2.75" customHeight="1"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2.75" customHeight="1"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2.75" customHeight="1"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2.75" customHeight="1"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2.75" customHeight="1"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2.75" customHeight="1"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2.75" customHeight="1"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2.75" customHeight="1"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2.75" customHeight="1"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2.75" customHeight="1"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2.75" customHeight="1"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2.75" customHeight="1"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2.75" customHeight="1"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2.75" customHeight="1"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2.75" customHeight="1"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2.75" customHeight="1"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2.75" customHeight="1"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2.75" customHeight="1"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2.75" customHeight="1"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2.75" customHeight="1"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2.75" customHeight="1"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2.75" customHeight="1"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2.75" customHeight="1"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2.75" customHeight="1"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2.75" customHeight="1"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2.75" customHeight="1"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2.75" customHeight="1"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2.75" customHeight="1"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2.75" customHeight="1"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2.75" customHeight="1"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2.75" customHeight="1"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2.75" customHeight="1"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2.75" customHeight="1"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2.75" customHeight="1"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2.75" customHeight="1"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2.75" customHeight="1"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2.75" customHeight="1"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2.75" customHeight="1"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2.75" customHeight="1"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2.75" customHeight="1"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2.75" customHeight="1"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2.75" customHeight="1"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2.75" customHeight="1"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2.75" customHeight="1"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2.75" customHeight="1"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2.75" customHeight="1"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2.75" customHeight="1"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2.75" customHeight="1"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2.75" customHeight="1"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2.75" customHeight="1"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2.75" customHeight="1"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2.75" customHeight="1"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2.75" customHeight="1"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2.75" customHeight="1"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2.75" customHeight="1"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2.75" customHeight="1"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2.75" customHeight="1"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2.75" customHeight="1"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2.75" customHeight="1"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2.75" customHeight="1"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2.75" customHeight="1"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2.75" customHeight="1"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2.75" customHeight="1"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2.75" customHeight="1"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2.75" customHeight="1"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2.75" customHeight="1"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2.75" customHeight="1"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2.75" customHeight="1"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2.75" customHeight="1"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2.75" customHeight="1"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2.75" customHeight="1"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2.75" customHeight="1"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2.75" customHeight="1"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2.75" customHeight="1"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2.75" customHeight="1"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2.75" customHeight="1"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2.75" customHeight="1"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2.75" customHeight="1"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2.75" customHeight="1"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2.75" customHeight="1"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2.75" customHeight="1"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2.75" customHeight="1"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2.75" customHeight="1"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2.75" customHeight="1"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2.75" customHeight="1"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2.75" customHeight="1"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2.75" customHeight="1"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2.75" customHeight="1"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2.75" customHeight="1"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2.75" customHeight="1"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2.75" customHeight="1"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2.75" customHeight="1"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2.75" customHeight="1"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2.75" customHeight="1"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2.75" customHeight="1"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2.75" customHeight="1"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2.75" customHeight="1"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2.75" customHeight="1"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2.75" customHeight="1"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2.75" customHeight="1"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2.75" customHeight="1"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2.75" customHeight="1"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2.75" customHeight="1"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2.75" customHeight="1"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2.75" customHeight="1"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2.75" customHeight="1"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2.75" customHeight="1"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2.75" customHeight="1"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2.75" customHeight="1"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2.75" customHeight="1"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2.75" customHeight="1"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2.75" customHeight="1"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2.75" customHeight="1"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2.75" customHeight="1"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2.75" customHeight="1"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2.75" customHeight="1"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2.75" customHeight="1"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2.75" customHeight="1"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2.75" customHeight="1"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2.75" customHeight="1"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2.75" customHeight="1"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2.75" customHeight="1"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2.75" customHeight="1"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2.75" customHeight="1"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2.75" customHeight="1"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2.75" customHeight="1"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2.75" customHeight="1"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2.75" customHeight="1"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2.75" customHeight="1"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2.75" customHeight="1"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2.75" customHeight="1"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2.75" customHeight="1"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2.75" customHeight="1"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2.75" customHeight="1"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2.75" customHeight="1"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2.75" customHeight="1"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2.75" customHeight="1"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2.75" customHeight="1"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2.75" customHeight="1"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2.75" customHeight="1"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2.75" customHeight="1"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2.75" customHeight="1"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2.75" customHeight="1"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2.75" customHeight="1"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2.75" customHeight="1"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2.75" customHeight="1"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2.75" customHeight="1"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2.75" customHeight="1"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2.75" customHeight="1"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2.75" customHeight="1"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2.75" customHeight="1"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2.75" customHeight="1"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2.75" customHeight="1"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2.75" customHeight="1"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2.75" customHeight="1"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2.75" customHeight="1"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2.75" customHeight="1"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2.75" customHeight="1"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2.75" customHeight="1"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2.75" customHeight="1"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2.75" customHeight="1"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2.75" customHeight="1"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2.75" customHeight="1"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2.75" customHeight="1"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2.75" customHeight="1"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2.75" customHeight="1"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2.75" customHeight="1"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2.75" customHeight="1"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2.75" customHeight="1"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2.75" customHeight="1"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2.75" customHeight="1"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2.75" customHeight="1"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2.75" customHeight="1"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2.75" customHeight="1" x14ac:dyDescent="0.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2.75" customHeight="1" x14ac:dyDescent="0.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2.75" customHeight="1" x14ac:dyDescent="0.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2.75" customHeight="1" x14ac:dyDescent="0.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2.75" customHeight="1" x14ac:dyDescent="0.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2.75" customHeight="1" x14ac:dyDescent="0.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2.75" customHeight="1" x14ac:dyDescent="0.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2.75" customHeight="1" x14ac:dyDescent="0.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2.75" customHeight="1" x14ac:dyDescent="0.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2.75" customHeight="1" x14ac:dyDescent="0.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2.75" customHeight="1" x14ac:dyDescent="0.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2.75" customHeight="1" x14ac:dyDescent="0.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2.75" customHeight="1" x14ac:dyDescent="0.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2.75" customHeight="1" x14ac:dyDescent="0.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2.75" customHeight="1" x14ac:dyDescent="0.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2.75" customHeight="1" x14ac:dyDescent="0.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2.75" customHeight="1" x14ac:dyDescent="0.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2.75" customHeight="1" x14ac:dyDescent="0.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2.75" customHeight="1" x14ac:dyDescent="0.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2.75" customHeight="1" x14ac:dyDescent="0.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2.75" customHeight="1" x14ac:dyDescent="0.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2.75" customHeight="1" x14ac:dyDescent="0.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2.75" customHeight="1" x14ac:dyDescent="0.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2.75" customHeight="1" x14ac:dyDescent="0.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2.75" customHeight="1" x14ac:dyDescent="0.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2.75" customHeight="1" x14ac:dyDescent="0.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2.75" customHeight="1" x14ac:dyDescent="0.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2.75" customHeight="1" x14ac:dyDescent="0.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2.75" customHeight="1" x14ac:dyDescent="0.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2.75" customHeight="1" x14ac:dyDescent="0.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2.75" customHeight="1" x14ac:dyDescent="0.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2.75" customHeight="1" x14ac:dyDescent="0.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2.75" customHeight="1" x14ac:dyDescent="0.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2.75" customHeight="1" x14ac:dyDescent="0.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2.75" customHeight="1" x14ac:dyDescent="0.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2.75" customHeight="1" x14ac:dyDescent="0.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2.75" customHeight="1" x14ac:dyDescent="0.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2.75" customHeight="1" x14ac:dyDescent="0.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2.75" customHeight="1" x14ac:dyDescent="0.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2.75" customHeight="1" x14ac:dyDescent="0.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2.75" customHeight="1" x14ac:dyDescent="0.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2.75" customHeight="1" x14ac:dyDescent="0.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2.75" customHeight="1" x14ac:dyDescent="0.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2.75" customHeight="1" x14ac:dyDescent="0.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2.75" customHeight="1" x14ac:dyDescent="0.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2.75" customHeight="1" x14ac:dyDescent="0.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2.75" customHeight="1" x14ac:dyDescent="0.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2.75" customHeight="1" x14ac:dyDescent="0.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2.75" customHeight="1" x14ac:dyDescent="0.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2.75" customHeight="1" x14ac:dyDescent="0.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2.75" customHeight="1" x14ac:dyDescent="0.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2.75" customHeight="1" x14ac:dyDescent="0.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2.75" customHeight="1" x14ac:dyDescent="0.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2.75" customHeight="1" x14ac:dyDescent="0.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2.75" customHeight="1" x14ac:dyDescent="0.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2.75" customHeight="1" x14ac:dyDescent="0.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2.75" customHeight="1" x14ac:dyDescent="0.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2.75" customHeight="1" x14ac:dyDescent="0.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2.75" customHeight="1" x14ac:dyDescent="0.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2.75" customHeight="1" x14ac:dyDescent="0.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2.75" customHeight="1" x14ac:dyDescent="0.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2.75" customHeight="1" x14ac:dyDescent="0.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2.75" customHeight="1" x14ac:dyDescent="0.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2.75" customHeight="1" x14ac:dyDescent="0.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2.75" customHeight="1" x14ac:dyDescent="0.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2.75" customHeight="1" x14ac:dyDescent="0.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2.75" customHeight="1" x14ac:dyDescent="0.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2.75" customHeight="1" x14ac:dyDescent="0.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2.75" customHeight="1" x14ac:dyDescent="0.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2.75" customHeight="1" x14ac:dyDescent="0.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2.75" customHeight="1" x14ac:dyDescent="0.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2.75" customHeight="1" x14ac:dyDescent="0.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2.75" customHeight="1" x14ac:dyDescent="0.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2.75" customHeight="1" x14ac:dyDescent="0.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2.75" customHeight="1" x14ac:dyDescent="0.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2.75" customHeight="1" x14ac:dyDescent="0.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2.75" customHeight="1" x14ac:dyDescent="0.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2.75" customHeight="1" x14ac:dyDescent="0.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2.75" customHeight="1" x14ac:dyDescent="0.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2.75" customHeight="1" x14ac:dyDescent="0.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2.75" customHeight="1" x14ac:dyDescent="0.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2.75" customHeight="1" x14ac:dyDescent="0.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2.75" customHeight="1" x14ac:dyDescent="0.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2.75" customHeight="1" x14ac:dyDescent="0.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2.75" customHeight="1" x14ac:dyDescent="0.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2.75" customHeight="1" x14ac:dyDescent="0.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2.75" customHeight="1" x14ac:dyDescent="0.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2.75" customHeight="1" x14ac:dyDescent="0.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2.75" customHeight="1" x14ac:dyDescent="0.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2.75" customHeight="1" x14ac:dyDescent="0.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2.75" customHeight="1" x14ac:dyDescent="0.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2.75" customHeight="1" x14ac:dyDescent="0.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2.75" customHeight="1" x14ac:dyDescent="0.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2.75" customHeight="1" x14ac:dyDescent="0.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2.75" customHeight="1" x14ac:dyDescent="0.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2.75" customHeight="1" x14ac:dyDescent="0.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2.75" customHeight="1" x14ac:dyDescent="0.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2.75" customHeight="1" x14ac:dyDescent="0.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2.75" customHeight="1" x14ac:dyDescent="0.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2.75" customHeight="1" x14ac:dyDescent="0.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2.75" customHeight="1" x14ac:dyDescent="0.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2.75" customHeight="1" x14ac:dyDescent="0.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2.75" customHeight="1" x14ac:dyDescent="0.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2.75" customHeight="1" x14ac:dyDescent="0.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2.75" customHeight="1" x14ac:dyDescent="0.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2.75" customHeight="1" x14ac:dyDescent="0.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2.75" customHeight="1" x14ac:dyDescent="0.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2.75" customHeight="1" x14ac:dyDescent="0.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2.75" customHeight="1" x14ac:dyDescent="0.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2.75" customHeight="1" x14ac:dyDescent="0.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2.75" customHeight="1" x14ac:dyDescent="0.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2.75" customHeight="1" x14ac:dyDescent="0.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2.75" customHeight="1" x14ac:dyDescent="0.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2.75" customHeight="1" x14ac:dyDescent="0.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2.75" customHeight="1" x14ac:dyDescent="0.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2.75" customHeight="1" x14ac:dyDescent="0.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2.75" customHeight="1" x14ac:dyDescent="0.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2.75" customHeight="1" x14ac:dyDescent="0.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2.75" customHeight="1" x14ac:dyDescent="0.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2.75" customHeight="1" x14ac:dyDescent="0.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2.75" customHeight="1" x14ac:dyDescent="0.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2.75" customHeight="1" x14ac:dyDescent="0.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2.75" customHeight="1" x14ac:dyDescent="0.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2.75" customHeight="1" x14ac:dyDescent="0.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2.75" customHeight="1" x14ac:dyDescent="0.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2.75" customHeight="1" x14ac:dyDescent="0.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2.75" customHeight="1" x14ac:dyDescent="0.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2.75" customHeight="1" x14ac:dyDescent="0.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2.75" customHeight="1" x14ac:dyDescent="0.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2.75" customHeight="1" x14ac:dyDescent="0.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2.75" customHeight="1" x14ac:dyDescent="0.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2.75" customHeight="1" x14ac:dyDescent="0.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2.75" customHeight="1" x14ac:dyDescent="0.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2.75" customHeight="1" x14ac:dyDescent="0.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2.75" customHeight="1" x14ac:dyDescent="0.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2.75" customHeight="1" x14ac:dyDescent="0.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2.75" customHeight="1" x14ac:dyDescent="0.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2.75" customHeight="1" x14ac:dyDescent="0.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2.75" customHeight="1" x14ac:dyDescent="0.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2.75" customHeight="1" x14ac:dyDescent="0.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2.75" customHeight="1" x14ac:dyDescent="0.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2.75" customHeight="1" x14ac:dyDescent="0.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2.75" customHeight="1" x14ac:dyDescent="0.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2.75" customHeight="1" x14ac:dyDescent="0.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2.75" customHeight="1" x14ac:dyDescent="0.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2.75" customHeight="1" x14ac:dyDescent="0.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2.75" customHeight="1" x14ac:dyDescent="0.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2.75" customHeight="1" x14ac:dyDescent="0.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2.75" customHeight="1" x14ac:dyDescent="0.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2.75" customHeight="1" x14ac:dyDescent="0.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2.75" customHeight="1" x14ac:dyDescent="0.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2.75" customHeight="1" x14ac:dyDescent="0.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2.75" customHeight="1" x14ac:dyDescent="0.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2.75" customHeight="1" x14ac:dyDescent="0.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2.75" customHeight="1" x14ac:dyDescent="0.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2.75" customHeight="1" x14ac:dyDescent="0.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2.75" customHeight="1" x14ac:dyDescent="0.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2.75" customHeight="1" x14ac:dyDescent="0.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2.75" customHeight="1" x14ac:dyDescent="0.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2.75" customHeight="1" x14ac:dyDescent="0.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2.75" customHeight="1" x14ac:dyDescent="0.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2.75" customHeight="1" x14ac:dyDescent="0.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2.75" customHeight="1" x14ac:dyDescent="0.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2.75" customHeight="1" x14ac:dyDescent="0.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2.75" customHeight="1" x14ac:dyDescent="0.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2.75" customHeight="1" x14ac:dyDescent="0.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2.75" customHeight="1" x14ac:dyDescent="0.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2.75" customHeight="1" x14ac:dyDescent="0.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2.75" customHeight="1" x14ac:dyDescent="0.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2.75" customHeight="1" x14ac:dyDescent="0.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2.75" customHeight="1" x14ac:dyDescent="0.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2.75" customHeight="1" x14ac:dyDescent="0.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2.75" customHeight="1" x14ac:dyDescent="0.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2.75" customHeight="1" x14ac:dyDescent="0.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2.75" customHeight="1" x14ac:dyDescent="0.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2.75" customHeight="1" x14ac:dyDescent="0.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2.75" customHeight="1" x14ac:dyDescent="0.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2.75" customHeight="1" x14ac:dyDescent="0.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2.75" customHeight="1" x14ac:dyDescent="0.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2.75" customHeight="1" x14ac:dyDescent="0.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2.75" customHeight="1" x14ac:dyDescent="0.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2.75" customHeight="1" x14ac:dyDescent="0.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2.75" customHeight="1" x14ac:dyDescent="0.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2.75" customHeight="1" x14ac:dyDescent="0.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2.75" customHeight="1" x14ac:dyDescent="0.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2.75" customHeight="1" x14ac:dyDescent="0.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2.75" customHeight="1" x14ac:dyDescent="0.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2.75" customHeight="1" x14ac:dyDescent="0.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2.75" customHeight="1" x14ac:dyDescent="0.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2.75" customHeight="1" x14ac:dyDescent="0.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2.75" customHeight="1" x14ac:dyDescent="0.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2.75" customHeight="1" x14ac:dyDescent="0.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2.75" customHeight="1" x14ac:dyDescent="0.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2.75" customHeight="1" x14ac:dyDescent="0.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2.75" customHeight="1" x14ac:dyDescent="0.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2.75" customHeight="1" x14ac:dyDescent="0.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2.75" customHeight="1" x14ac:dyDescent="0.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2.75" customHeight="1" x14ac:dyDescent="0.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2.75" customHeight="1" x14ac:dyDescent="0.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2.75" customHeight="1" x14ac:dyDescent="0.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2.75" customHeight="1" x14ac:dyDescent="0.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2.75" customHeight="1" x14ac:dyDescent="0.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2.75" customHeight="1" x14ac:dyDescent="0.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2.75" customHeight="1" x14ac:dyDescent="0.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2.75" customHeight="1" x14ac:dyDescent="0.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2.75" customHeight="1" x14ac:dyDescent="0.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2.75" customHeight="1" x14ac:dyDescent="0.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2.75" customHeight="1" x14ac:dyDescent="0.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2.75" customHeight="1" x14ac:dyDescent="0.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2.75" customHeight="1" x14ac:dyDescent="0.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2.75" customHeight="1" x14ac:dyDescent="0.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2.75" customHeight="1" x14ac:dyDescent="0.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2.75" customHeight="1" x14ac:dyDescent="0.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2.75" customHeight="1" x14ac:dyDescent="0.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2.75" customHeight="1" x14ac:dyDescent="0.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2.75" customHeight="1" x14ac:dyDescent="0.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2.75" customHeight="1" x14ac:dyDescent="0.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2.75" customHeight="1" x14ac:dyDescent="0.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2.75" customHeight="1" x14ac:dyDescent="0.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2.75" customHeight="1" x14ac:dyDescent="0.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2.75" customHeight="1" x14ac:dyDescent="0.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2.75" customHeight="1" x14ac:dyDescent="0.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2.75" customHeight="1" x14ac:dyDescent="0.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2.75" customHeight="1" x14ac:dyDescent="0.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2.75" customHeight="1" x14ac:dyDescent="0.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2.75" customHeight="1" x14ac:dyDescent="0.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2.75" customHeight="1" x14ac:dyDescent="0.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2.75" customHeight="1" x14ac:dyDescent="0.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2.75" customHeight="1" x14ac:dyDescent="0.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2.75" customHeight="1" x14ac:dyDescent="0.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2.75" customHeight="1" x14ac:dyDescent="0.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2.75" customHeight="1" x14ac:dyDescent="0.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2.75" customHeight="1" x14ac:dyDescent="0.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2.75" customHeight="1" x14ac:dyDescent="0.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2.75" customHeight="1" x14ac:dyDescent="0.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2.75" customHeight="1" x14ac:dyDescent="0.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2.75" customHeight="1" x14ac:dyDescent="0.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2.75" customHeight="1" x14ac:dyDescent="0.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2.75" customHeight="1" x14ac:dyDescent="0.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2.75" customHeight="1" x14ac:dyDescent="0.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2.75" customHeight="1" x14ac:dyDescent="0.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2.75" customHeight="1" x14ac:dyDescent="0.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2.75" customHeight="1" x14ac:dyDescent="0.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2.75" customHeight="1" x14ac:dyDescent="0.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2.75" customHeight="1" x14ac:dyDescent="0.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2.75" customHeight="1" x14ac:dyDescent="0.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2.75" customHeight="1" x14ac:dyDescent="0.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2.75" customHeight="1" x14ac:dyDescent="0.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2.75" customHeight="1" x14ac:dyDescent="0.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2.75" customHeight="1" x14ac:dyDescent="0.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2.75" customHeight="1" x14ac:dyDescent="0.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2.75" customHeight="1" x14ac:dyDescent="0.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2.75" customHeight="1" x14ac:dyDescent="0.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2.75" customHeight="1" x14ac:dyDescent="0.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2.75" customHeight="1" x14ac:dyDescent="0.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2.75" customHeight="1" x14ac:dyDescent="0.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2.75" customHeight="1" x14ac:dyDescent="0.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2.75" customHeight="1" x14ac:dyDescent="0.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2.75" customHeight="1" x14ac:dyDescent="0.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2.75" customHeight="1" x14ac:dyDescent="0.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2.75" customHeight="1" x14ac:dyDescent="0.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2.75" customHeight="1" x14ac:dyDescent="0.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2.75" customHeight="1" x14ac:dyDescent="0.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2.75" customHeight="1" x14ac:dyDescent="0.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2.75" customHeight="1" x14ac:dyDescent="0.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2.75" customHeight="1" x14ac:dyDescent="0.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2.75" customHeight="1" x14ac:dyDescent="0.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2.75" customHeight="1" x14ac:dyDescent="0.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2.75" customHeight="1" x14ac:dyDescent="0.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2.75" customHeight="1" x14ac:dyDescent="0.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2.75" customHeight="1" x14ac:dyDescent="0.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2.75" customHeight="1" x14ac:dyDescent="0.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2.75" customHeight="1" x14ac:dyDescent="0.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2.75" customHeight="1" x14ac:dyDescent="0.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2.75" customHeight="1" x14ac:dyDescent="0.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2.75" customHeight="1" x14ac:dyDescent="0.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2.75" customHeight="1" x14ac:dyDescent="0.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2.75" customHeight="1" x14ac:dyDescent="0.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2.75" customHeight="1" x14ac:dyDescent="0.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2.75" customHeight="1" x14ac:dyDescent="0.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2.75" customHeight="1" x14ac:dyDescent="0.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2.75" customHeight="1" x14ac:dyDescent="0.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2.75" customHeight="1" x14ac:dyDescent="0.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2.75" customHeight="1" x14ac:dyDescent="0.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2.75" customHeight="1" x14ac:dyDescent="0.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2.75" customHeight="1" x14ac:dyDescent="0.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2.75" customHeight="1" x14ac:dyDescent="0.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2.75" customHeight="1" x14ac:dyDescent="0.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2.75" customHeight="1" x14ac:dyDescent="0.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2.75" customHeight="1" x14ac:dyDescent="0.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2.75" customHeight="1" x14ac:dyDescent="0.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2.75" customHeight="1" x14ac:dyDescent="0.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2.75" customHeight="1" x14ac:dyDescent="0.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2.75" customHeight="1" x14ac:dyDescent="0.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2.75" customHeight="1" x14ac:dyDescent="0.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2.75" customHeight="1" x14ac:dyDescent="0.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2.75" customHeight="1" x14ac:dyDescent="0.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2.75" customHeight="1" x14ac:dyDescent="0.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2.75" customHeight="1" x14ac:dyDescent="0.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2.75" customHeight="1" x14ac:dyDescent="0.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2.75" customHeight="1" x14ac:dyDescent="0.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2.75" customHeight="1" x14ac:dyDescent="0.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2.75" customHeight="1" x14ac:dyDescent="0.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2.75" customHeight="1" x14ac:dyDescent="0.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2.75" customHeight="1" x14ac:dyDescent="0.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2.75" customHeight="1" x14ac:dyDescent="0.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2.75" customHeight="1" x14ac:dyDescent="0.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2.75" customHeight="1" x14ac:dyDescent="0.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2.75" customHeight="1" x14ac:dyDescent="0.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2.75" customHeight="1" x14ac:dyDescent="0.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2.75" customHeight="1" x14ac:dyDescent="0.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2.75" customHeight="1" x14ac:dyDescent="0.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2.75" customHeight="1" x14ac:dyDescent="0.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2.75" customHeight="1" x14ac:dyDescent="0.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2.75" customHeight="1" x14ac:dyDescent="0.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2.75" customHeight="1" x14ac:dyDescent="0.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2.75" customHeight="1" x14ac:dyDescent="0.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2.75" customHeight="1" x14ac:dyDescent="0.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2.75" customHeight="1" x14ac:dyDescent="0.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2.75" customHeight="1" x14ac:dyDescent="0.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2.75" customHeight="1" x14ac:dyDescent="0.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2.75" customHeight="1" x14ac:dyDescent="0.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2.75" customHeight="1" x14ac:dyDescent="0.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2.75" customHeight="1" x14ac:dyDescent="0.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2.75" customHeight="1" x14ac:dyDescent="0.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2.75" customHeight="1" x14ac:dyDescent="0.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2.75" customHeight="1" x14ac:dyDescent="0.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2.75" customHeight="1" x14ac:dyDescent="0.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2.75" customHeight="1" x14ac:dyDescent="0.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2.75" customHeight="1" x14ac:dyDescent="0.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2.75" customHeight="1" x14ac:dyDescent="0.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2.75" customHeight="1" x14ac:dyDescent="0.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2.75" customHeight="1" x14ac:dyDescent="0.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2.75" customHeight="1" x14ac:dyDescent="0.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2.75" customHeight="1" x14ac:dyDescent="0.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2.75" customHeight="1" x14ac:dyDescent="0.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2.75" customHeight="1" x14ac:dyDescent="0.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2.75" customHeight="1" x14ac:dyDescent="0.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2.75" customHeight="1" x14ac:dyDescent="0.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2.75" customHeight="1" x14ac:dyDescent="0.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2.75" customHeight="1" x14ac:dyDescent="0.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2.75" customHeight="1" x14ac:dyDescent="0.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2.75" customHeight="1" x14ac:dyDescent="0.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2.75" customHeight="1" x14ac:dyDescent="0.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2.75" customHeight="1" x14ac:dyDescent="0.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2.75" customHeight="1" x14ac:dyDescent="0.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2.75" customHeight="1" x14ac:dyDescent="0.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2.75" customHeight="1" x14ac:dyDescent="0.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2.75" customHeight="1" x14ac:dyDescent="0.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2.75" customHeight="1" x14ac:dyDescent="0.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2.75" customHeight="1" x14ac:dyDescent="0.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2.75" customHeight="1" x14ac:dyDescent="0.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2.75" customHeight="1" x14ac:dyDescent="0.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2.75" customHeight="1" x14ac:dyDescent="0.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2.75" customHeight="1" x14ac:dyDescent="0.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2.75" customHeight="1" x14ac:dyDescent="0.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2.75" customHeight="1" x14ac:dyDescent="0.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2.75" customHeight="1" x14ac:dyDescent="0.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2.75" customHeight="1" x14ac:dyDescent="0.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2.75" customHeight="1" x14ac:dyDescent="0.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2.75" customHeight="1" x14ac:dyDescent="0.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2.75" customHeight="1" x14ac:dyDescent="0.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2.75" customHeight="1" x14ac:dyDescent="0.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2.75" customHeight="1" x14ac:dyDescent="0.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2.75" customHeight="1" x14ac:dyDescent="0.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2.75" customHeight="1" x14ac:dyDescent="0.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2.75" customHeight="1" x14ac:dyDescent="0.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2.75" customHeight="1" x14ac:dyDescent="0.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2.75" customHeight="1" x14ac:dyDescent="0.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2.75" customHeight="1" x14ac:dyDescent="0.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2.75" customHeight="1" x14ac:dyDescent="0.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2.75" customHeight="1" x14ac:dyDescent="0.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2.75" customHeight="1" x14ac:dyDescent="0.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2.75" customHeight="1" x14ac:dyDescent="0.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2.75" customHeight="1" x14ac:dyDescent="0.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2.75" customHeight="1" x14ac:dyDescent="0.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2.75" customHeight="1" x14ac:dyDescent="0.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2.75" customHeight="1" x14ac:dyDescent="0.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2.75" customHeight="1" x14ac:dyDescent="0.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2.75" customHeight="1" x14ac:dyDescent="0.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2.75" customHeight="1" x14ac:dyDescent="0.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2.75" customHeight="1" x14ac:dyDescent="0.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2.75" customHeight="1" x14ac:dyDescent="0.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2.75" customHeight="1" x14ac:dyDescent="0.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2.75" customHeight="1" x14ac:dyDescent="0.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2.75" customHeight="1" x14ac:dyDescent="0.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2.75" customHeight="1" x14ac:dyDescent="0.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2.75" customHeight="1" x14ac:dyDescent="0.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2.75" customHeight="1" x14ac:dyDescent="0.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2.75" customHeight="1" x14ac:dyDescent="0.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2.75" customHeight="1" x14ac:dyDescent="0.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2.75" customHeight="1" x14ac:dyDescent="0.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2.75" customHeight="1" x14ac:dyDescent="0.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2.75" customHeight="1" x14ac:dyDescent="0.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2.75" customHeight="1" x14ac:dyDescent="0.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2.75" customHeight="1" x14ac:dyDescent="0.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2.75" customHeight="1" x14ac:dyDescent="0.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2.75" customHeight="1" x14ac:dyDescent="0.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2.75" customHeight="1" x14ac:dyDescent="0.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2.75" customHeight="1" x14ac:dyDescent="0.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2.75" customHeight="1" x14ac:dyDescent="0.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2.75" customHeight="1" x14ac:dyDescent="0.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2.75" customHeight="1" x14ac:dyDescent="0.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2.75" customHeight="1" x14ac:dyDescent="0.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2.75" customHeight="1" x14ac:dyDescent="0.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2.75" customHeight="1" x14ac:dyDescent="0.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2.75" customHeight="1" x14ac:dyDescent="0.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2.75" customHeight="1" x14ac:dyDescent="0.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2.75" customHeight="1" x14ac:dyDescent="0.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2.75" customHeight="1" x14ac:dyDescent="0.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2.75" customHeight="1" x14ac:dyDescent="0.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2.75" customHeight="1" x14ac:dyDescent="0.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2.75" customHeight="1" x14ac:dyDescent="0.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2.75" customHeight="1" x14ac:dyDescent="0.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2.75" customHeight="1" x14ac:dyDescent="0.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2.75" customHeight="1" x14ac:dyDescent="0.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2.75" customHeight="1" x14ac:dyDescent="0.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2.75" customHeight="1" x14ac:dyDescent="0.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2.75" customHeight="1" x14ac:dyDescent="0.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2.75" customHeight="1" x14ac:dyDescent="0.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2.75" customHeight="1" x14ac:dyDescent="0.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2.75" customHeight="1" x14ac:dyDescent="0.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2.75" customHeight="1" x14ac:dyDescent="0.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2.75" customHeight="1" x14ac:dyDescent="0.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2.75" customHeight="1" x14ac:dyDescent="0.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2.75" customHeight="1" x14ac:dyDescent="0.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2.75" customHeight="1" x14ac:dyDescent="0.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2.75" customHeight="1" x14ac:dyDescent="0.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2.75" customHeight="1" x14ac:dyDescent="0.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2.75" customHeight="1" x14ac:dyDescent="0.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2.75" customHeight="1" x14ac:dyDescent="0.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2.75" customHeight="1" x14ac:dyDescent="0.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2.75" customHeight="1" x14ac:dyDescent="0.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2.75" customHeight="1" x14ac:dyDescent="0.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2.75" customHeight="1" x14ac:dyDescent="0.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2.75" customHeight="1" x14ac:dyDescent="0.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2.75" customHeight="1" x14ac:dyDescent="0.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2.75" customHeight="1" x14ac:dyDescent="0.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2.75" customHeight="1" x14ac:dyDescent="0.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2.75" customHeight="1" x14ac:dyDescent="0.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2.75" customHeight="1" x14ac:dyDescent="0.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2.75" customHeight="1" x14ac:dyDescent="0.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2.75" customHeight="1" x14ac:dyDescent="0.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2.75" customHeight="1" x14ac:dyDescent="0.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2.75" customHeight="1" x14ac:dyDescent="0.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2.75" customHeight="1" x14ac:dyDescent="0.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2.75" customHeight="1" x14ac:dyDescent="0.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2.75" customHeight="1" x14ac:dyDescent="0.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5" right="0.75" top="1" bottom="1"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C066-F9DD-4E6D-988B-B9FC5602FE14}">
  <sheetPr codeName="Sheet12"/>
  <dimension ref="A1"/>
  <sheetViews>
    <sheetView tabSelected="1" workbookViewId="0">
      <selection activeCell="D29" sqref="D29"/>
    </sheetView>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49C50-0532-4340-8C61-31AC8E476089}">
  <sheetPr codeName="Sheet2"/>
  <dimension ref="A1:I65"/>
  <sheetViews>
    <sheetView topLeftCell="A4" workbookViewId="0">
      <selection activeCell="H14" sqref="H14"/>
    </sheetView>
  </sheetViews>
  <sheetFormatPr defaultRowHeight="15" x14ac:dyDescent="0.25"/>
  <cols>
    <col min="1" max="1" width="9.140625" style="83"/>
    <col min="2" max="2" width="27.5703125" style="83" bestFit="1" customWidth="1"/>
    <col min="3" max="3" width="54.140625" style="83" customWidth="1"/>
    <col min="4" max="4" width="11.5703125" style="83" bestFit="1" customWidth="1"/>
    <col min="5" max="7" width="9.140625" style="83"/>
    <col min="8" max="8" width="13.7109375" style="83" customWidth="1"/>
    <col min="9" max="9" width="11.5703125" style="83" bestFit="1" customWidth="1"/>
    <col min="10" max="16384" width="9.140625" style="83"/>
  </cols>
  <sheetData>
    <row r="1" spans="1:9" x14ac:dyDescent="0.25">
      <c r="A1" s="103"/>
      <c r="B1" s="103"/>
      <c r="C1" s="103"/>
      <c r="D1" s="103"/>
      <c r="E1" s="103"/>
      <c r="F1" s="103"/>
    </row>
    <row r="2" spans="1:9" x14ac:dyDescent="0.25">
      <c r="A2" s="103"/>
      <c r="B2" s="103"/>
      <c r="C2" s="103"/>
      <c r="D2" s="103"/>
      <c r="E2" s="103"/>
      <c r="F2" s="103"/>
    </row>
    <row r="3" spans="1:9" ht="30.75" customHeight="1" x14ac:dyDescent="0.35">
      <c r="A3" s="103"/>
      <c r="B3" s="107" t="s">
        <v>602</v>
      </c>
      <c r="C3" s="107"/>
      <c r="D3" s="107"/>
      <c r="E3" s="107"/>
      <c r="F3" s="103"/>
    </row>
    <row r="4" spans="1:9" ht="57" customHeight="1" x14ac:dyDescent="0.25">
      <c r="A4" s="103"/>
      <c r="B4" s="108" t="s">
        <v>601</v>
      </c>
      <c r="C4" s="108"/>
      <c r="D4" s="108"/>
      <c r="E4" s="108"/>
      <c r="F4" s="103"/>
    </row>
    <row r="5" spans="1:9" x14ac:dyDescent="0.25">
      <c r="A5" s="103"/>
      <c r="B5" s="103"/>
      <c r="C5" s="103"/>
      <c r="D5" s="103"/>
      <c r="E5" s="103"/>
      <c r="F5" s="103"/>
    </row>
    <row r="6" spans="1:9" ht="75" customHeight="1" x14ac:dyDescent="0.25">
      <c r="A6" s="103"/>
      <c r="B6" s="89" t="s">
        <v>600</v>
      </c>
      <c r="C6" s="108" t="s">
        <v>599</v>
      </c>
      <c r="D6" s="108"/>
      <c r="E6" s="108"/>
      <c r="F6" s="103"/>
      <c r="I6" s="162" t="s">
        <v>1195</v>
      </c>
    </row>
    <row r="7" spans="1:9" x14ac:dyDescent="0.25">
      <c r="A7" s="103"/>
      <c r="B7" s="103"/>
      <c r="C7" s="103"/>
      <c r="D7" s="103"/>
      <c r="E7" s="103"/>
      <c r="F7" s="103"/>
      <c r="I7" s="162" t="s">
        <v>1196</v>
      </c>
    </row>
    <row r="8" spans="1:9" ht="33" customHeight="1" x14ac:dyDescent="0.25">
      <c r="A8" s="103"/>
      <c r="B8" s="105" t="s">
        <v>598</v>
      </c>
      <c r="C8" s="105"/>
      <c r="D8" s="105"/>
      <c r="E8" s="105"/>
      <c r="F8" s="103"/>
      <c r="I8" s="162" t="s">
        <v>1197</v>
      </c>
    </row>
    <row r="9" spans="1:9" x14ac:dyDescent="0.25">
      <c r="A9" s="103"/>
      <c r="B9" s="88" t="s">
        <v>597</v>
      </c>
      <c r="C9" s="106" t="s">
        <v>596</v>
      </c>
      <c r="D9" s="106"/>
      <c r="E9" s="106"/>
      <c r="F9" s="103"/>
    </row>
    <row r="10" spans="1:9" x14ac:dyDescent="0.25">
      <c r="A10" s="103"/>
      <c r="B10" s="88" t="s">
        <v>595</v>
      </c>
      <c r="C10" s="106" t="s">
        <v>593</v>
      </c>
      <c r="D10" s="106"/>
      <c r="E10" s="106"/>
      <c r="F10" s="103"/>
    </row>
    <row r="11" spans="1:9" x14ac:dyDescent="0.25">
      <c r="A11" s="103"/>
      <c r="B11" s="88" t="s">
        <v>594</v>
      </c>
      <c r="C11" s="106" t="s">
        <v>593</v>
      </c>
      <c r="D11" s="106"/>
      <c r="E11" s="106"/>
      <c r="F11" s="103"/>
    </row>
    <row r="12" spans="1:9" x14ac:dyDescent="0.25">
      <c r="A12" s="103"/>
      <c r="B12" s="88" t="s">
        <v>592</v>
      </c>
      <c r="C12" s="106" t="s">
        <v>591</v>
      </c>
      <c r="D12" s="106"/>
      <c r="E12" s="106"/>
      <c r="F12" s="103"/>
    </row>
    <row r="13" spans="1:9" x14ac:dyDescent="0.25">
      <c r="A13" s="103"/>
      <c r="B13" s="103"/>
      <c r="C13" s="103"/>
      <c r="D13" s="103"/>
      <c r="E13" s="103"/>
      <c r="F13" s="103"/>
    </row>
    <row r="14" spans="1:9" ht="36" customHeight="1" x14ac:dyDescent="0.25">
      <c r="A14" s="103"/>
      <c r="B14" s="105" t="s">
        <v>590</v>
      </c>
      <c r="C14" s="105"/>
      <c r="D14" s="105"/>
      <c r="E14" s="105"/>
      <c r="F14" s="103"/>
    </row>
    <row r="15" spans="1:9" x14ac:dyDescent="0.25">
      <c r="A15" s="103"/>
      <c r="B15" s="88" t="s">
        <v>589</v>
      </c>
      <c r="C15" s="106" t="s">
        <v>588</v>
      </c>
      <c r="D15" s="106"/>
      <c r="E15" s="106"/>
      <c r="F15" s="103"/>
    </row>
    <row r="16" spans="1:9" x14ac:dyDescent="0.25">
      <c r="A16" s="103"/>
      <c r="B16" s="88" t="s">
        <v>587</v>
      </c>
      <c r="C16" s="106" t="s">
        <v>586</v>
      </c>
      <c r="D16" s="106"/>
      <c r="E16" s="106"/>
      <c r="F16" s="103"/>
    </row>
    <row r="17" spans="1:6" x14ac:dyDescent="0.25">
      <c r="A17" s="103"/>
      <c r="B17" s="88" t="s">
        <v>585</v>
      </c>
      <c r="C17" s="106" t="s">
        <v>584</v>
      </c>
      <c r="D17" s="106"/>
      <c r="E17" s="106"/>
      <c r="F17" s="103"/>
    </row>
    <row r="18" spans="1:6" x14ac:dyDescent="0.25">
      <c r="A18" s="103"/>
      <c r="B18" s="103"/>
      <c r="C18" s="103"/>
      <c r="D18" s="103"/>
      <c r="E18" s="103"/>
      <c r="F18" s="103"/>
    </row>
    <row r="19" spans="1:6" ht="36.75" customHeight="1" x14ac:dyDescent="0.25">
      <c r="A19" s="103"/>
      <c r="B19" s="104" t="s">
        <v>583</v>
      </c>
      <c r="C19" s="105"/>
      <c r="D19" s="105"/>
      <c r="E19" s="105"/>
      <c r="F19" s="103"/>
    </row>
    <row r="20" spans="1:6" x14ac:dyDescent="0.25">
      <c r="A20" s="103"/>
      <c r="B20" s="88" t="s">
        <v>582</v>
      </c>
      <c r="C20" s="106">
        <v>0</v>
      </c>
      <c r="D20" s="106"/>
      <c r="E20" s="106"/>
      <c r="F20" s="103"/>
    </row>
    <row r="21" spans="1:6" x14ac:dyDescent="0.25">
      <c r="A21" s="103"/>
      <c r="B21" s="88" t="s">
        <v>581</v>
      </c>
      <c r="C21" s="106">
        <v>0</v>
      </c>
      <c r="D21" s="106"/>
      <c r="E21" s="106"/>
      <c r="F21" s="103"/>
    </row>
    <row r="22" spans="1:6" x14ac:dyDescent="0.25">
      <c r="A22" s="103"/>
      <c r="B22" s="88" t="s">
        <v>580</v>
      </c>
      <c r="C22" s="106">
        <v>0</v>
      </c>
      <c r="D22" s="106"/>
      <c r="E22" s="106"/>
      <c r="F22" s="103"/>
    </row>
    <row r="23" spans="1:6" x14ac:dyDescent="0.25">
      <c r="A23" s="103"/>
      <c r="B23" s="88" t="s">
        <v>579</v>
      </c>
      <c r="C23" s="106">
        <v>0</v>
      </c>
      <c r="D23" s="106"/>
      <c r="E23" s="106"/>
      <c r="F23" s="103"/>
    </row>
    <row r="24" spans="1:6" x14ac:dyDescent="0.25">
      <c r="A24" s="103"/>
      <c r="B24" s="103"/>
      <c r="C24" s="103"/>
      <c r="D24" s="103"/>
      <c r="E24" s="103"/>
      <c r="F24" s="103"/>
    </row>
    <row r="25" spans="1:6" ht="31.5" customHeight="1" x14ac:dyDescent="0.25">
      <c r="A25" s="103"/>
      <c r="B25" s="104" t="s">
        <v>578</v>
      </c>
      <c r="C25" s="105"/>
      <c r="D25" s="105"/>
      <c r="E25" s="105"/>
      <c r="F25" s="103"/>
    </row>
    <row r="26" spans="1:6" x14ac:dyDescent="0.25">
      <c r="A26" s="103"/>
      <c r="B26" s="88" t="s">
        <v>577</v>
      </c>
      <c r="C26" s="106" t="s">
        <v>576</v>
      </c>
      <c r="D26" s="106"/>
      <c r="E26" s="106"/>
      <c r="F26" s="103"/>
    </row>
    <row r="27" spans="1:6" x14ac:dyDescent="0.25">
      <c r="A27" s="103"/>
      <c r="B27" s="88" t="s">
        <v>575</v>
      </c>
      <c r="C27" s="106" t="s">
        <v>574</v>
      </c>
      <c r="D27" s="106"/>
      <c r="E27" s="106"/>
      <c r="F27" s="103"/>
    </row>
    <row r="28" spans="1:6" x14ac:dyDescent="0.25">
      <c r="A28" s="103"/>
      <c r="B28" s="88" t="s">
        <v>573</v>
      </c>
      <c r="C28" s="106" t="s">
        <v>572</v>
      </c>
      <c r="D28" s="106"/>
      <c r="E28" s="106"/>
      <c r="F28" s="103"/>
    </row>
    <row r="29" spans="1:6" x14ac:dyDescent="0.25">
      <c r="A29" s="103"/>
      <c r="B29" s="88" t="s">
        <v>571</v>
      </c>
      <c r="C29" s="106" t="s">
        <v>569</v>
      </c>
      <c r="D29" s="106"/>
      <c r="E29" s="106"/>
      <c r="F29" s="103"/>
    </row>
    <row r="30" spans="1:6" x14ac:dyDescent="0.25">
      <c r="A30" s="103"/>
      <c r="B30" s="88" t="s">
        <v>570</v>
      </c>
      <c r="C30" s="106" t="s">
        <v>569</v>
      </c>
      <c r="D30" s="106"/>
      <c r="E30" s="106"/>
      <c r="F30" s="103"/>
    </row>
    <row r="31" spans="1:6" x14ac:dyDescent="0.25">
      <c r="A31" s="103"/>
      <c r="B31" s="103"/>
      <c r="C31" s="103"/>
      <c r="D31" s="103"/>
      <c r="E31" s="103"/>
      <c r="F31" s="103"/>
    </row>
    <row r="32" spans="1:6" ht="32.25" customHeight="1" x14ac:dyDescent="0.25">
      <c r="A32" s="103"/>
      <c r="B32" s="104" t="s">
        <v>568</v>
      </c>
      <c r="C32" s="105"/>
      <c r="D32" s="105"/>
      <c r="E32" s="105"/>
      <c r="F32" s="103"/>
    </row>
    <row r="33" spans="1:6" x14ac:dyDescent="0.25">
      <c r="A33" s="103"/>
      <c r="B33" s="87" t="s">
        <v>567</v>
      </c>
      <c r="C33" s="86" t="s">
        <v>566</v>
      </c>
      <c r="D33" s="100">
        <v>7.0000000000000007E-2</v>
      </c>
      <c r="E33" s="100"/>
      <c r="F33" s="103"/>
    </row>
    <row r="34" spans="1:6" x14ac:dyDescent="0.25">
      <c r="A34" s="103"/>
      <c r="B34" s="87" t="s">
        <v>565</v>
      </c>
      <c r="C34" s="86" t="s">
        <v>564</v>
      </c>
      <c r="D34" s="100">
        <v>0.05</v>
      </c>
      <c r="E34" s="100"/>
      <c r="F34" s="103"/>
    </row>
    <row r="35" spans="1:6" x14ac:dyDescent="0.25">
      <c r="A35" s="103"/>
      <c r="B35" s="87" t="s">
        <v>563</v>
      </c>
      <c r="C35" s="86" t="s">
        <v>562</v>
      </c>
      <c r="D35" s="100">
        <v>7.0000000000000007E-2</v>
      </c>
      <c r="E35" s="100"/>
      <c r="F35" s="103"/>
    </row>
    <row r="36" spans="1:6" x14ac:dyDescent="0.25">
      <c r="A36" s="103"/>
      <c r="B36" s="87" t="s">
        <v>561</v>
      </c>
      <c r="C36" s="86" t="s">
        <v>560</v>
      </c>
      <c r="D36" s="100">
        <v>0.05</v>
      </c>
      <c r="E36" s="100"/>
      <c r="F36" s="103"/>
    </row>
    <row r="37" spans="1:6" x14ac:dyDescent="0.25">
      <c r="A37" s="103"/>
      <c r="B37" s="87" t="s">
        <v>559</v>
      </c>
      <c r="C37" s="86" t="s">
        <v>558</v>
      </c>
      <c r="D37" s="100">
        <v>0.05</v>
      </c>
      <c r="E37" s="100"/>
      <c r="F37" s="103"/>
    </row>
    <row r="38" spans="1:6" x14ac:dyDescent="0.25">
      <c r="A38" s="103"/>
      <c r="B38" s="87" t="s">
        <v>557</v>
      </c>
      <c r="C38" s="86" t="s">
        <v>556</v>
      </c>
      <c r="D38" s="100">
        <v>0.05</v>
      </c>
      <c r="E38" s="100"/>
      <c r="F38" s="103"/>
    </row>
    <row r="39" spans="1:6" x14ac:dyDescent="0.25">
      <c r="A39" s="103"/>
      <c r="B39" s="87" t="s">
        <v>555</v>
      </c>
      <c r="C39" s="86" t="s">
        <v>554</v>
      </c>
      <c r="D39" s="100">
        <v>0.05</v>
      </c>
      <c r="E39" s="100"/>
      <c r="F39" s="103"/>
    </row>
    <row r="40" spans="1:6" x14ac:dyDescent="0.25">
      <c r="A40" s="103"/>
      <c r="B40" s="87" t="s">
        <v>553</v>
      </c>
      <c r="C40" s="86" t="s">
        <v>552</v>
      </c>
      <c r="D40" s="100">
        <v>0.05</v>
      </c>
      <c r="E40" s="100"/>
      <c r="F40" s="103"/>
    </row>
    <row r="41" spans="1:6" x14ac:dyDescent="0.25">
      <c r="A41" s="103"/>
      <c r="B41" s="87" t="s">
        <v>551</v>
      </c>
      <c r="C41" s="86" t="s">
        <v>550</v>
      </c>
      <c r="D41" s="100">
        <v>0.05</v>
      </c>
      <c r="E41" s="100"/>
      <c r="F41" s="103"/>
    </row>
    <row r="42" spans="1:6" x14ac:dyDescent="0.25">
      <c r="A42" s="103"/>
      <c r="B42" s="87" t="s">
        <v>549</v>
      </c>
      <c r="C42" s="86" t="s">
        <v>548</v>
      </c>
      <c r="D42" s="100">
        <v>0.1</v>
      </c>
      <c r="E42" s="100"/>
      <c r="F42" s="103"/>
    </row>
    <row r="43" spans="1:6" x14ac:dyDescent="0.25">
      <c r="A43" s="103"/>
      <c r="B43" s="87" t="s">
        <v>547</v>
      </c>
      <c r="C43" s="86" t="s">
        <v>546</v>
      </c>
      <c r="D43" s="100">
        <v>7.0000000000000007E-2</v>
      </c>
      <c r="E43" s="100"/>
      <c r="F43" s="103"/>
    </row>
    <row r="44" spans="1:6" x14ac:dyDescent="0.25">
      <c r="A44" s="103"/>
      <c r="B44" s="87" t="s">
        <v>545</v>
      </c>
      <c r="C44" s="86" t="s">
        <v>544</v>
      </c>
      <c r="D44" s="100">
        <v>0.08</v>
      </c>
      <c r="E44" s="100"/>
      <c r="F44" s="103"/>
    </row>
    <row r="45" spans="1:6" x14ac:dyDescent="0.25">
      <c r="A45" s="103"/>
      <c r="B45" s="87" t="s">
        <v>543</v>
      </c>
      <c r="C45" s="86" t="s">
        <v>542</v>
      </c>
      <c r="D45" s="100">
        <v>7.0000000000000007E-2</v>
      </c>
      <c r="E45" s="100"/>
      <c r="F45" s="103"/>
    </row>
    <row r="46" spans="1:6" x14ac:dyDescent="0.25">
      <c r="A46" s="103"/>
      <c r="B46" s="87" t="s">
        <v>541</v>
      </c>
      <c r="C46" s="86" t="s">
        <v>540</v>
      </c>
      <c r="D46" s="100">
        <v>0.05</v>
      </c>
      <c r="E46" s="100"/>
      <c r="F46" s="103"/>
    </row>
    <row r="47" spans="1:6" x14ac:dyDescent="0.25">
      <c r="A47" s="103"/>
      <c r="B47" s="87" t="s">
        <v>539</v>
      </c>
      <c r="C47" s="86" t="s">
        <v>538</v>
      </c>
      <c r="D47" s="100">
        <v>0.08</v>
      </c>
      <c r="E47" s="100"/>
      <c r="F47" s="103"/>
    </row>
    <row r="48" spans="1:6" x14ac:dyDescent="0.25">
      <c r="A48" s="103"/>
      <c r="B48" s="87" t="s">
        <v>537</v>
      </c>
      <c r="C48" s="86" t="s">
        <v>536</v>
      </c>
      <c r="D48" s="100">
        <v>0.06</v>
      </c>
      <c r="E48" s="100"/>
      <c r="F48" s="103"/>
    </row>
    <row r="49" spans="1:6" x14ac:dyDescent="0.25">
      <c r="A49" s="103"/>
      <c r="B49" s="87" t="s">
        <v>535</v>
      </c>
      <c r="C49" s="86" t="s">
        <v>534</v>
      </c>
      <c r="D49" s="100">
        <v>0.05</v>
      </c>
      <c r="E49" s="100"/>
      <c r="F49" s="103"/>
    </row>
    <row r="50" spans="1:6" x14ac:dyDescent="0.25">
      <c r="A50" s="103"/>
      <c r="B50" s="87" t="s">
        <v>533</v>
      </c>
      <c r="C50" s="86" t="s">
        <v>532</v>
      </c>
      <c r="D50" s="100">
        <v>0.08</v>
      </c>
      <c r="E50" s="100"/>
      <c r="F50" s="103"/>
    </row>
    <row r="51" spans="1:6" x14ac:dyDescent="0.25">
      <c r="A51" s="103"/>
      <c r="B51" s="87" t="s">
        <v>531</v>
      </c>
      <c r="C51" s="86" t="s">
        <v>530</v>
      </c>
      <c r="D51" s="100">
        <v>0.1</v>
      </c>
      <c r="E51" s="100"/>
      <c r="F51" s="103"/>
    </row>
    <row r="52" spans="1:6" x14ac:dyDescent="0.25">
      <c r="A52" s="103"/>
      <c r="B52" s="87" t="s">
        <v>529</v>
      </c>
      <c r="C52" s="86" t="s">
        <v>528</v>
      </c>
      <c r="D52" s="100">
        <v>7.0000000000000007E-2</v>
      </c>
      <c r="E52" s="100"/>
      <c r="F52" s="103"/>
    </row>
    <row r="53" spans="1:6" x14ac:dyDescent="0.25">
      <c r="A53" s="103"/>
      <c r="B53" s="87" t="s">
        <v>527</v>
      </c>
      <c r="C53" s="86" t="s">
        <v>526</v>
      </c>
      <c r="D53" s="100">
        <v>7.0000000000000007E-2</v>
      </c>
      <c r="E53" s="100"/>
      <c r="F53" s="103"/>
    </row>
    <row r="54" spans="1:6" x14ac:dyDescent="0.25">
      <c r="A54" s="103"/>
      <c r="B54" s="87" t="s">
        <v>525</v>
      </c>
      <c r="C54" s="86" t="s">
        <v>524</v>
      </c>
      <c r="D54" s="100">
        <v>0.1</v>
      </c>
      <c r="E54" s="100"/>
      <c r="F54" s="103"/>
    </row>
    <row r="55" spans="1:6" x14ac:dyDescent="0.25">
      <c r="A55" s="103"/>
      <c r="B55" s="87" t="s">
        <v>523</v>
      </c>
      <c r="C55" s="86" t="s">
        <v>522</v>
      </c>
      <c r="D55" s="100">
        <v>0.1</v>
      </c>
      <c r="E55" s="100"/>
      <c r="F55" s="103"/>
    </row>
    <row r="56" spans="1:6" x14ac:dyDescent="0.25">
      <c r="A56" s="103"/>
      <c r="B56" s="87" t="s">
        <v>521</v>
      </c>
      <c r="C56" s="86" t="s">
        <v>520</v>
      </c>
      <c r="D56" s="100">
        <v>0.06</v>
      </c>
      <c r="E56" s="100"/>
      <c r="F56" s="103"/>
    </row>
    <row r="57" spans="1:6" x14ac:dyDescent="0.25">
      <c r="A57" s="103"/>
      <c r="B57" s="87" t="s">
        <v>519</v>
      </c>
      <c r="C57" s="86" t="s">
        <v>518</v>
      </c>
      <c r="D57" s="100">
        <v>0.08</v>
      </c>
      <c r="E57" s="100"/>
      <c r="F57" s="103"/>
    </row>
    <row r="58" spans="1:6" x14ac:dyDescent="0.25">
      <c r="A58" s="103"/>
      <c r="B58" s="87" t="s">
        <v>517</v>
      </c>
      <c r="C58" s="86" t="s">
        <v>516</v>
      </c>
      <c r="D58" s="100">
        <v>0.06</v>
      </c>
      <c r="E58" s="100"/>
      <c r="F58" s="103"/>
    </row>
    <row r="59" spans="1:6" x14ac:dyDescent="0.25">
      <c r="A59" s="103"/>
      <c r="B59" s="87" t="s">
        <v>515</v>
      </c>
      <c r="C59" s="86" t="s">
        <v>514</v>
      </c>
      <c r="D59" s="100">
        <v>0.1</v>
      </c>
      <c r="E59" s="100"/>
      <c r="F59" s="103"/>
    </row>
    <row r="60" spans="1:6" x14ac:dyDescent="0.25">
      <c r="A60" s="103"/>
      <c r="B60" s="87" t="s">
        <v>513</v>
      </c>
      <c r="C60" s="86" t="s">
        <v>512</v>
      </c>
      <c r="D60" s="100">
        <v>0.05</v>
      </c>
      <c r="E60" s="100"/>
      <c r="F60" s="103"/>
    </row>
    <row r="61" spans="1:6" x14ac:dyDescent="0.25">
      <c r="A61" s="103"/>
      <c r="B61" s="87" t="s">
        <v>511</v>
      </c>
      <c r="C61" s="86" t="s">
        <v>510</v>
      </c>
      <c r="D61" s="101">
        <v>0.05</v>
      </c>
      <c r="E61" s="102"/>
      <c r="F61" s="103"/>
    </row>
    <row r="62" spans="1:6" x14ac:dyDescent="0.25">
      <c r="A62" s="103"/>
      <c r="B62" s="87" t="s">
        <v>509</v>
      </c>
      <c r="C62" s="86" t="s">
        <v>508</v>
      </c>
      <c r="D62" s="100">
        <v>0.05</v>
      </c>
      <c r="E62" s="100"/>
      <c r="F62" s="103"/>
    </row>
    <row r="63" spans="1:6" x14ac:dyDescent="0.25">
      <c r="A63" s="103"/>
      <c r="B63" s="87" t="s">
        <v>507</v>
      </c>
      <c r="C63" s="86" t="s">
        <v>506</v>
      </c>
      <c r="D63" s="100">
        <v>0.1</v>
      </c>
      <c r="E63" s="100"/>
      <c r="F63" s="103"/>
    </row>
    <row r="64" spans="1:6" x14ac:dyDescent="0.25">
      <c r="A64" s="103"/>
      <c r="B64" s="85" t="s">
        <v>505</v>
      </c>
      <c r="C64" s="84"/>
      <c r="D64" s="100">
        <v>0.05</v>
      </c>
      <c r="E64" s="100"/>
      <c r="F64" s="103"/>
    </row>
    <row r="65" spans="1:6" x14ac:dyDescent="0.25">
      <c r="A65" s="103"/>
      <c r="B65" s="103"/>
      <c r="C65" s="103"/>
      <c r="D65" s="103"/>
      <c r="E65" s="103"/>
      <c r="F65" s="103"/>
    </row>
  </sheetData>
  <mergeCells count="66">
    <mergeCell ref="C29:E29"/>
    <mergeCell ref="B25:E25"/>
    <mergeCell ref="B1:E2"/>
    <mergeCell ref="C15:E15"/>
    <mergeCell ref="C17:E17"/>
    <mergeCell ref="B8:E8"/>
    <mergeCell ref="B14:E14"/>
    <mergeCell ref="B3:E3"/>
    <mergeCell ref="B4:E4"/>
    <mergeCell ref="B5:E5"/>
    <mergeCell ref="B13:E13"/>
    <mergeCell ref="C6:E6"/>
    <mergeCell ref="C9:E9"/>
    <mergeCell ref="C12:E12"/>
    <mergeCell ref="B31:E31"/>
    <mergeCell ref="C10:E10"/>
    <mergeCell ref="C11:E11"/>
    <mergeCell ref="B7:E7"/>
    <mergeCell ref="C16:E16"/>
    <mergeCell ref="B19:E19"/>
    <mergeCell ref="C23:E23"/>
    <mergeCell ref="B18:E18"/>
    <mergeCell ref="C30:E30"/>
    <mergeCell ref="C20:E20"/>
    <mergeCell ref="C21:E21"/>
    <mergeCell ref="C22:E22"/>
    <mergeCell ref="C26:E26"/>
    <mergeCell ref="C27:E27"/>
    <mergeCell ref="C28:E28"/>
    <mergeCell ref="B24:E24"/>
    <mergeCell ref="B65:E65"/>
    <mergeCell ref="A1:A65"/>
    <mergeCell ref="F1:F65"/>
    <mergeCell ref="D33:E33"/>
    <mergeCell ref="D34:E34"/>
    <mergeCell ref="D35:E35"/>
    <mergeCell ref="D36:E36"/>
    <mergeCell ref="D37:E37"/>
    <mergeCell ref="D38:E38"/>
    <mergeCell ref="D39:E39"/>
    <mergeCell ref="D43:E43"/>
    <mergeCell ref="D44:E44"/>
    <mergeCell ref="D45:E45"/>
    <mergeCell ref="D46:E46"/>
    <mergeCell ref="D47:E47"/>
    <mergeCell ref="B32:E32"/>
    <mergeCell ref="D40:E40"/>
    <mergeCell ref="D41:E41"/>
    <mergeCell ref="D42:E42"/>
    <mergeCell ref="D53:E53"/>
    <mergeCell ref="D54:E54"/>
    <mergeCell ref="D55:E55"/>
    <mergeCell ref="D56:E56"/>
    <mergeCell ref="D57:E57"/>
    <mergeCell ref="D48:E48"/>
    <mergeCell ref="D49:E49"/>
    <mergeCell ref="D50:E50"/>
    <mergeCell ref="D51:E51"/>
    <mergeCell ref="D52:E52"/>
    <mergeCell ref="D64:E64"/>
    <mergeCell ref="D58:E58"/>
    <mergeCell ref="D59:E59"/>
    <mergeCell ref="D60:E60"/>
    <mergeCell ref="D62:E62"/>
    <mergeCell ref="D63:E63"/>
    <mergeCell ref="D61:E6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E3EB9-7ACD-4D1F-98CA-8108503ABB60}">
  <sheetPr codeName="Sheet3"/>
  <dimension ref="A1:M33"/>
  <sheetViews>
    <sheetView zoomScale="85" zoomScaleNormal="85" workbookViewId="0">
      <selection activeCell="G23" sqref="G23"/>
    </sheetView>
  </sheetViews>
  <sheetFormatPr defaultRowHeight="15" x14ac:dyDescent="0.25"/>
  <cols>
    <col min="1" max="1" width="16.28515625" style="109" bestFit="1" customWidth="1"/>
    <col min="2" max="2" width="14.42578125" style="109" customWidth="1"/>
    <col min="3" max="3" width="28" style="109" bestFit="1" customWidth="1"/>
    <col min="4" max="4" width="21.5703125" style="109" bestFit="1" customWidth="1"/>
    <col min="5" max="5" width="12.85546875" style="109" customWidth="1"/>
    <col min="6" max="6" width="23.140625" style="109" bestFit="1" customWidth="1"/>
    <col min="7" max="7" width="17.85546875" style="109" bestFit="1" customWidth="1"/>
    <col min="8" max="8" width="19" style="109" bestFit="1" customWidth="1"/>
    <col min="9" max="9" width="18.140625" style="109" customWidth="1"/>
    <col min="10" max="10" width="17.42578125" style="109" bestFit="1" customWidth="1"/>
    <col min="11" max="11" width="21.140625" style="109" customWidth="1"/>
    <col min="12" max="12" width="21.85546875" style="109" bestFit="1" customWidth="1"/>
    <col min="13" max="13" width="18" style="109" customWidth="1"/>
    <col min="14" max="16384" width="9.140625" style="109"/>
  </cols>
  <sheetData>
    <row r="1" spans="1:13" ht="15.75" thickBot="1" x14ac:dyDescent="0.3"/>
    <row r="2" spans="1:13" ht="19.5" customHeight="1" thickBot="1" x14ac:dyDescent="0.3">
      <c r="A2" s="161" t="s">
        <v>613</v>
      </c>
      <c r="B2" s="160"/>
      <c r="E2" s="154"/>
      <c r="F2" s="154"/>
      <c r="G2" s="154"/>
      <c r="H2" s="154"/>
      <c r="I2" s="154"/>
      <c r="L2" s="161" t="s">
        <v>612</v>
      </c>
      <c r="M2" s="160"/>
    </row>
    <row r="3" spans="1:13" ht="18.75" customHeight="1" x14ac:dyDescent="0.3">
      <c r="A3" s="159" t="s">
        <v>611</v>
      </c>
      <c r="B3" s="158">
        <v>0.17499999999999999</v>
      </c>
      <c r="E3" s="154"/>
      <c r="F3" s="154"/>
      <c r="G3" s="154"/>
      <c r="H3" s="154"/>
      <c r="I3" s="154"/>
      <c r="L3" s="157" t="s">
        <v>604</v>
      </c>
      <c r="M3" s="156">
        <f>Table3[Sales Total]</f>
        <v>1531.8142857142859</v>
      </c>
    </row>
    <row r="4" spans="1:13" ht="18.75" customHeight="1" x14ac:dyDescent="0.3">
      <c r="A4" s="148" t="s">
        <v>610</v>
      </c>
      <c r="B4" s="147">
        <v>0.2</v>
      </c>
      <c r="E4" s="154"/>
      <c r="F4" s="154"/>
      <c r="G4" s="154"/>
      <c r="H4" s="154"/>
      <c r="I4" s="154"/>
      <c r="L4" s="153" t="s">
        <v>1176</v>
      </c>
      <c r="M4" s="155">
        <f>Table3[QTY]*Table3[Material Cost Per Unit]</f>
        <v>320.45357142857142</v>
      </c>
    </row>
    <row r="5" spans="1:13" ht="18.75" customHeight="1" x14ac:dyDescent="0.3">
      <c r="A5" s="148" t="s">
        <v>1194</v>
      </c>
      <c r="B5" s="147">
        <v>0</v>
      </c>
      <c r="E5" s="154"/>
      <c r="F5" s="154"/>
      <c r="G5" s="154"/>
      <c r="H5" s="154"/>
      <c r="I5" s="154"/>
      <c r="L5" s="153" t="s">
        <v>608</v>
      </c>
      <c r="M5" s="152">
        <f>(M3-M4)/M3</f>
        <v>0.79080129071968819</v>
      </c>
    </row>
    <row r="6" spans="1:13" ht="19.5" thickBot="1" x14ac:dyDescent="0.35">
      <c r="A6" s="148" t="s">
        <v>1193</v>
      </c>
      <c r="B6" s="151">
        <v>250</v>
      </c>
      <c r="L6" s="150" t="s">
        <v>607</v>
      </c>
      <c r="M6" s="149">
        <f>M3-M4</f>
        <v>1211.3607142857145</v>
      </c>
    </row>
    <row r="7" spans="1:13" x14ac:dyDescent="0.25">
      <c r="A7" s="148" t="s">
        <v>609</v>
      </c>
      <c r="B7" s="147">
        <v>0.1</v>
      </c>
    </row>
    <row r="8" spans="1:13" ht="36.75" customHeight="1" thickBot="1" x14ac:dyDescent="0.3">
      <c r="A8" s="146"/>
      <c r="B8" s="111"/>
      <c r="C8" s="121" t="s">
        <v>1192</v>
      </c>
      <c r="D8" s="121"/>
      <c r="E8" s="121"/>
      <c r="F8" s="121"/>
      <c r="G8" s="121"/>
      <c r="H8" s="121"/>
      <c r="I8" s="121"/>
      <c r="J8" s="121"/>
      <c r="K8" s="121"/>
      <c r="L8" s="122"/>
    </row>
    <row r="9" spans="1:13" ht="15" customHeight="1" x14ac:dyDescent="0.25">
      <c r="A9" s="132"/>
      <c r="B9" s="111"/>
      <c r="C9" s="145" t="s">
        <v>1186</v>
      </c>
      <c r="D9" s="144" t="s">
        <v>1191</v>
      </c>
      <c r="E9" s="144" t="s">
        <v>1190</v>
      </c>
      <c r="F9" s="144" t="s">
        <v>328</v>
      </c>
      <c r="G9" s="144" t="s">
        <v>329</v>
      </c>
      <c r="H9" s="144" t="s">
        <v>327</v>
      </c>
      <c r="I9" s="143" t="s">
        <v>1189</v>
      </c>
      <c r="K9" s="122"/>
    </row>
    <row r="10" spans="1:13" ht="15" customHeight="1" x14ac:dyDescent="0.25">
      <c r="A10" s="132"/>
      <c r="B10" s="111"/>
      <c r="C10" s="142" t="s">
        <v>326</v>
      </c>
      <c r="D10" s="109" t="s">
        <v>1188</v>
      </c>
      <c r="E10" s="141">
        <v>0.375</v>
      </c>
      <c r="F10" s="140">
        <v>36</v>
      </c>
      <c r="G10" s="140">
        <v>720</v>
      </c>
      <c r="H10" s="139">
        <v>489.42</v>
      </c>
      <c r="I10" s="138">
        <f>H10*(1+(B3+B4))</f>
        <v>672.95249999999999</v>
      </c>
      <c r="K10" s="137"/>
    </row>
    <row r="11" spans="1:13" ht="15" customHeight="1" x14ac:dyDescent="0.25">
      <c r="A11" s="132"/>
      <c r="B11" s="111"/>
      <c r="C11" s="136" t="s">
        <v>330</v>
      </c>
      <c r="D11" s="136" t="s">
        <v>1187</v>
      </c>
      <c r="E11" s="135"/>
      <c r="F11" s="127">
        <v>40</v>
      </c>
      <c r="G11" s="127">
        <v>9000</v>
      </c>
      <c r="H11" s="134">
        <v>288.75</v>
      </c>
      <c r="I11" s="133">
        <f>H11</f>
        <v>288.75</v>
      </c>
      <c r="K11" s="122"/>
    </row>
    <row r="12" spans="1:13" ht="15" customHeight="1" x14ac:dyDescent="0.25">
      <c r="A12" s="132"/>
      <c r="B12" s="111"/>
      <c r="H12" s="123"/>
      <c r="I12" s="123"/>
      <c r="J12" s="123"/>
      <c r="L12" s="122"/>
    </row>
    <row r="13" spans="1:13" ht="15" customHeight="1" x14ac:dyDescent="0.25">
      <c r="A13" s="132"/>
      <c r="B13" s="111"/>
      <c r="H13" s="123"/>
      <c r="I13" s="123"/>
      <c r="J13" s="123"/>
      <c r="L13" s="122"/>
    </row>
    <row r="14" spans="1:13" ht="15" customHeight="1" x14ac:dyDescent="0.25">
      <c r="A14" s="132"/>
      <c r="B14" s="111"/>
      <c r="H14" s="123"/>
      <c r="I14" s="123"/>
      <c r="J14" s="123"/>
      <c r="L14" s="122"/>
    </row>
    <row r="15" spans="1:13" ht="15" customHeight="1" x14ac:dyDescent="0.25">
      <c r="A15" s="132"/>
      <c r="B15" s="111"/>
      <c r="C15" s="131" t="s">
        <v>1186</v>
      </c>
      <c r="D15" s="130" t="s">
        <v>606</v>
      </c>
      <c r="E15" s="130"/>
      <c r="F15" s="130" t="s">
        <v>1185</v>
      </c>
      <c r="G15" s="130" t="s">
        <v>338</v>
      </c>
      <c r="H15" s="130" t="s">
        <v>1184</v>
      </c>
      <c r="I15" s="130" t="s">
        <v>1183</v>
      </c>
      <c r="J15" s="129" t="s">
        <v>1176</v>
      </c>
      <c r="K15" s="129" t="s">
        <v>1182</v>
      </c>
    </row>
    <row r="16" spans="1:13" ht="18" customHeight="1" x14ac:dyDescent="0.25">
      <c r="B16" s="111"/>
      <c r="C16" s="128" t="s">
        <v>1181</v>
      </c>
      <c r="D16" s="118" t="s">
        <v>1175</v>
      </c>
      <c r="E16" s="118"/>
      <c r="F16" s="127">
        <v>2.5</v>
      </c>
      <c r="G16" s="127">
        <v>120</v>
      </c>
      <c r="H16" s="127">
        <v>0</v>
      </c>
      <c r="I16" s="126">
        <f>(ROUNDDOWN(F10/(F16+B5),0)*(ROUNDDOWN(G10/(G16+B5),0)))</f>
        <v>84</v>
      </c>
      <c r="J16" s="125">
        <f>((H10/ZCONVERT!$I16)+(((ZCONVERT!$F16+B5)*(ZCONVERT!$G16+B5)/(F11*G11))*H11)*H16)</f>
        <v>5.826428571428572</v>
      </c>
      <c r="K16" s="124">
        <f>((I10/ZCONVERT!$I16)+(((ZCONVERT!$F16+B5)*(ZCONVERT!$G16+B5)/(F11*G11))*H11)*H16)</f>
        <v>8.0113392857142856</v>
      </c>
    </row>
    <row r="17" spans="2:12" ht="18" customHeight="1" x14ac:dyDescent="0.25">
      <c r="B17" s="111"/>
      <c r="I17" s="113"/>
      <c r="J17" s="113"/>
      <c r="K17" s="113"/>
      <c r="L17" s="122"/>
    </row>
    <row r="18" spans="2:12" ht="15" customHeight="1" x14ac:dyDescent="0.25">
      <c r="B18" s="111"/>
      <c r="F18" s="123"/>
      <c r="G18" s="123"/>
      <c r="L18" s="122"/>
    </row>
    <row r="19" spans="2:12" ht="15" customHeight="1" x14ac:dyDescent="0.25">
      <c r="B19" s="111"/>
      <c r="F19" s="123"/>
      <c r="G19" s="123"/>
      <c r="L19" s="122"/>
    </row>
    <row r="20" spans="2:12" ht="15" customHeight="1" x14ac:dyDescent="0.25">
      <c r="B20" s="111"/>
      <c r="L20" s="122"/>
    </row>
    <row r="21" spans="2:12" ht="39" customHeight="1" x14ac:dyDescent="0.25">
      <c r="B21" s="121" t="s">
        <v>1180</v>
      </c>
      <c r="C21" s="121"/>
      <c r="D21" s="121"/>
      <c r="E21" s="121"/>
      <c r="F21" s="121"/>
      <c r="G21" s="121"/>
      <c r="H21" s="121"/>
      <c r="I21" s="121"/>
      <c r="J21" s="121"/>
      <c r="K21" s="121"/>
      <c r="L21" s="110"/>
    </row>
    <row r="22" spans="2:12" ht="30" x14ac:dyDescent="0.25">
      <c r="B22" s="111"/>
      <c r="C22" s="119" t="s">
        <v>606</v>
      </c>
      <c r="D22" s="119" t="s">
        <v>605</v>
      </c>
      <c r="E22" s="120" t="s">
        <v>1179</v>
      </c>
      <c r="F22" s="119" t="s">
        <v>1178</v>
      </c>
      <c r="G22" s="119" t="s">
        <v>1177</v>
      </c>
      <c r="H22" s="119" t="s">
        <v>604</v>
      </c>
      <c r="I22" s="119" t="s">
        <v>1176</v>
      </c>
      <c r="J22" s="119" t="s">
        <v>603</v>
      </c>
    </row>
    <row r="23" spans="2:12" ht="15" customHeight="1" x14ac:dyDescent="0.25">
      <c r="B23" s="111"/>
      <c r="C23" s="118" t="s">
        <v>1198</v>
      </c>
      <c r="D23" s="117">
        <v>40</v>
      </c>
      <c r="E23" s="116">
        <f>K16</f>
        <v>8.0113392857142856</v>
      </c>
      <c r="F23" s="115">
        <v>0.65</v>
      </c>
      <c r="G23" s="114">
        <f>(-Table3[[#This Row],[Material Cost Per Unit]])/(Table3[[#This Row],[True Target Margin]]-1+B7)+(B6/Table3[[#This Row],[QTY]])</f>
        <v>38.295357142857149</v>
      </c>
      <c r="H23" s="113">
        <f>Table3[[#This Row],[Sell Price]]*Table3[[#This Row],[QTY]]</f>
        <v>1531.8142857142859</v>
      </c>
      <c r="I23" s="113">
        <f>ZCONVERT!$E$23*Table3[[#This Row],[QTY]]</f>
        <v>320.45357142857142</v>
      </c>
      <c r="J23" s="112">
        <f>Table3[[#This Row],[Sales Total]]-Table3[[#This Row],[Material Cost]]</f>
        <v>1211.3607142857145</v>
      </c>
    </row>
    <row r="24" spans="2:12" ht="15" customHeight="1" x14ac:dyDescent="0.25">
      <c r="B24" s="111"/>
      <c r="L24" s="110"/>
    </row>
    <row r="25" spans="2:12" ht="15" customHeight="1" x14ac:dyDescent="0.25">
      <c r="B25" s="111"/>
    </row>
    <row r="26" spans="2:12" ht="15" customHeight="1" x14ac:dyDescent="0.25">
      <c r="B26" s="111"/>
    </row>
    <row r="27" spans="2:12" ht="15" customHeight="1" x14ac:dyDescent="0.25">
      <c r="B27" s="111"/>
      <c r="L27" s="110"/>
    </row>
    <row r="28" spans="2:12" ht="15" customHeight="1" x14ac:dyDescent="0.25">
      <c r="B28" s="111"/>
      <c r="L28" s="110"/>
    </row>
    <row r="29" spans="2:12" ht="15" customHeight="1" x14ac:dyDescent="0.25">
      <c r="B29" s="111"/>
      <c r="L29" s="110"/>
    </row>
    <row r="30" spans="2:12" ht="15" customHeight="1" x14ac:dyDescent="0.25">
      <c r="B30" s="111"/>
      <c r="L30" s="110"/>
    </row>
    <row r="31" spans="2:12" ht="15" customHeight="1" x14ac:dyDescent="0.25">
      <c r="B31" s="111"/>
      <c r="L31" s="110"/>
    </row>
    <row r="32" spans="2:12" ht="15" customHeight="1" x14ac:dyDescent="0.25">
      <c r="B32" s="111"/>
      <c r="L32" s="110"/>
    </row>
    <row r="33" spans="2:12" ht="15" customHeight="1" x14ac:dyDescent="0.25">
      <c r="B33" s="111"/>
      <c r="L33" s="110"/>
    </row>
  </sheetData>
  <mergeCells count="6">
    <mergeCell ref="A2:B2"/>
    <mergeCell ref="B8:B20"/>
    <mergeCell ref="B22:B33"/>
    <mergeCell ref="C8:K8"/>
    <mergeCell ref="L2:M2"/>
    <mergeCell ref="B21:K21"/>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V1474"/>
  <sheetViews>
    <sheetView workbookViewId="0">
      <selection activeCell="Q17" sqref="Q17"/>
    </sheetView>
  </sheetViews>
  <sheetFormatPr defaultColWidth="14.42578125" defaultRowHeight="15" customHeight="1" x14ac:dyDescent="0.2"/>
  <cols>
    <col min="1" max="1" width="38.28515625" customWidth="1"/>
    <col min="2" max="2" width="34.7109375" customWidth="1"/>
    <col min="3" max="3" width="30" customWidth="1"/>
    <col min="4" max="4" width="32.85546875" customWidth="1"/>
    <col min="5" max="5" width="53" customWidth="1"/>
    <col min="6" max="6" width="20.140625" customWidth="1"/>
    <col min="7" max="7" width="32" customWidth="1"/>
    <col min="8" max="9" width="30.85546875" customWidth="1"/>
    <col min="10" max="10" width="26" customWidth="1"/>
    <col min="11" max="11" width="47.85546875" customWidth="1"/>
    <col min="12" max="12" width="62.42578125" customWidth="1"/>
    <col min="13" max="13" width="40" customWidth="1"/>
    <col min="14" max="14" width="26" customWidth="1"/>
    <col min="15" max="15" width="57.85546875" customWidth="1"/>
    <col min="16" max="16" width="28" customWidth="1"/>
    <col min="17" max="17" width="38.140625" customWidth="1"/>
    <col min="18" max="18" width="41.42578125" customWidth="1"/>
    <col min="19" max="19" width="38.7109375" customWidth="1"/>
    <col min="20" max="20" width="36" customWidth="1"/>
    <col min="21" max="21" width="28.85546875" customWidth="1"/>
    <col min="22" max="22" width="31" bestFit="1" customWidth="1"/>
  </cols>
  <sheetData>
    <row r="1" spans="1:22" ht="12.75" customHeight="1" x14ac:dyDescent="0.2">
      <c r="A1" s="5" t="s">
        <v>79</v>
      </c>
      <c r="B1" s="5" t="s">
        <v>80</v>
      </c>
      <c r="C1" s="6" t="s">
        <v>82</v>
      </c>
      <c r="D1" s="6" t="s">
        <v>87</v>
      </c>
      <c r="E1" s="7" t="s">
        <v>78</v>
      </c>
      <c r="F1" s="5" t="s">
        <v>88</v>
      </c>
      <c r="G1" s="6" t="s">
        <v>89</v>
      </c>
      <c r="H1" s="5" t="s">
        <v>93</v>
      </c>
      <c r="I1" s="5" t="s">
        <v>94</v>
      </c>
      <c r="J1" s="6" t="s">
        <v>95</v>
      </c>
      <c r="K1" s="5" t="s">
        <v>98</v>
      </c>
      <c r="L1" s="6" t="s">
        <v>99</v>
      </c>
      <c r="M1" s="6" t="s">
        <v>101</v>
      </c>
      <c r="N1" s="6" t="s">
        <v>102</v>
      </c>
      <c r="O1" s="6" t="s">
        <v>103</v>
      </c>
      <c r="P1" s="6" t="s">
        <v>104</v>
      </c>
      <c r="Q1" s="5" t="s">
        <v>114</v>
      </c>
      <c r="R1" s="33" t="s">
        <v>144</v>
      </c>
      <c r="S1" s="33" t="s">
        <v>145</v>
      </c>
      <c r="T1" s="33" t="s">
        <v>146</v>
      </c>
      <c r="U1" s="5" t="s">
        <v>147</v>
      </c>
      <c r="V1" s="5" t="s">
        <v>495</v>
      </c>
    </row>
    <row r="2" spans="1:22" ht="12.75" customHeight="1" x14ac:dyDescent="0.2">
      <c r="A2" s="5" t="s">
        <v>148</v>
      </c>
      <c r="B2" s="5" t="s">
        <v>149</v>
      </c>
      <c r="C2" s="6" t="s">
        <v>152</v>
      </c>
      <c r="D2" s="6" t="s">
        <v>157</v>
      </c>
      <c r="E2" s="7" t="s">
        <v>158</v>
      </c>
      <c r="F2" s="5" t="s">
        <v>159</v>
      </c>
      <c r="G2" s="6" t="s">
        <v>89</v>
      </c>
      <c r="H2" s="5" t="s">
        <v>163</v>
      </c>
      <c r="I2" s="5" t="s">
        <v>164</v>
      </c>
      <c r="J2" s="6" t="s">
        <v>166</v>
      </c>
      <c r="K2" s="5" t="s">
        <v>169</v>
      </c>
      <c r="L2" s="6" t="s">
        <v>170</v>
      </c>
      <c r="M2" s="6" t="s">
        <v>172</v>
      </c>
      <c r="N2" s="6" t="s">
        <v>173</v>
      </c>
      <c r="O2" s="6" t="s">
        <v>174</v>
      </c>
      <c r="P2" s="6" t="s">
        <v>175</v>
      </c>
      <c r="Q2" s="5" t="s">
        <v>185</v>
      </c>
      <c r="R2" s="33" t="s">
        <v>217</v>
      </c>
      <c r="S2" s="33" t="s">
        <v>218</v>
      </c>
      <c r="T2" s="33" t="s">
        <v>219</v>
      </c>
      <c r="U2" s="5" t="s">
        <v>220</v>
      </c>
      <c r="V2" s="5" t="s">
        <v>496</v>
      </c>
    </row>
    <row r="3" spans="1:22" ht="247.5" customHeight="1" x14ac:dyDescent="0.2">
      <c r="A3" s="9" t="s">
        <v>221</v>
      </c>
      <c r="B3" s="10" t="s">
        <v>222</v>
      </c>
      <c r="C3" s="10" t="s">
        <v>225</v>
      </c>
      <c r="D3" s="10" t="s">
        <v>230</v>
      </c>
      <c r="E3" s="10" t="s">
        <v>231</v>
      </c>
      <c r="F3" s="10" t="s">
        <v>232</v>
      </c>
      <c r="G3" s="10" t="s">
        <v>233</v>
      </c>
      <c r="H3" s="10" t="s">
        <v>237</v>
      </c>
      <c r="I3" s="10" t="s">
        <v>238</v>
      </c>
      <c r="J3" s="10" t="s">
        <v>240</v>
      </c>
      <c r="K3" s="10" t="s">
        <v>243</v>
      </c>
      <c r="L3" s="10" t="s">
        <v>244</v>
      </c>
      <c r="M3" s="10" t="s">
        <v>246</v>
      </c>
      <c r="N3" s="10" t="s">
        <v>247</v>
      </c>
      <c r="O3" s="10" t="s">
        <v>248</v>
      </c>
      <c r="P3" s="10" t="s">
        <v>249</v>
      </c>
      <c r="Q3" s="10" t="s">
        <v>259</v>
      </c>
      <c r="R3" s="32" t="s">
        <v>372</v>
      </c>
      <c r="S3" s="32" t="s">
        <v>373</v>
      </c>
      <c r="T3" s="32" t="s">
        <v>374</v>
      </c>
      <c r="U3" s="10" t="s">
        <v>284</v>
      </c>
      <c r="V3" s="22"/>
    </row>
    <row r="4" spans="1:22" ht="12.75" customHeight="1" x14ac:dyDescent="0.2">
      <c r="A4" s="5" t="s">
        <v>4</v>
      </c>
      <c r="B4" s="7" t="s">
        <v>4</v>
      </c>
      <c r="C4" s="8" t="s">
        <v>9</v>
      </c>
      <c r="D4" s="11" t="s">
        <v>4</v>
      </c>
      <c r="E4" s="7" t="s">
        <v>9</v>
      </c>
      <c r="F4" s="5" t="s">
        <v>16</v>
      </c>
      <c r="G4" s="8" t="s">
        <v>9</v>
      </c>
      <c r="H4" s="7" t="s">
        <v>9</v>
      </c>
      <c r="I4" s="7" t="s">
        <v>9</v>
      </c>
      <c r="J4" s="11" t="s">
        <v>4</v>
      </c>
      <c r="K4" s="5" t="s">
        <v>9</v>
      </c>
      <c r="L4" s="6" t="s">
        <v>9</v>
      </c>
      <c r="M4" s="8" t="s">
        <v>16</v>
      </c>
      <c r="N4" s="8" t="s">
        <v>286</v>
      </c>
      <c r="O4" s="8" t="s">
        <v>12</v>
      </c>
      <c r="P4" s="8" t="s">
        <v>16</v>
      </c>
      <c r="Q4" s="5" t="s">
        <v>16</v>
      </c>
      <c r="R4" s="8" t="s">
        <v>9</v>
      </c>
      <c r="S4" s="8" t="s">
        <v>9</v>
      </c>
      <c r="T4" s="8" t="s">
        <v>9</v>
      </c>
      <c r="U4" s="7" t="s">
        <v>9</v>
      </c>
      <c r="V4" s="24"/>
    </row>
    <row r="5" spans="1:22" ht="12.75" customHeight="1" x14ac:dyDescent="0.2">
      <c r="A5" s="5" t="s">
        <v>290</v>
      </c>
      <c r="B5" s="7" t="s">
        <v>291</v>
      </c>
      <c r="C5" s="8" t="s">
        <v>9</v>
      </c>
      <c r="D5" s="8" t="s">
        <v>292</v>
      </c>
      <c r="E5" s="7" t="s">
        <v>9</v>
      </c>
      <c r="F5" s="5" t="s">
        <v>17</v>
      </c>
      <c r="G5" s="8" t="s">
        <v>9</v>
      </c>
      <c r="H5" s="7" t="s">
        <v>9</v>
      </c>
      <c r="I5" s="7" t="s">
        <v>9</v>
      </c>
      <c r="J5" s="8" t="s">
        <v>292</v>
      </c>
      <c r="K5" s="5" t="s">
        <v>9</v>
      </c>
      <c r="L5" s="6" t="s">
        <v>9</v>
      </c>
      <c r="M5" s="8" t="s">
        <v>17</v>
      </c>
      <c r="N5" s="8"/>
      <c r="O5" s="8"/>
      <c r="P5" s="8" t="s">
        <v>17</v>
      </c>
      <c r="Q5" s="5" t="s">
        <v>17</v>
      </c>
      <c r="R5" s="8" t="s">
        <v>9</v>
      </c>
      <c r="S5" s="8" t="s">
        <v>9</v>
      </c>
      <c r="T5" s="8" t="s">
        <v>9</v>
      </c>
      <c r="U5" s="7" t="s">
        <v>9</v>
      </c>
      <c r="V5" s="24"/>
    </row>
    <row r="6" spans="1:22" ht="12.75" customHeight="1" x14ac:dyDescent="0.2">
      <c r="A6" s="12" t="s">
        <v>474</v>
      </c>
      <c r="B6" s="12" t="s">
        <v>474</v>
      </c>
      <c r="C6" s="12" t="s">
        <v>474</v>
      </c>
      <c r="D6" s="12" t="s">
        <v>474</v>
      </c>
      <c r="E6" s="12" t="s">
        <v>474</v>
      </c>
      <c r="F6" s="12" t="s">
        <v>474</v>
      </c>
      <c r="G6" s="12" t="s">
        <v>474</v>
      </c>
      <c r="H6" s="12" t="s">
        <v>474</v>
      </c>
      <c r="I6" s="12" t="s">
        <v>474</v>
      </c>
      <c r="J6" s="12" t="s">
        <v>474</v>
      </c>
      <c r="K6" s="12" t="s">
        <v>474</v>
      </c>
      <c r="L6" s="12" t="s">
        <v>474</v>
      </c>
      <c r="M6" s="12" t="s">
        <v>474</v>
      </c>
      <c r="N6" s="12" t="s">
        <v>474</v>
      </c>
      <c r="O6" s="12" t="s">
        <v>474</v>
      </c>
      <c r="P6" s="12" t="s">
        <v>474</v>
      </c>
      <c r="Q6" s="12" t="s">
        <v>474</v>
      </c>
      <c r="R6" s="12" t="s">
        <v>474</v>
      </c>
      <c r="S6" s="12" t="s">
        <v>474</v>
      </c>
      <c r="T6" s="12" t="s">
        <v>474</v>
      </c>
      <c r="U6" s="12" t="s">
        <v>474</v>
      </c>
      <c r="V6" s="12" t="s">
        <v>474</v>
      </c>
    </row>
    <row r="7" spans="1:22" ht="12.75" customHeight="1" x14ac:dyDescent="0.2">
      <c r="A7" s="13" t="s">
        <v>478</v>
      </c>
      <c r="B7" s="13" t="s">
        <v>478</v>
      </c>
      <c r="C7" s="12" t="s">
        <v>480</v>
      </c>
      <c r="D7" s="12" t="s">
        <v>479</v>
      </c>
      <c r="E7" s="13" t="s">
        <v>481</v>
      </c>
      <c r="F7" s="13" t="s">
        <v>482</v>
      </c>
      <c r="G7" s="12" t="s">
        <v>483</v>
      </c>
      <c r="H7" s="12" t="s">
        <v>484</v>
      </c>
      <c r="I7" s="12" t="s">
        <v>485</v>
      </c>
      <c r="J7" s="12" t="s">
        <v>479</v>
      </c>
      <c r="K7" s="12" t="s">
        <v>486</v>
      </c>
      <c r="L7" s="12" t="s">
        <v>487</v>
      </c>
      <c r="M7" s="12" t="s">
        <v>488</v>
      </c>
      <c r="N7" s="12" t="s">
        <v>489</v>
      </c>
      <c r="O7" s="12" t="s">
        <v>488</v>
      </c>
      <c r="P7" s="12" t="s">
        <v>488</v>
      </c>
      <c r="Q7" s="12" t="s">
        <v>482</v>
      </c>
      <c r="R7" s="13" t="s">
        <v>490</v>
      </c>
      <c r="S7" s="13" t="s">
        <v>491</v>
      </c>
      <c r="T7" s="13" t="s">
        <v>492</v>
      </c>
      <c r="U7" s="12" t="s">
        <v>493</v>
      </c>
      <c r="V7" s="37" t="s">
        <v>494</v>
      </c>
    </row>
    <row r="8" spans="1:22" ht="11.25" customHeight="1" x14ac:dyDescent="0.2">
      <c r="A8" s="91" t="str" cm="1">
        <f t="array" ref="A8">Table3[Part Number]</f>
        <v>ZCUS-Vinny-Test</v>
      </c>
      <c r="B8" s="91" t="str">
        <f>A8</f>
        <v>ZCUS-Vinny-Test</v>
      </c>
      <c r="C8" s="90" t="s">
        <v>466</v>
      </c>
      <c r="D8" s="92" t="s">
        <v>1199</v>
      </c>
      <c r="E8" s="90">
        <v>1</v>
      </c>
      <c r="F8" s="90" t="b">
        <v>1</v>
      </c>
      <c r="G8" s="90" t="s">
        <v>614</v>
      </c>
      <c r="H8" s="90" t="s">
        <v>375</v>
      </c>
      <c r="I8" s="90" t="s">
        <v>299</v>
      </c>
      <c r="J8" s="93" t="str">
        <f>D8</f>
        <v>Test Strip</v>
      </c>
      <c r="K8" s="90" t="s">
        <v>297</v>
      </c>
      <c r="L8" s="90" t="s">
        <v>365</v>
      </c>
      <c r="M8" s="90" t="b">
        <v>0</v>
      </c>
      <c r="N8" s="90">
        <v>0</v>
      </c>
      <c r="O8" s="90" t="b">
        <v>0</v>
      </c>
      <c r="P8" s="90" t="b">
        <v>0</v>
      </c>
      <c r="Q8" s="90" t="b">
        <v>1</v>
      </c>
      <c r="R8" s="94" t="s">
        <v>446</v>
      </c>
      <c r="S8" s="94" t="s">
        <v>445</v>
      </c>
      <c r="T8" s="94" t="s">
        <v>444</v>
      </c>
      <c r="U8" s="95" t="s">
        <v>362</v>
      </c>
      <c r="V8" s="95" t="s">
        <v>615</v>
      </c>
    </row>
    <row r="9" spans="1:22" ht="12.75" customHeight="1" x14ac:dyDescent="0.2">
      <c r="A9" s="38"/>
      <c r="B9" s="38"/>
      <c r="C9" s="8"/>
      <c r="D9" s="8"/>
      <c r="E9" s="8"/>
      <c r="F9" s="8"/>
      <c r="G9" s="8"/>
      <c r="H9" s="8"/>
      <c r="I9" s="8"/>
      <c r="J9" s="8"/>
      <c r="K9" s="8"/>
      <c r="L9" s="8"/>
      <c r="M9" s="8"/>
      <c r="N9" s="8"/>
      <c r="O9" s="8"/>
      <c r="P9" s="8"/>
      <c r="Q9" s="8"/>
      <c r="R9" s="79"/>
      <c r="S9" s="79"/>
      <c r="T9" s="79"/>
      <c r="U9" s="34"/>
      <c r="V9" s="34"/>
    </row>
    <row r="10" spans="1:22" ht="12.75" customHeight="1" x14ac:dyDescent="0.2">
      <c r="A10" s="38"/>
      <c r="B10" s="38"/>
      <c r="C10" s="8"/>
      <c r="D10" s="8"/>
      <c r="E10" s="8"/>
      <c r="F10" s="8"/>
      <c r="G10" s="8"/>
      <c r="H10" s="8"/>
      <c r="I10" s="8"/>
      <c r="J10" s="8"/>
      <c r="K10" s="8"/>
      <c r="L10" s="8"/>
      <c r="M10" s="8"/>
      <c r="N10" s="8"/>
      <c r="O10" s="8"/>
      <c r="P10" s="8"/>
      <c r="Q10" s="8"/>
      <c r="R10" s="79"/>
      <c r="S10" s="79"/>
      <c r="T10" s="79"/>
      <c r="U10" s="34"/>
      <c r="V10" s="34"/>
    </row>
    <row r="11" spans="1:22" ht="12.75" customHeight="1" x14ac:dyDescent="0.2">
      <c r="A11" s="38"/>
      <c r="B11" s="38"/>
      <c r="C11" s="8"/>
      <c r="D11" s="8"/>
      <c r="E11" s="8"/>
      <c r="F11" s="8"/>
      <c r="G11" s="8"/>
      <c r="H11" s="8"/>
      <c r="I11" s="8"/>
      <c r="J11" s="8"/>
      <c r="K11" s="8"/>
      <c r="L11" s="8"/>
      <c r="M11" s="8"/>
      <c r="N11" s="8"/>
      <c r="O11" s="8"/>
      <c r="P11" s="8"/>
      <c r="Q11" s="8"/>
      <c r="R11" s="79"/>
      <c r="S11" s="79"/>
      <c r="T11" s="79"/>
      <c r="U11" s="34"/>
      <c r="V11" s="34"/>
    </row>
    <row r="12" spans="1:22" ht="12.75" customHeight="1" x14ac:dyDescent="0.2">
      <c r="A12" s="38"/>
      <c r="B12" s="38"/>
      <c r="C12" s="8"/>
      <c r="D12" s="8"/>
      <c r="E12" s="8"/>
      <c r="F12" s="8"/>
      <c r="G12" s="8"/>
      <c r="H12" s="8"/>
      <c r="I12" s="8"/>
      <c r="J12" s="8"/>
      <c r="K12" s="8"/>
      <c r="L12" s="8"/>
      <c r="M12" s="8"/>
      <c r="N12" s="8"/>
      <c r="O12" s="8"/>
      <c r="P12" s="8"/>
      <c r="Q12" s="8"/>
      <c r="R12" s="79"/>
      <c r="S12" s="79"/>
      <c r="T12" s="79"/>
      <c r="U12" s="34"/>
      <c r="V12" s="34"/>
    </row>
    <row r="13" spans="1:22" ht="12.75" customHeight="1" x14ac:dyDescent="0.2">
      <c r="A13" s="38"/>
      <c r="B13" s="38"/>
      <c r="C13" s="8"/>
      <c r="D13" s="8"/>
      <c r="E13" s="8"/>
      <c r="F13" s="8"/>
      <c r="G13" s="8"/>
      <c r="H13" s="8"/>
      <c r="I13" s="8"/>
      <c r="J13" s="8"/>
      <c r="K13" s="8"/>
      <c r="L13" s="8"/>
      <c r="M13" s="8"/>
      <c r="N13" s="8"/>
      <c r="O13" s="8"/>
      <c r="P13" s="8"/>
      <c r="Q13" s="8"/>
      <c r="R13" s="79"/>
      <c r="S13" s="79"/>
      <c r="T13" s="79"/>
      <c r="U13" s="34"/>
      <c r="V13" s="34"/>
    </row>
    <row r="14" spans="1:22" ht="12.75" customHeight="1" x14ac:dyDescent="0.2">
      <c r="A14" s="38"/>
      <c r="B14" s="38"/>
      <c r="C14" s="8"/>
      <c r="D14" s="8"/>
      <c r="E14" s="8"/>
      <c r="F14" s="8"/>
      <c r="G14" s="8"/>
      <c r="H14" s="8"/>
      <c r="I14" s="8"/>
      <c r="J14" s="8"/>
      <c r="K14" s="8"/>
      <c r="L14" s="8"/>
      <c r="M14" s="8"/>
      <c r="N14" s="8"/>
      <c r="O14" s="8"/>
      <c r="P14" s="8"/>
      <c r="Q14" s="8"/>
      <c r="R14" s="79"/>
      <c r="S14" s="79"/>
      <c r="T14" s="79"/>
      <c r="U14" s="34"/>
      <c r="V14" s="34"/>
    </row>
    <row r="15" spans="1:22" ht="12.75" customHeight="1" x14ac:dyDescent="0.2">
      <c r="A15" s="38"/>
      <c r="B15" s="38"/>
      <c r="C15" s="8"/>
      <c r="D15" s="8"/>
      <c r="E15" s="8"/>
      <c r="F15" s="8"/>
      <c r="G15" s="8"/>
      <c r="H15" s="8"/>
      <c r="I15" s="8"/>
      <c r="J15" s="8"/>
      <c r="K15" s="8"/>
      <c r="L15" s="8"/>
      <c r="M15" s="8"/>
      <c r="N15" s="8"/>
      <c r="O15" s="8"/>
      <c r="P15" s="8"/>
      <c r="Q15" s="8"/>
      <c r="R15" s="79"/>
      <c r="S15" s="79"/>
      <c r="T15" s="79"/>
      <c r="U15" s="34"/>
      <c r="V15" s="34"/>
    </row>
    <row r="16" spans="1:22" ht="12.75" customHeight="1" x14ac:dyDescent="0.2">
      <c r="A16" s="38"/>
      <c r="B16" s="38"/>
      <c r="C16" s="8"/>
      <c r="D16" s="8"/>
      <c r="E16" s="8"/>
      <c r="F16" s="8"/>
      <c r="G16" s="8"/>
      <c r="H16" s="8"/>
      <c r="I16" s="8"/>
      <c r="J16" s="8"/>
      <c r="K16" s="8"/>
      <c r="L16" s="8"/>
      <c r="M16" s="8"/>
      <c r="N16" s="8"/>
      <c r="O16" s="8"/>
      <c r="P16" s="8"/>
      <c r="Q16" s="8"/>
      <c r="R16" s="79"/>
      <c r="S16" s="79"/>
      <c r="T16" s="79"/>
      <c r="U16" s="34"/>
      <c r="V16" s="34"/>
    </row>
    <row r="17" spans="1:22" ht="12.75" customHeight="1" x14ac:dyDescent="0.2">
      <c r="A17" s="38"/>
      <c r="B17" s="38"/>
      <c r="C17" s="8"/>
      <c r="D17" s="8"/>
      <c r="E17" s="8"/>
      <c r="F17" s="8"/>
      <c r="G17" s="8"/>
      <c r="H17" s="8"/>
      <c r="I17" s="8"/>
      <c r="J17" s="8"/>
      <c r="K17" s="8"/>
      <c r="L17" s="8"/>
      <c r="M17" s="8"/>
      <c r="N17" s="8"/>
      <c r="O17" s="8"/>
      <c r="P17" s="8"/>
      <c r="Q17" s="8"/>
      <c r="R17" s="79"/>
      <c r="S17" s="79"/>
      <c r="T17" s="79"/>
      <c r="U17" s="34"/>
      <c r="V17" s="34"/>
    </row>
    <row r="18" spans="1:22" ht="12.75" customHeight="1" x14ac:dyDescent="0.2">
      <c r="A18" s="38"/>
      <c r="B18" s="38"/>
      <c r="C18" s="8"/>
      <c r="D18" s="8"/>
      <c r="E18" s="8"/>
      <c r="F18" s="8"/>
      <c r="G18" s="8"/>
      <c r="H18" s="8"/>
      <c r="I18" s="8"/>
      <c r="J18" s="8"/>
      <c r="K18" s="8"/>
      <c r="L18" s="8"/>
      <c r="M18" s="8"/>
      <c r="N18" s="8"/>
      <c r="O18" s="8"/>
      <c r="P18" s="8"/>
      <c r="Q18" s="8"/>
      <c r="R18" s="79"/>
      <c r="S18" s="79"/>
      <c r="T18" s="79"/>
      <c r="U18" s="34"/>
      <c r="V18" s="34"/>
    </row>
    <row r="19" spans="1:22" ht="12.75" customHeight="1" x14ac:dyDescent="0.2">
      <c r="A19" s="38"/>
      <c r="B19" s="38"/>
      <c r="C19" s="8"/>
      <c r="D19" s="8"/>
      <c r="E19" s="8"/>
      <c r="F19" s="8"/>
      <c r="G19" s="8"/>
      <c r="H19" s="8"/>
      <c r="I19" s="8"/>
      <c r="J19" s="8"/>
      <c r="K19" s="8"/>
      <c r="L19" s="8"/>
      <c r="M19" s="8"/>
      <c r="N19" s="8"/>
      <c r="O19" s="8"/>
      <c r="P19" s="8"/>
      <c r="Q19" s="8"/>
      <c r="R19" s="79"/>
      <c r="S19" s="79"/>
      <c r="T19" s="79"/>
      <c r="U19" s="34"/>
      <c r="V19" s="34"/>
    </row>
    <row r="20" spans="1:22" ht="12.75" customHeight="1" x14ac:dyDescent="0.2">
      <c r="A20" s="38"/>
      <c r="B20" s="38"/>
      <c r="C20" s="8"/>
      <c r="D20" s="8"/>
      <c r="E20" s="8"/>
      <c r="F20" s="8"/>
      <c r="G20" s="8"/>
      <c r="H20" s="8"/>
      <c r="I20" s="8"/>
      <c r="J20" s="8"/>
      <c r="K20" s="8"/>
      <c r="L20" s="8"/>
      <c r="M20" s="8"/>
      <c r="N20" s="8"/>
      <c r="O20" s="8"/>
      <c r="P20" s="8"/>
      <c r="Q20" s="8"/>
      <c r="R20" s="79"/>
      <c r="S20" s="79"/>
      <c r="T20" s="79"/>
      <c r="U20" s="34"/>
      <c r="V20" s="34"/>
    </row>
    <row r="21" spans="1:22" ht="12.75" customHeight="1" x14ac:dyDescent="0.2">
      <c r="A21" s="38"/>
      <c r="B21" s="38"/>
      <c r="C21" s="8"/>
      <c r="D21" s="8"/>
      <c r="E21" s="8"/>
      <c r="F21" s="8"/>
      <c r="G21" s="8"/>
      <c r="H21" s="8"/>
      <c r="I21" s="8"/>
      <c r="J21" s="8"/>
      <c r="K21" s="8"/>
      <c r="L21" s="8"/>
      <c r="M21" s="8"/>
      <c r="N21" s="8"/>
      <c r="O21" s="8"/>
      <c r="P21" s="8"/>
      <c r="Q21" s="8"/>
      <c r="R21" s="79"/>
      <c r="S21" s="79"/>
      <c r="T21" s="79"/>
      <c r="U21" s="34"/>
      <c r="V21" s="34"/>
    </row>
    <row r="22" spans="1:22" ht="12.75" customHeight="1" x14ac:dyDescent="0.2">
      <c r="A22" s="38"/>
      <c r="B22" s="38"/>
      <c r="C22" s="8"/>
      <c r="D22" s="8"/>
      <c r="E22" s="8"/>
      <c r="F22" s="8"/>
      <c r="G22" s="8"/>
      <c r="H22" s="8"/>
      <c r="I22" s="8"/>
      <c r="J22" s="8"/>
      <c r="K22" s="8"/>
      <c r="L22" s="8"/>
      <c r="M22" s="8"/>
      <c r="N22" s="8"/>
      <c r="O22" s="8"/>
      <c r="P22" s="8"/>
      <c r="Q22" s="8"/>
      <c r="R22" s="79"/>
      <c r="S22" s="79"/>
      <c r="T22" s="79"/>
      <c r="U22" s="34"/>
      <c r="V22" s="34"/>
    </row>
    <row r="23" spans="1:22" ht="12.75" customHeight="1" x14ac:dyDescent="0.2">
      <c r="A23" s="38"/>
      <c r="B23" s="38"/>
      <c r="C23" s="8"/>
      <c r="D23" s="8"/>
      <c r="E23" s="8"/>
      <c r="F23" s="8"/>
      <c r="G23" s="8"/>
      <c r="H23" s="8"/>
      <c r="I23" s="8"/>
      <c r="J23" s="8"/>
      <c r="K23" s="8"/>
      <c r="L23" s="8"/>
      <c r="M23" s="8"/>
      <c r="N23" s="8"/>
      <c r="O23" s="8"/>
      <c r="P23" s="8"/>
      <c r="Q23" s="8"/>
      <c r="R23" s="79"/>
      <c r="S23" s="79"/>
      <c r="T23" s="79"/>
      <c r="U23" s="34"/>
      <c r="V23" s="34"/>
    </row>
    <row r="24" spans="1:22" ht="12.75" customHeight="1" x14ac:dyDescent="0.2">
      <c r="A24" s="38"/>
      <c r="B24" s="38"/>
      <c r="C24" s="8"/>
      <c r="D24" s="8"/>
      <c r="E24" s="8"/>
      <c r="F24" s="8"/>
      <c r="G24" s="8"/>
      <c r="H24" s="8"/>
      <c r="I24" s="8"/>
      <c r="J24" s="8"/>
      <c r="K24" s="8"/>
      <c r="L24" s="8"/>
      <c r="M24" s="8"/>
      <c r="N24" s="8"/>
      <c r="O24" s="8"/>
      <c r="P24" s="8"/>
      <c r="Q24" s="8"/>
      <c r="R24" s="79"/>
      <c r="S24" s="79"/>
      <c r="T24" s="79"/>
      <c r="U24" s="34"/>
      <c r="V24" s="34"/>
    </row>
    <row r="25" spans="1:22" ht="12.75" customHeight="1" x14ac:dyDescent="0.2">
      <c r="A25" s="38"/>
      <c r="B25" s="38"/>
      <c r="C25" s="8"/>
      <c r="D25" s="8"/>
      <c r="E25" s="8"/>
      <c r="F25" s="8"/>
      <c r="G25" s="8"/>
      <c r="H25" s="8"/>
      <c r="I25" s="8"/>
      <c r="J25" s="8"/>
      <c r="K25" s="8"/>
      <c r="L25" s="8"/>
      <c r="M25" s="8"/>
      <c r="N25" s="8"/>
      <c r="O25" s="8"/>
      <c r="P25" s="8"/>
      <c r="Q25" s="8"/>
      <c r="R25" s="79"/>
      <c r="S25" s="79"/>
      <c r="T25" s="79"/>
      <c r="U25" s="34"/>
      <c r="V25" s="34"/>
    </row>
    <row r="26" spans="1:22" ht="12.75" customHeight="1" x14ac:dyDescent="0.2">
      <c r="A26" s="38"/>
      <c r="B26" s="38"/>
      <c r="C26" s="8"/>
      <c r="D26" s="8"/>
      <c r="E26" s="8"/>
      <c r="F26" s="8"/>
      <c r="G26" s="8"/>
      <c r="H26" s="8"/>
      <c r="I26" s="8"/>
      <c r="J26" s="8"/>
      <c r="K26" s="8"/>
      <c r="L26" s="8"/>
      <c r="M26" s="8"/>
      <c r="N26" s="8"/>
      <c r="O26" s="8"/>
      <c r="P26" s="8"/>
      <c r="Q26" s="8"/>
      <c r="R26" s="79"/>
      <c r="S26" s="79"/>
      <c r="T26" s="79"/>
      <c r="U26" s="34"/>
      <c r="V26" s="34"/>
    </row>
    <row r="27" spans="1:22" ht="12.75" customHeight="1" x14ac:dyDescent="0.2">
      <c r="A27" s="38"/>
      <c r="B27" s="38"/>
      <c r="C27" s="8"/>
      <c r="D27" s="8"/>
      <c r="E27" s="8"/>
      <c r="F27" s="8"/>
      <c r="G27" s="8"/>
      <c r="H27" s="8"/>
      <c r="I27" s="8"/>
      <c r="J27" s="8"/>
      <c r="K27" s="8"/>
      <c r="L27" s="8"/>
      <c r="M27" s="8"/>
      <c r="N27" s="8"/>
      <c r="O27" s="8"/>
      <c r="P27" s="8"/>
      <c r="Q27" s="8"/>
      <c r="R27" s="79"/>
      <c r="S27" s="79"/>
      <c r="T27" s="79"/>
      <c r="U27" s="34"/>
      <c r="V27" s="34"/>
    </row>
    <row r="28" spans="1:22" ht="12.75" customHeight="1" x14ac:dyDescent="0.2">
      <c r="A28" s="38"/>
      <c r="B28" s="38"/>
      <c r="C28" s="8"/>
      <c r="D28" s="8"/>
      <c r="E28" s="8"/>
      <c r="F28" s="8"/>
      <c r="G28" s="8"/>
      <c r="H28" s="8"/>
      <c r="I28" s="8"/>
      <c r="J28" s="8"/>
      <c r="K28" s="8"/>
      <c r="L28" s="8"/>
      <c r="M28" s="8"/>
      <c r="N28" s="8"/>
      <c r="O28" s="8"/>
      <c r="P28" s="8"/>
      <c r="Q28" s="8"/>
      <c r="R28" s="79"/>
      <c r="S28" s="79"/>
      <c r="T28" s="79"/>
      <c r="U28" s="34"/>
      <c r="V28" s="34"/>
    </row>
    <row r="29" spans="1:22" ht="12.75" customHeight="1" x14ac:dyDescent="0.2">
      <c r="A29" s="38"/>
      <c r="B29" s="38"/>
      <c r="C29" s="8"/>
      <c r="D29" s="8"/>
      <c r="E29" s="8"/>
      <c r="F29" s="8"/>
      <c r="G29" s="8"/>
      <c r="H29" s="8"/>
      <c r="I29" s="8"/>
      <c r="J29" s="8"/>
      <c r="K29" s="8"/>
      <c r="L29" s="8"/>
      <c r="M29" s="8"/>
      <c r="N29" s="8"/>
      <c r="O29" s="8"/>
      <c r="P29" s="8"/>
      <c r="Q29" s="8"/>
      <c r="R29" s="79"/>
      <c r="S29" s="79"/>
      <c r="T29" s="79"/>
      <c r="U29" s="34"/>
      <c r="V29" s="34"/>
    </row>
    <row r="30" spans="1:22" ht="12.75" customHeight="1" x14ac:dyDescent="0.2">
      <c r="A30" s="38"/>
      <c r="B30" s="38"/>
      <c r="C30" s="8"/>
      <c r="D30" s="8"/>
      <c r="E30" s="8"/>
      <c r="F30" s="8"/>
      <c r="G30" s="8"/>
      <c r="H30" s="8"/>
      <c r="I30" s="8"/>
      <c r="J30" s="8"/>
      <c r="K30" s="8"/>
      <c r="L30" s="8"/>
      <c r="M30" s="8"/>
      <c r="N30" s="8"/>
      <c r="O30" s="8"/>
      <c r="P30" s="8"/>
      <c r="Q30" s="8"/>
      <c r="R30" s="79"/>
      <c r="S30" s="79"/>
      <c r="T30" s="79"/>
      <c r="U30" s="34"/>
      <c r="V30" s="34"/>
    </row>
    <row r="31" spans="1:22" ht="12.75" customHeight="1" x14ac:dyDescent="0.2">
      <c r="A31" s="38"/>
      <c r="B31" s="38"/>
      <c r="C31" s="8"/>
      <c r="D31" s="8"/>
      <c r="E31" s="8"/>
      <c r="F31" s="8"/>
      <c r="G31" s="8"/>
      <c r="H31" s="8"/>
      <c r="I31" s="8"/>
      <c r="J31" s="8"/>
      <c r="K31" s="8"/>
      <c r="L31" s="8"/>
      <c r="M31" s="8"/>
      <c r="N31" s="8"/>
      <c r="O31" s="8"/>
      <c r="P31" s="8"/>
      <c r="Q31" s="8"/>
      <c r="R31" s="79"/>
      <c r="S31" s="79"/>
      <c r="T31" s="79"/>
      <c r="U31" s="34"/>
      <c r="V31" s="34"/>
    </row>
    <row r="32" spans="1:22" ht="12.75" customHeight="1" x14ac:dyDescent="0.2">
      <c r="A32" s="38"/>
      <c r="B32" s="38"/>
      <c r="C32" s="8"/>
      <c r="D32" s="8"/>
      <c r="E32" s="8"/>
      <c r="F32" s="8"/>
      <c r="G32" s="8"/>
      <c r="H32" s="8"/>
      <c r="I32" s="8"/>
      <c r="J32" s="8"/>
      <c r="K32" s="8"/>
      <c r="L32" s="8"/>
      <c r="M32" s="8"/>
      <c r="N32" s="8"/>
      <c r="O32" s="8"/>
      <c r="P32" s="8"/>
      <c r="Q32" s="8"/>
      <c r="R32" s="79"/>
      <c r="S32" s="79"/>
      <c r="T32" s="79"/>
      <c r="U32" s="34"/>
      <c r="V32" s="34"/>
    </row>
    <row r="33" spans="1:22" ht="12.75" customHeight="1" x14ac:dyDescent="0.2">
      <c r="A33" s="38"/>
      <c r="B33" s="38"/>
      <c r="C33" s="8"/>
      <c r="D33" s="8"/>
      <c r="E33" s="8"/>
      <c r="F33" s="8"/>
      <c r="G33" s="8"/>
      <c r="H33" s="8"/>
      <c r="I33" s="8"/>
      <c r="J33" s="8"/>
      <c r="K33" s="8"/>
      <c r="L33" s="8"/>
      <c r="M33" s="8"/>
      <c r="N33" s="8"/>
      <c r="O33" s="8"/>
      <c r="P33" s="8"/>
      <c r="Q33" s="8"/>
      <c r="R33" s="79"/>
      <c r="S33" s="79"/>
      <c r="T33" s="79"/>
      <c r="U33" s="34"/>
      <c r="V33" s="34"/>
    </row>
    <row r="34" spans="1:22" ht="12.75" customHeight="1" x14ac:dyDescent="0.2">
      <c r="A34" s="38"/>
      <c r="B34" s="38"/>
      <c r="C34" s="8"/>
      <c r="D34" s="8"/>
      <c r="E34" s="8"/>
      <c r="F34" s="8"/>
      <c r="G34" s="8"/>
      <c r="H34" s="8"/>
      <c r="I34" s="8"/>
      <c r="J34" s="8"/>
      <c r="K34" s="8"/>
      <c r="L34" s="8"/>
      <c r="M34" s="8"/>
      <c r="N34" s="8"/>
      <c r="O34" s="8"/>
      <c r="P34" s="8"/>
      <c r="Q34" s="8"/>
      <c r="R34" s="79"/>
      <c r="S34" s="79"/>
      <c r="T34" s="79"/>
      <c r="U34" s="34"/>
      <c r="V34" s="34"/>
    </row>
    <row r="35" spans="1:22" ht="12.75" customHeight="1" x14ac:dyDescent="0.2">
      <c r="A35" s="38"/>
      <c r="B35" s="38"/>
      <c r="C35" s="8"/>
      <c r="D35" s="8"/>
      <c r="E35" s="8"/>
      <c r="F35" s="8"/>
      <c r="G35" s="8"/>
      <c r="H35" s="8"/>
      <c r="I35" s="8"/>
      <c r="J35" s="8"/>
      <c r="K35" s="8"/>
      <c r="L35" s="8"/>
      <c r="M35" s="8"/>
      <c r="N35" s="8"/>
      <c r="O35" s="8"/>
      <c r="P35" s="8"/>
      <c r="Q35" s="8"/>
      <c r="R35" s="79"/>
      <c r="S35" s="79"/>
      <c r="T35" s="79"/>
      <c r="U35" s="34"/>
      <c r="V35" s="34"/>
    </row>
    <row r="36" spans="1:22" ht="12.75" customHeight="1" x14ac:dyDescent="0.2">
      <c r="A36" s="38"/>
      <c r="B36" s="38"/>
      <c r="C36" s="8"/>
      <c r="D36" s="8"/>
      <c r="E36" s="8"/>
      <c r="F36" s="8"/>
      <c r="G36" s="8"/>
      <c r="H36" s="8"/>
      <c r="I36" s="8"/>
      <c r="J36" s="8"/>
      <c r="K36" s="8"/>
      <c r="L36" s="8"/>
      <c r="M36" s="8"/>
      <c r="N36" s="8"/>
      <c r="O36" s="8"/>
      <c r="P36" s="8"/>
      <c r="Q36" s="8"/>
      <c r="R36" s="79"/>
      <c r="S36" s="79"/>
      <c r="T36" s="79"/>
      <c r="U36" s="34"/>
      <c r="V36" s="34"/>
    </row>
    <row r="37" spans="1:22" ht="12.75" customHeight="1" x14ac:dyDescent="0.2">
      <c r="A37" s="38"/>
      <c r="B37" s="38"/>
      <c r="C37" s="8"/>
      <c r="D37" s="8"/>
      <c r="E37" s="8"/>
      <c r="F37" s="8"/>
      <c r="G37" s="8"/>
      <c r="H37" s="8"/>
      <c r="I37" s="8"/>
      <c r="J37" s="8"/>
      <c r="K37" s="8"/>
      <c r="L37" s="8"/>
      <c r="M37" s="8"/>
      <c r="N37" s="8"/>
      <c r="O37" s="8"/>
      <c r="P37" s="8"/>
      <c r="Q37" s="8"/>
      <c r="R37" s="79"/>
      <c r="S37" s="79"/>
      <c r="T37" s="79"/>
      <c r="U37" s="34"/>
      <c r="V37" s="34"/>
    </row>
    <row r="38" spans="1:22" ht="12.75" customHeight="1" x14ac:dyDescent="0.2">
      <c r="A38" s="38"/>
      <c r="B38" s="38"/>
      <c r="C38" s="8"/>
      <c r="D38" s="8"/>
      <c r="E38" s="8"/>
      <c r="F38" s="8"/>
      <c r="G38" s="8"/>
      <c r="H38" s="8"/>
      <c r="I38" s="8"/>
      <c r="J38" s="8"/>
      <c r="K38" s="8"/>
      <c r="L38" s="8"/>
      <c r="M38" s="8"/>
      <c r="N38" s="8"/>
      <c r="O38" s="8"/>
      <c r="P38" s="8"/>
      <c r="Q38" s="8"/>
      <c r="R38" s="79"/>
      <c r="S38" s="79"/>
      <c r="T38" s="79"/>
      <c r="U38" s="34"/>
      <c r="V38" s="34"/>
    </row>
    <row r="39" spans="1:22" ht="12.75" customHeight="1" x14ac:dyDescent="0.2">
      <c r="A39" s="38"/>
      <c r="B39" s="38"/>
      <c r="C39" s="8"/>
      <c r="D39" s="8"/>
      <c r="E39" s="8"/>
      <c r="F39" s="8"/>
      <c r="G39" s="8"/>
      <c r="H39" s="8"/>
      <c r="I39" s="8"/>
      <c r="J39" s="8"/>
      <c r="K39" s="8"/>
      <c r="L39" s="8"/>
      <c r="M39" s="8"/>
      <c r="N39" s="8"/>
      <c r="O39" s="8"/>
      <c r="P39" s="8"/>
      <c r="Q39" s="8"/>
      <c r="R39" s="79"/>
      <c r="S39" s="79"/>
      <c r="T39" s="79"/>
      <c r="U39" s="34"/>
      <c r="V39" s="34"/>
    </row>
    <row r="40" spans="1:22" ht="12.75" customHeight="1" x14ac:dyDescent="0.2">
      <c r="A40" s="38"/>
      <c r="B40" s="38"/>
      <c r="C40" s="8"/>
      <c r="D40" s="8"/>
      <c r="E40" s="8"/>
      <c r="F40" s="8"/>
      <c r="G40" s="8"/>
      <c r="H40" s="8"/>
      <c r="I40" s="8"/>
      <c r="J40" s="8"/>
      <c r="K40" s="8"/>
      <c r="L40" s="8"/>
      <c r="M40" s="8"/>
      <c r="N40" s="8"/>
      <c r="O40" s="8"/>
      <c r="P40" s="8"/>
      <c r="Q40" s="8"/>
      <c r="R40" s="79"/>
      <c r="S40" s="79"/>
      <c r="T40" s="79"/>
      <c r="U40" s="34"/>
      <c r="V40" s="34"/>
    </row>
    <row r="41" spans="1:22" ht="12.75" customHeight="1" x14ac:dyDescent="0.2">
      <c r="A41" s="38"/>
      <c r="B41" s="38"/>
      <c r="C41" s="8"/>
      <c r="D41" s="8"/>
      <c r="E41" s="8"/>
      <c r="F41" s="8"/>
      <c r="G41" s="8"/>
      <c r="H41" s="8"/>
      <c r="I41" s="8"/>
      <c r="J41" s="8"/>
      <c r="K41" s="8"/>
      <c r="L41" s="8"/>
      <c r="M41" s="8"/>
      <c r="N41" s="8"/>
      <c r="O41" s="8"/>
      <c r="P41" s="8"/>
      <c r="Q41" s="8"/>
      <c r="R41" s="79"/>
      <c r="S41" s="79"/>
      <c r="T41" s="79"/>
      <c r="U41" s="34"/>
      <c r="V41" s="34"/>
    </row>
    <row r="42" spans="1:22" ht="12.75" customHeight="1" x14ac:dyDescent="0.2">
      <c r="A42" s="38"/>
      <c r="B42" s="38"/>
      <c r="C42" s="8"/>
      <c r="D42" s="8"/>
      <c r="E42" s="8"/>
      <c r="F42" s="8"/>
      <c r="G42" s="8"/>
      <c r="H42" s="8"/>
      <c r="I42" s="8"/>
      <c r="J42" s="8"/>
      <c r="K42" s="8"/>
      <c r="L42" s="8"/>
      <c r="M42" s="8"/>
      <c r="N42" s="8"/>
      <c r="O42" s="8"/>
      <c r="P42" s="8"/>
      <c r="Q42" s="8"/>
      <c r="R42" s="79"/>
      <c r="S42" s="79"/>
      <c r="T42" s="79"/>
      <c r="U42" s="34"/>
      <c r="V42" s="34"/>
    </row>
    <row r="43" spans="1:22" ht="12.75" customHeight="1" x14ac:dyDescent="0.2">
      <c r="A43" s="38"/>
      <c r="B43" s="38"/>
      <c r="C43" s="8"/>
      <c r="D43" s="8"/>
      <c r="E43" s="8"/>
      <c r="F43" s="8"/>
      <c r="G43" s="8"/>
      <c r="H43" s="8"/>
      <c r="I43" s="8"/>
      <c r="J43" s="8"/>
      <c r="K43" s="8"/>
      <c r="L43" s="8"/>
      <c r="M43" s="8"/>
      <c r="N43" s="8"/>
      <c r="O43" s="8"/>
      <c r="P43" s="8"/>
      <c r="Q43" s="8"/>
      <c r="R43" s="79"/>
      <c r="S43" s="79"/>
      <c r="T43" s="79"/>
      <c r="U43" s="34"/>
      <c r="V43" s="34"/>
    </row>
    <row r="44" spans="1:22" ht="12.75" customHeight="1" x14ac:dyDescent="0.2">
      <c r="A44" s="38"/>
      <c r="B44" s="38"/>
      <c r="C44" s="8"/>
      <c r="D44" s="8"/>
      <c r="E44" s="8"/>
      <c r="F44" s="8"/>
      <c r="G44" s="8"/>
      <c r="H44" s="8"/>
      <c r="I44" s="8"/>
      <c r="J44" s="8"/>
      <c r="K44" s="8"/>
      <c r="L44" s="8"/>
      <c r="M44" s="8"/>
      <c r="N44" s="8"/>
      <c r="O44" s="8"/>
      <c r="P44" s="8"/>
      <c r="Q44" s="8"/>
      <c r="R44" s="79"/>
      <c r="S44" s="79"/>
      <c r="T44" s="79"/>
      <c r="U44" s="34"/>
      <c r="V44" s="34"/>
    </row>
    <row r="45" spans="1:22" ht="12.75" customHeight="1" x14ac:dyDescent="0.2">
      <c r="A45" s="38"/>
      <c r="B45" s="38"/>
      <c r="C45" s="8"/>
      <c r="D45" s="8"/>
      <c r="E45" s="8"/>
      <c r="F45" s="8"/>
      <c r="G45" s="8"/>
      <c r="H45" s="8"/>
      <c r="I45" s="8"/>
      <c r="J45" s="8"/>
      <c r="K45" s="8"/>
      <c r="L45" s="8"/>
      <c r="M45" s="8"/>
      <c r="N45" s="8"/>
      <c r="O45" s="8"/>
      <c r="P45" s="8"/>
      <c r="Q45" s="8"/>
      <c r="R45" s="79"/>
      <c r="S45" s="79"/>
      <c r="T45" s="79"/>
      <c r="U45" s="34"/>
      <c r="V45" s="34"/>
    </row>
    <row r="46" spans="1:22" ht="12.75" customHeight="1" x14ac:dyDescent="0.2">
      <c r="A46" s="38"/>
      <c r="B46" s="38"/>
      <c r="C46" s="8"/>
      <c r="D46" s="8"/>
      <c r="E46" s="8"/>
      <c r="F46" s="8"/>
      <c r="G46" s="8"/>
      <c r="H46" s="8"/>
      <c r="I46" s="8"/>
      <c r="J46" s="8"/>
      <c r="K46" s="8"/>
      <c r="L46" s="8"/>
      <c r="M46" s="8"/>
      <c r="N46" s="8"/>
      <c r="O46" s="8"/>
      <c r="P46" s="8"/>
      <c r="Q46" s="8"/>
      <c r="R46" s="79"/>
      <c r="S46" s="79"/>
      <c r="T46" s="79"/>
      <c r="U46" s="34"/>
      <c r="V46" s="34"/>
    </row>
    <row r="47" spans="1:22" ht="12.75" customHeight="1" x14ac:dyDescent="0.2">
      <c r="A47" s="38"/>
      <c r="B47" s="38"/>
      <c r="C47" s="8"/>
      <c r="D47" s="8"/>
      <c r="E47" s="8"/>
      <c r="F47" s="8"/>
      <c r="G47" s="8"/>
      <c r="H47" s="8"/>
      <c r="I47" s="8"/>
      <c r="J47" s="8"/>
      <c r="K47" s="8"/>
      <c r="L47" s="8"/>
      <c r="M47" s="8"/>
      <c r="N47" s="8"/>
      <c r="O47" s="8"/>
      <c r="P47" s="8"/>
      <c r="Q47" s="8"/>
      <c r="R47" s="79"/>
      <c r="S47" s="79"/>
      <c r="T47" s="79"/>
      <c r="U47" s="34"/>
      <c r="V47" s="34"/>
    </row>
    <row r="48" spans="1:22" ht="12.75" customHeight="1" x14ac:dyDescent="0.2">
      <c r="A48" s="38"/>
      <c r="B48" s="38"/>
      <c r="C48" s="8"/>
      <c r="D48" s="8"/>
      <c r="E48" s="8"/>
      <c r="F48" s="8"/>
      <c r="G48" s="8"/>
      <c r="H48" s="8"/>
      <c r="I48" s="8"/>
      <c r="J48" s="8"/>
      <c r="K48" s="8"/>
      <c r="L48" s="8"/>
      <c r="M48" s="8"/>
      <c r="N48" s="8"/>
      <c r="O48" s="8"/>
      <c r="P48" s="8"/>
      <c r="Q48" s="8"/>
      <c r="R48" s="79"/>
      <c r="S48" s="79"/>
      <c r="T48" s="79"/>
      <c r="U48" s="34"/>
      <c r="V48" s="34"/>
    </row>
    <row r="49" spans="1:22" ht="12.75" customHeight="1" x14ac:dyDescent="0.2">
      <c r="A49" s="38"/>
      <c r="B49" s="38"/>
      <c r="C49" s="8"/>
      <c r="D49" s="8"/>
      <c r="E49" s="8"/>
      <c r="F49" s="8"/>
      <c r="G49" s="8"/>
      <c r="H49" s="8"/>
      <c r="I49" s="8"/>
      <c r="J49" s="8"/>
      <c r="K49" s="8"/>
      <c r="L49" s="8"/>
      <c r="M49" s="8"/>
      <c r="N49" s="8"/>
      <c r="O49" s="8"/>
      <c r="P49" s="8"/>
      <c r="Q49" s="8"/>
      <c r="R49" s="79"/>
      <c r="S49" s="79"/>
      <c r="T49" s="79"/>
      <c r="U49" s="34"/>
      <c r="V49" s="34"/>
    </row>
    <row r="50" spans="1:22" ht="12.75" customHeight="1" x14ac:dyDescent="0.2">
      <c r="A50" s="38"/>
      <c r="B50" s="38"/>
      <c r="C50" s="8"/>
      <c r="D50" s="8"/>
      <c r="E50" s="8"/>
      <c r="F50" s="8"/>
      <c r="G50" s="8"/>
      <c r="H50" s="8"/>
      <c r="I50" s="8"/>
      <c r="J50" s="8"/>
      <c r="K50" s="8"/>
      <c r="L50" s="8"/>
      <c r="M50" s="8"/>
      <c r="N50" s="8"/>
      <c r="O50" s="8"/>
      <c r="P50" s="8"/>
      <c r="Q50" s="8"/>
      <c r="R50" s="79"/>
      <c r="S50" s="79"/>
      <c r="T50" s="79"/>
      <c r="U50" s="34"/>
      <c r="V50" s="34"/>
    </row>
    <row r="51" spans="1:22" ht="12.75" customHeight="1" x14ac:dyDescent="0.2">
      <c r="A51" s="38"/>
      <c r="B51" s="38"/>
      <c r="C51" s="8"/>
      <c r="D51" s="8"/>
      <c r="E51" s="8"/>
      <c r="F51" s="8"/>
      <c r="G51" s="8"/>
      <c r="H51" s="8"/>
      <c r="I51" s="8"/>
      <c r="J51" s="8"/>
      <c r="K51" s="8"/>
      <c r="L51" s="8"/>
      <c r="M51" s="8"/>
      <c r="N51" s="8"/>
      <c r="O51" s="8"/>
      <c r="P51" s="8"/>
      <c r="Q51" s="8"/>
      <c r="R51" s="79"/>
      <c r="S51" s="79"/>
      <c r="T51" s="79"/>
      <c r="U51" s="34"/>
      <c r="V51" s="34"/>
    </row>
    <row r="52" spans="1:22" ht="12.75" customHeight="1" x14ac:dyDescent="0.2">
      <c r="A52" s="38"/>
      <c r="B52" s="38"/>
      <c r="C52" s="8"/>
      <c r="D52" s="8"/>
      <c r="E52" s="8"/>
      <c r="F52" s="8"/>
      <c r="G52" s="8"/>
      <c r="H52" s="8"/>
      <c r="I52" s="8"/>
      <c r="J52" s="8"/>
      <c r="K52" s="8"/>
      <c r="L52" s="8"/>
      <c r="M52" s="8"/>
      <c r="N52" s="8"/>
      <c r="O52" s="8"/>
      <c r="P52" s="8"/>
      <c r="Q52" s="8"/>
      <c r="R52" s="79"/>
      <c r="S52" s="79"/>
      <c r="T52" s="79"/>
      <c r="U52" s="34"/>
      <c r="V52" s="34"/>
    </row>
    <row r="53" spans="1:22" ht="12.75" customHeight="1" x14ac:dyDescent="0.2">
      <c r="A53" s="38"/>
      <c r="B53" s="38"/>
      <c r="C53" s="8"/>
      <c r="D53" s="8"/>
      <c r="E53" s="8"/>
      <c r="F53" s="8"/>
      <c r="G53" s="8"/>
      <c r="H53" s="8"/>
      <c r="I53" s="8"/>
      <c r="J53" s="8"/>
      <c r="K53" s="8"/>
      <c r="L53" s="8"/>
      <c r="M53" s="8"/>
      <c r="N53" s="8"/>
      <c r="O53" s="8"/>
      <c r="P53" s="8"/>
      <c r="Q53" s="8"/>
      <c r="R53" s="79"/>
      <c r="S53" s="79"/>
      <c r="T53" s="79"/>
      <c r="U53" s="34"/>
      <c r="V53" s="34"/>
    </row>
    <row r="54" spans="1:22" ht="12.75" customHeight="1" x14ac:dyDescent="0.2">
      <c r="A54" s="38"/>
      <c r="B54" s="38"/>
      <c r="C54" s="8"/>
      <c r="D54" s="8"/>
      <c r="E54" s="8"/>
      <c r="F54" s="8"/>
      <c r="G54" s="8"/>
      <c r="H54" s="8"/>
      <c r="I54" s="8"/>
      <c r="J54" s="8"/>
      <c r="K54" s="8"/>
      <c r="L54" s="8"/>
      <c r="M54" s="8"/>
      <c r="N54" s="8"/>
      <c r="O54" s="8"/>
      <c r="P54" s="8"/>
      <c r="Q54" s="8"/>
      <c r="R54" s="79"/>
      <c r="S54" s="79"/>
      <c r="T54" s="79"/>
      <c r="U54" s="34"/>
      <c r="V54" s="34"/>
    </row>
    <row r="55" spans="1:22" ht="12.75" customHeight="1" x14ac:dyDescent="0.2">
      <c r="A55" s="38"/>
      <c r="B55" s="38"/>
      <c r="C55" s="8"/>
      <c r="D55" s="8"/>
      <c r="E55" s="8"/>
      <c r="F55" s="8"/>
      <c r="G55" s="8"/>
      <c r="H55" s="8"/>
      <c r="I55" s="8"/>
      <c r="J55" s="8"/>
      <c r="K55" s="8"/>
      <c r="L55" s="8"/>
      <c r="M55" s="8"/>
      <c r="N55" s="8"/>
      <c r="O55" s="8"/>
      <c r="P55" s="8"/>
      <c r="Q55" s="8"/>
      <c r="R55" s="79"/>
      <c r="S55" s="79"/>
      <c r="T55" s="79"/>
      <c r="U55" s="34"/>
      <c r="V55" s="34"/>
    </row>
    <row r="56" spans="1:22" ht="12.75" customHeight="1" x14ac:dyDescent="0.2">
      <c r="A56" s="38"/>
      <c r="B56" s="38"/>
      <c r="C56" s="8"/>
      <c r="D56" s="8"/>
      <c r="E56" s="8"/>
      <c r="F56" s="8"/>
      <c r="G56" s="8"/>
      <c r="H56" s="8"/>
      <c r="I56" s="8"/>
      <c r="J56" s="8"/>
      <c r="K56" s="8"/>
      <c r="L56" s="8"/>
      <c r="M56" s="8"/>
      <c r="N56" s="8"/>
      <c r="O56" s="8"/>
      <c r="P56" s="8"/>
      <c r="Q56" s="8"/>
      <c r="R56" s="79"/>
      <c r="S56" s="79"/>
      <c r="T56" s="79"/>
      <c r="U56" s="34"/>
      <c r="V56" s="34"/>
    </row>
    <row r="57" spans="1:22" ht="12.75" customHeight="1" x14ac:dyDescent="0.2">
      <c r="A57" s="38"/>
      <c r="B57" s="38"/>
      <c r="C57" s="8"/>
      <c r="D57" s="8"/>
      <c r="E57" s="8"/>
      <c r="F57" s="8"/>
      <c r="G57" s="8"/>
      <c r="H57" s="8"/>
      <c r="I57" s="8"/>
      <c r="J57" s="8"/>
      <c r="K57" s="8"/>
      <c r="L57" s="8"/>
      <c r="M57" s="8"/>
      <c r="N57" s="8"/>
      <c r="O57" s="8"/>
      <c r="P57" s="8"/>
      <c r="Q57" s="8"/>
      <c r="R57" s="79"/>
      <c r="S57" s="79"/>
      <c r="T57" s="79"/>
      <c r="U57" s="34"/>
      <c r="V57" s="34"/>
    </row>
    <row r="58" spans="1:22" ht="12.75" customHeight="1" x14ac:dyDescent="0.2">
      <c r="A58" s="38"/>
      <c r="B58" s="38"/>
      <c r="C58" s="8"/>
      <c r="D58" s="8"/>
      <c r="E58" s="8"/>
      <c r="F58" s="8"/>
      <c r="G58" s="8"/>
      <c r="H58" s="8"/>
      <c r="I58" s="8"/>
      <c r="J58" s="8"/>
      <c r="K58" s="8"/>
      <c r="L58" s="8"/>
      <c r="M58" s="8"/>
      <c r="N58" s="8"/>
      <c r="O58" s="8"/>
      <c r="P58" s="8"/>
      <c r="Q58" s="8"/>
      <c r="R58" s="79"/>
      <c r="S58" s="79"/>
      <c r="T58" s="79"/>
      <c r="U58" s="34"/>
      <c r="V58" s="34"/>
    </row>
    <row r="59" spans="1:22" ht="12.75" customHeight="1" x14ac:dyDescent="0.2">
      <c r="A59" s="38"/>
      <c r="B59" s="38"/>
      <c r="C59" s="8"/>
      <c r="D59" s="8"/>
      <c r="E59" s="8"/>
      <c r="F59" s="8"/>
      <c r="G59" s="8"/>
      <c r="H59" s="8"/>
      <c r="I59" s="8"/>
      <c r="J59" s="8"/>
      <c r="K59" s="8"/>
      <c r="L59" s="8"/>
      <c r="M59" s="8"/>
      <c r="N59" s="8"/>
      <c r="O59" s="8"/>
      <c r="P59" s="8"/>
      <c r="Q59" s="8"/>
      <c r="R59" s="79"/>
      <c r="S59" s="79"/>
      <c r="T59" s="79"/>
      <c r="U59" s="34"/>
      <c r="V59" s="34"/>
    </row>
    <row r="60" spans="1:22" ht="12.75" customHeight="1" x14ac:dyDescent="0.2">
      <c r="A60" s="38"/>
      <c r="B60" s="38"/>
      <c r="C60" s="8"/>
      <c r="D60" s="8"/>
      <c r="E60" s="8"/>
      <c r="F60" s="8"/>
      <c r="G60" s="8"/>
      <c r="H60" s="8"/>
      <c r="I60" s="8"/>
      <c r="J60" s="8"/>
      <c r="K60" s="8"/>
      <c r="L60" s="8"/>
      <c r="M60" s="8"/>
      <c r="N60" s="8"/>
      <c r="O60" s="8"/>
      <c r="P60" s="8"/>
      <c r="Q60" s="8"/>
      <c r="R60" s="79"/>
      <c r="S60" s="79"/>
      <c r="T60" s="79"/>
      <c r="U60" s="34"/>
      <c r="V60" s="34"/>
    </row>
    <row r="61" spans="1:22" ht="12.75" customHeight="1" x14ac:dyDescent="0.2">
      <c r="A61" s="38"/>
      <c r="B61" s="38"/>
      <c r="C61" s="8"/>
      <c r="D61" s="8"/>
      <c r="E61" s="8"/>
      <c r="F61" s="8"/>
      <c r="G61" s="8"/>
      <c r="H61" s="8"/>
      <c r="I61" s="8"/>
      <c r="J61" s="8"/>
      <c r="K61" s="8"/>
      <c r="L61" s="8"/>
      <c r="M61" s="8"/>
      <c r="N61" s="8"/>
      <c r="O61" s="8"/>
      <c r="P61" s="8"/>
      <c r="Q61" s="8"/>
      <c r="R61" s="79"/>
      <c r="S61" s="79"/>
      <c r="T61" s="79"/>
      <c r="U61" s="34"/>
      <c r="V61" s="34"/>
    </row>
    <row r="62" spans="1:22" ht="12.75" customHeight="1" x14ac:dyDescent="0.2">
      <c r="A62" s="38"/>
      <c r="B62" s="38"/>
      <c r="C62" s="8"/>
      <c r="D62" s="8"/>
      <c r="E62" s="8"/>
      <c r="F62" s="8"/>
      <c r="G62" s="8"/>
      <c r="H62" s="8"/>
      <c r="I62" s="8"/>
      <c r="J62" s="8"/>
      <c r="K62" s="8"/>
      <c r="L62" s="8"/>
      <c r="M62" s="8"/>
      <c r="N62" s="8"/>
      <c r="O62" s="8"/>
      <c r="P62" s="8"/>
      <c r="Q62" s="8"/>
      <c r="R62" s="79"/>
      <c r="S62" s="79"/>
      <c r="T62" s="79"/>
      <c r="U62" s="34"/>
      <c r="V62" s="34"/>
    </row>
    <row r="63" spans="1:22" ht="12.75" customHeight="1" x14ac:dyDescent="0.2">
      <c r="A63" s="38"/>
      <c r="B63" s="38"/>
      <c r="C63" s="8"/>
      <c r="D63" s="8"/>
      <c r="E63" s="8"/>
      <c r="F63" s="8"/>
      <c r="G63" s="8"/>
      <c r="H63" s="8"/>
      <c r="I63" s="8"/>
      <c r="J63" s="8"/>
      <c r="K63" s="8"/>
      <c r="L63" s="8"/>
      <c r="M63" s="8"/>
      <c r="N63" s="8"/>
      <c r="O63" s="8"/>
      <c r="P63" s="8"/>
      <c r="Q63" s="8"/>
      <c r="R63" s="79"/>
      <c r="S63" s="79"/>
      <c r="T63" s="79"/>
      <c r="U63" s="34"/>
      <c r="V63" s="34"/>
    </row>
    <row r="64" spans="1:22" ht="12.75" customHeight="1" x14ac:dyDescent="0.2">
      <c r="A64" s="38"/>
      <c r="B64" s="38"/>
      <c r="C64" s="8"/>
      <c r="D64" s="8"/>
      <c r="E64" s="8"/>
      <c r="F64" s="8"/>
      <c r="G64" s="8"/>
      <c r="H64" s="8"/>
      <c r="I64" s="8"/>
      <c r="J64" s="8"/>
      <c r="K64" s="8"/>
      <c r="L64" s="8"/>
      <c r="M64" s="8"/>
      <c r="N64" s="8"/>
      <c r="O64" s="8"/>
      <c r="P64" s="8"/>
      <c r="Q64" s="8"/>
      <c r="R64" s="79"/>
      <c r="S64" s="79"/>
      <c r="T64" s="79"/>
      <c r="U64" s="34"/>
      <c r="V64" s="34"/>
    </row>
    <row r="65" spans="1:22" ht="12.75" customHeight="1" x14ac:dyDescent="0.2">
      <c r="A65" s="38"/>
      <c r="B65" s="38"/>
      <c r="C65" s="8"/>
      <c r="D65" s="8"/>
      <c r="E65" s="8"/>
      <c r="F65" s="8"/>
      <c r="G65" s="8"/>
      <c r="H65" s="8"/>
      <c r="I65" s="8"/>
      <c r="J65" s="8"/>
      <c r="K65" s="8"/>
      <c r="L65" s="8"/>
      <c r="M65" s="8"/>
      <c r="N65" s="8"/>
      <c r="O65" s="8"/>
      <c r="P65" s="8"/>
      <c r="Q65" s="8"/>
      <c r="R65" s="79"/>
      <c r="S65" s="79"/>
      <c r="T65" s="79"/>
      <c r="U65" s="34"/>
      <c r="V65" s="34"/>
    </row>
    <row r="66" spans="1:22" ht="12.75" customHeight="1" x14ac:dyDescent="0.2">
      <c r="A66" s="38"/>
      <c r="B66" s="38"/>
      <c r="C66" s="8"/>
      <c r="D66" s="8"/>
      <c r="E66" s="8"/>
      <c r="F66" s="8"/>
      <c r="G66" s="8"/>
      <c r="H66" s="8"/>
      <c r="I66" s="8"/>
      <c r="J66" s="8"/>
      <c r="K66" s="8"/>
      <c r="L66" s="8"/>
      <c r="M66" s="8"/>
      <c r="N66" s="8"/>
      <c r="O66" s="8"/>
      <c r="P66" s="8"/>
      <c r="Q66" s="8"/>
      <c r="R66" s="79"/>
      <c r="S66" s="79"/>
      <c r="T66" s="79"/>
      <c r="U66" s="34"/>
      <c r="V66" s="34"/>
    </row>
    <row r="67" spans="1:22" ht="12.75" customHeight="1" x14ac:dyDescent="0.2">
      <c r="A67" s="38"/>
      <c r="B67" s="38"/>
      <c r="C67" s="8"/>
      <c r="D67" s="8"/>
      <c r="E67" s="8"/>
      <c r="F67" s="8"/>
      <c r="G67" s="8"/>
      <c r="H67" s="8"/>
      <c r="I67" s="8"/>
      <c r="J67" s="8"/>
      <c r="K67" s="8"/>
      <c r="L67" s="8"/>
      <c r="M67" s="8"/>
      <c r="N67" s="8"/>
      <c r="O67" s="8"/>
      <c r="P67" s="8"/>
      <c r="Q67" s="8"/>
      <c r="R67" s="79"/>
      <c r="S67" s="79"/>
      <c r="T67" s="79"/>
      <c r="U67" s="34"/>
      <c r="V67" s="34"/>
    </row>
    <row r="68" spans="1:22" ht="12.75" customHeight="1" x14ac:dyDescent="0.2">
      <c r="A68" s="38"/>
      <c r="B68" s="38"/>
      <c r="C68" s="8"/>
      <c r="D68" s="8"/>
      <c r="E68" s="8"/>
      <c r="F68" s="8"/>
      <c r="G68" s="8"/>
      <c r="H68" s="8"/>
      <c r="I68" s="8"/>
      <c r="J68" s="8"/>
      <c r="K68" s="8"/>
      <c r="L68" s="8"/>
      <c r="M68" s="8"/>
      <c r="N68" s="8"/>
      <c r="O68" s="8"/>
      <c r="P68" s="8"/>
      <c r="Q68" s="8"/>
      <c r="R68" s="79"/>
      <c r="S68" s="79"/>
      <c r="T68" s="79"/>
      <c r="U68" s="34"/>
      <c r="V68" s="34"/>
    </row>
    <row r="69" spans="1:22" ht="12.75" customHeight="1" x14ac:dyDescent="0.2">
      <c r="A69" s="38"/>
      <c r="B69" s="38"/>
      <c r="C69" s="8"/>
      <c r="D69" s="8"/>
      <c r="E69" s="8"/>
      <c r="F69" s="8"/>
      <c r="G69" s="8"/>
      <c r="H69" s="8"/>
      <c r="I69" s="8"/>
      <c r="J69" s="8"/>
      <c r="K69" s="8"/>
      <c r="L69" s="8"/>
      <c r="M69" s="8"/>
      <c r="N69" s="8"/>
      <c r="O69" s="8"/>
      <c r="P69" s="8"/>
      <c r="Q69" s="8"/>
      <c r="R69" s="79"/>
      <c r="S69" s="79"/>
      <c r="T69" s="79"/>
      <c r="U69" s="34"/>
      <c r="V69" s="34"/>
    </row>
    <row r="70" spans="1:22" ht="12.75" customHeight="1" x14ac:dyDescent="0.2">
      <c r="A70" s="38"/>
      <c r="B70" s="38"/>
      <c r="C70" s="8"/>
      <c r="D70" s="8"/>
      <c r="E70" s="8"/>
      <c r="F70" s="8"/>
      <c r="G70" s="8"/>
      <c r="H70" s="8"/>
      <c r="I70" s="8"/>
      <c r="J70" s="8"/>
      <c r="K70" s="8"/>
      <c r="L70" s="8"/>
      <c r="M70" s="8"/>
      <c r="N70" s="8"/>
      <c r="O70" s="8"/>
      <c r="P70" s="8"/>
      <c r="Q70" s="8"/>
      <c r="R70" s="79"/>
      <c r="S70" s="79"/>
      <c r="T70" s="79"/>
      <c r="U70" s="34"/>
      <c r="V70" s="34"/>
    </row>
    <row r="71" spans="1:22" ht="12.75" customHeight="1" x14ac:dyDescent="0.2">
      <c r="A71" s="38"/>
      <c r="B71" s="38"/>
      <c r="C71" s="8"/>
      <c r="D71" s="8"/>
      <c r="E71" s="8"/>
      <c r="F71" s="8"/>
      <c r="G71" s="8"/>
      <c r="H71" s="8"/>
      <c r="I71" s="8"/>
      <c r="J71" s="8"/>
      <c r="K71" s="8"/>
      <c r="L71" s="8"/>
      <c r="M71" s="8"/>
      <c r="N71" s="8"/>
      <c r="O71" s="8"/>
      <c r="P71" s="8"/>
      <c r="Q71" s="8"/>
      <c r="R71" s="79"/>
      <c r="S71" s="79"/>
      <c r="T71" s="79"/>
      <c r="U71" s="34"/>
      <c r="V71" s="34"/>
    </row>
    <row r="72" spans="1:22" ht="12.75" customHeight="1" x14ac:dyDescent="0.2">
      <c r="A72" s="38"/>
      <c r="B72" s="38"/>
      <c r="C72" s="8"/>
      <c r="D72" s="8"/>
      <c r="E72" s="8"/>
      <c r="F72" s="8"/>
      <c r="G72" s="8"/>
      <c r="H72" s="8"/>
      <c r="I72" s="8"/>
      <c r="J72" s="8"/>
      <c r="K72" s="8"/>
      <c r="L72" s="8"/>
      <c r="M72" s="8"/>
      <c r="N72" s="8"/>
      <c r="O72" s="8"/>
      <c r="P72" s="8"/>
      <c r="Q72" s="8"/>
      <c r="R72" s="79"/>
      <c r="S72" s="79"/>
      <c r="T72" s="79"/>
      <c r="U72" s="34"/>
      <c r="V72" s="34"/>
    </row>
    <row r="73" spans="1:22" ht="12.75" customHeight="1" x14ac:dyDescent="0.2">
      <c r="A73" s="38"/>
      <c r="B73" s="38"/>
      <c r="C73" s="8"/>
      <c r="D73" s="8"/>
      <c r="E73" s="8"/>
      <c r="F73" s="8"/>
      <c r="G73" s="8"/>
      <c r="H73" s="8"/>
      <c r="I73" s="8"/>
      <c r="J73" s="8"/>
      <c r="K73" s="8"/>
      <c r="L73" s="8"/>
      <c r="M73" s="8"/>
      <c r="N73" s="8"/>
      <c r="O73" s="8"/>
      <c r="P73" s="8"/>
      <c r="Q73" s="8"/>
      <c r="R73" s="79"/>
      <c r="S73" s="79"/>
      <c r="T73" s="79"/>
      <c r="U73" s="34"/>
      <c r="V73" s="34"/>
    </row>
    <row r="74" spans="1:22" ht="12.75" customHeight="1" x14ac:dyDescent="0.2">
      <c r="A74" s="38"/>
      <c r="B74" s="38"/>
      <c r="C74" s="8"/>
      <c r="D74" s="8"/>
      <c r="E74" s="8"/>
      <c r="F74" s="8"/>
      <c r="G74" s="8"/>
      <c r="H74" s="8"/>
      <c r="I74" s="8"/>
      <c r="J74" s="8"/>
      <c r="K74" s="8"/>
      <c r="L74" s="8"/>
      <c r="M74" s="8"/>
      <c r="N74" s="8"/>
      <c r="O74" s="8"/>
      <c r="P74" s="8"/>
      <c r="Q74" s="8"/>
      <c r="R74" s="79"/>
      <c r="S74" s="79"/>
      <c r="T74" s="79"/>
      <c r="U74" s="34"/>
      <c r="V74" s="34"/>
    </row>
    <row r="75" spans="1:22" ht="12.75" customHeight="1" x14ac:dyDescent="0.2">
      <c r="A75" s="38"/>
      <c r="B75" s="38"/>
      <c r="C75" s="8"/>
      <c r="D75" s="8"/>
      <c r="E75" s="8"/>
      <c r="F75" s="8"/>
      <c r="G75" s="8"/>
      <c r="H75" s="8"/>
      <c r="I75" s="8"/>
      <c r="J75" s="8"/>
      <c r="K75" s="8"/>
      <c r="L75" s="8"/>
      <c r="M75" s="8"/>
      <c r="N75" s="8"/>
      <c r="O75" s="8"/>
      <c r="P75" s="8"/>
      <c r="Q75" s="8"/>
      <c r="R75" s="79"/>
      <c r="S75" s="79"/>
      <c r="T75" s="79"/>
      <c r="U75" s="34"/>
      <c r="V75" s="34"/>
    </row>
    <row r="76" spans="1:22" ht="12.75" customHeight="1" x14ac:dyDescent="0.2">
      <c r="A76" s="38"/>
      <c r="B76" s="38"/>
      <c r="C76" s="8"/>
      <c r="D76" s="8"/>
      <c r="E76" s="8"/>
      <c r="F76" s="8"/>
      <c r="G76" s="8"/>
      <c r="H76" s="8"/>
      <c r="I76" s="8"/>
      <c r="J76" s="8"/>
      <c r="K76" s="8"/>
      <c r="L76" s="8"/>
      <c r="M76" s="8"/>
      <c r="N76" s="8"/>
      <c r="O76" s="8"/>
      <c r="P76" s="8"/>
      <c r="Q76" s="8"/>
      <c r="R76" s="79"/>
      <c r="S76" s="79"/>
      <c r="T76" s="79"/>
      <c r="U76" s="34"/>
      <c r="V76" s="34"/>
    </row>
    <row r="77" spans="1:22" ht="12.75" customHeight="1" x14ac:dyDescent="0.2">
      <c r="A77" s="38"/>
      <c r="B77" s="38"/>
      <c r="C77" s="8"/>
      <c r="D77" s="8"/>
      <c r="E77" s="8"/>
      <c r="F77" s="8"/>
      <c r="G77" s="8"/>
      <c r="H77" s="8"/>
      <c r="I77" s="8"/>
      <c r="J77" s="8"/>
      <c r="K77" s="8"/>
      <c r="L77" s="8"/>
      <c r="M77" s="8"/>
      <c r="N77" s="8"/>
      <c r="O77" s="8"/>
      <c r="P77" s="8"/>
      <c r="Q77" s="8"/>
      <c r="R77" s="79"/>
      <c r="S77" s="79"/>
      <c r="T77" s="79"/>
      <c r="U77" s="34"/>
      <c r="V77" s="34"/>
    </row>
    <row r="78" spans="1:22" ht="12.75" customHeight="1" x14ac:dyDescent="0.2">
      <c r="A78" s="38"/>
      <c r="B78" s="38"/>
      <c r="C78" s="8"/>
      <c r="D78" s="8"/>
      <c r="E78" s="8"/>
      <c r="F78" s="8"/>
      <c r="G78" s="8"/>
      <c r="H78" s="8"/>
      <c r="I78" s="8"/>
      <c r="J78" s="8"/>
      <c r="K78" s="8"/>
      <c r="L78" s="8"/>
      <c r="M78" s="8"/>
      <c r="N78" s="8"/>
      <c r="O78" s="8"/>
      <c r="P78" s="8"/>
      <c r="Q78" s="8"/>
      <c r="R78" s="79"/>
      <c r="S78" s="79"/>
      <c r="T78" s="79"/>
      <c r="U78" s="34"/>
      <c r="V78" s="34"/>
    </row>
    <row r="79" spans="1:22" ht="12.75" customHeight="1" x14ac:dyDescent="0.2">
      <c r="A79" s="38"/>
      <c r="B79" s="38"/>
      <c r="C79" s="8"/>
      <c r="D79" s="8"/>
      <c r="E79" s="8"/>
      <c r="F79" s="8"/>
      <c r="G79" s="8"/>
      <c r="H79" s="8"/>
      <c r="I79" s="8"/>
      <c r="J79" s="8"/>
      <c r="K79" s="8"/>
      <c r="L79" s="8"/>
      <c r="M79" s="8"/>
      <c r="N79" s="8"/>
      <c r="O79" s="8"/>
      <c r="P79" s="8"/>
      <c r="Q79" s="8"/>
      <c r="R79" s="79"/>
      <c r="S79" s="79"/>
      <c r="T79" s="79"/>
      <c r="U79" s="34"/>
      <c r="V79" s="34"/>
    </row>
    <row r="80" spans="1:22" ht="12.75" customHeight="1" x14ac:dyDescent="0.2">
      <c r="A80" s="38"/>
      <c r="B80" s="38"/>
      <c r="C80" s="8"/>
      <c r="D80" s="8"/>
      <c r="E80" s="8"/>
      <c r="F80" s="8"/>
      <c r="G80" s="8"/>
      <c r="H80" s="8"/>
      <c r="I80" s="8"/>
      <c r="J80" s="8"/>
      <c r="K80" s="8"/>
      <c r="L80" s="8"/>
      <c r="M80" s="8"/>
      <c r="N80" s="8"/>
      <c r="O80" s="8"/>
      <c r="P80" s="8"/>
      <c r="Q80" s="8"/>
      <c r="R80" s="79"/>
      <c r="S80" s="79"/>
      <c r="T80" s="79"/>
      <c r="U80" s="34"/>
      <c r="V80" s="34"/>
    </row>
    <row r="81" spans="1:22" ht="12.75" customHeight="1" x14ac:dyDescent="0.2">
      <c r="A81" s="38"/>
      <c r="B81" s="38"/>
      <c r="C81" s="8"/>
      <c r="D81" s="8"/>
      <c r="E81" s="8"/>
      <c r="F81" s="8"/>
      <c r="G81" s="8"/>
      <c r="H81" s="8"/>
      <c r="I81" s="8"/>
      <c r="J81" s="8"/>
      <c r="K81" s="8"/>
      <c r="L81" s="8"/>
      <c r="M81" s="8"/>
      <c r="N81" s="8"/>
      <c r="O81" s="8"/>
      <c r="P81" s="8"/>
      <c r="Q81" s="8"/>
      <c r="R81" s="79"/>
      <c r="S81" s="79"/>
      <c r="T81" s="79"/>
      <c r="U81" s="34"/>
      <c r="V81" s="34"/>
    </row>
    <row r="82" spans="1:22" ht="12.75" customHeight="1" x14ac:dyDescent="0.2">
      <c r="A82" s="38"/>
      <c r="B82" s="38"/>
      <c r="C82" s="8"/>
      <c r="D82" s="8"/>
      <c r="E82" s="8"/>
      <c r="F82" s="8"/>
      <c r="G82" s="8"/>
      <c r="H82" s="8"/>
      <c r="I82" s="8"/>
      <c r="J82" s="8"/>
      <c r="K82" s="8"/>
      <c r="L82" s="8"/>
      <c r="M82" s="8"/>
      <c r="N82" s="8"/>
      <c r="O82" s="8"/>
      <c r="P82" s="8"/>
      <c r="Q82" s="8"/>
      <c r="R82" s="79"/>
      <c r="S82" s="79"/>
      <c r="T82" s="79"/>
      <c r="U82" s="34"/>
      <c r="V82" s="34"/>
    </row>
    <row r="83" spans="1:22" ht="12.75" customHeight="1" x14ac:dyDescent="0.2">
      <c r="A83" s="38"/>
      <c r="B83" s="38"/>
      <c r="C83" s="8"/>
      <c r="D83" s="8"/>
      <c r="E83" s="8"/>
      <c r="F83" s="8"/>
      <c r="G83" s="8"/>
      <c r="H83" s="8"/>
      <c r="I83" s="8"/>
      <c r="J83" s="8"/>
      <c r="K83" s="8"/>
      <c r="L83" s="8"/>
      <c r="M83" s="8"/>
      <c r="N83" s="8"/>
      <c r="O83" s="8"/>
      <c r="P83" s="8"/>
      <c r="Q83" s="8"/>
      <c r="R83" s="79"/>
      <c r="S83" s="79"/>
      <c r="T83" s="79"/>
      <c r="U83" s="34"/>
      <c r="V83" s="34"/>
    </row>
    <row r="84" spans="1:22" ht="12.75" customHeight="1" x14ac:dyDescent="0.2">
      <c r="A84" s="38"/>
      <c r="B84" s="38"/>
      <c r="C84" s="8"/>
      <c r="D84" s="8"/>
      <c r="E84" s="8"/>
      <c r="F84" s="8"/>
      <c r="G84" s="8"/>
      <c r="H84" s="8"/>
      <c r="I84" s="8"/>
      <c r="J84" s="8"/>
      <c r="K84" s="8"/>
      <c r="L84" s="8"/>
      <c r="M84" s="8"/>
      <c r="N84" s="8"/>
      <c r="O84" s="8"/>
      <c r="P84" s="8"/>
      <c r="Q84" s="8"/>
      <c r="R84" s="79"/>
      <c r="S84" s="79"/>
      <c r="T84" s="79"/>
      <c r="U84" s="34"/>
      <c r="V84" s="34"/>
    </row>
    <row r="85" spans="1:22" ht="12.75" customHeight="1" x14ac:dyDescent="0.2">
      <c r="A85" s="38"/>
      <c r="B85" s="38"/>
      <c r="C85" s="8"/>
      <c r="D85" s="8"/>
      <c r="E85" s="8"/>
      <c r="F85" s="8"/>
      <c r="G85" s="8"/>
      <c r="H85" s="8"/>
      <c r="I85" s="8"/>
      <c r="J85" s="8"/>
      <c r="K85" s="8"/>
      <c r="L85" s="8"/>
      <c r="M85" s="8"/>
      <c r="N85" s="8"/>
      <c r="O85" s="8"/>
      <c r="P85" s="8"/>
      <c r="Q85" s="8"/>
      <c r="R85" s="79"/>
      <c r="S85" s="79"/>
      <c r="T85" s="79"/>
      <c r="U85" s="34"/>
      <c r="V85" s="34"/>
    </row>
    <row r="86" spans="1:22" ht="12.75" customHeight="1" x14ac:dyDescent="0.2">
      <c r="A86" s="38"/>
      <c r="B86" s="38"/>
      <c r="C86" s="8"/>
      <c r="D86" s="8"/>
      <c r="E86" s="8"/>
      <c r="F86" s="8"/>
      <c r="G86" s="8"/>
      <c r="H86" s="8"/>
      <c r="I86" s="8"/>
      <c r="J86" s="8"/>
      <c r="K86" s="8"/>
      <c r="L86" s="8"/>
      <c r="M86" s="8"/>
      <c r="N86" s="8"/>
      <c r="O86" s="8"/>
      <c r="P86" s="8"/>
      <c r="Q86" s="8"/>
      <c r="R86" s="79"/>
      <c r="S86" s="79"/>
      <c r="T86" s="79"/>
      <c r="U86" s="34"/>
      <c r="V86" s="34"/>
    </row>
    <row r="87" spans="1:22" ht="12.75" customHeight="1" x14ac:dyDescent="0.2">
      <c r="A87" s="38"/>
      <c r="B87" s="38"/>
      <c r="C87" s="8"/>
      <c r="D87" s="8"/>
      <c r="E87" s="8"/>
      <c r="F87" s="8"/>
      <c r="G87" s="8"/>
      <c r="H87" s="8"/>
      <c r="I87" s="8"/>
      <c r="J87" s="8"/>
      <c r="K87" s="8"/>
      <c r="L87" s="8"/>
      <c r="M87" s="8"/>
      <c r="N87" s="8"/>
      <c r="O87" s="8"/>
      <c r="P87" s="8"/>
      <c r="Q87" s="8"/>
      <c r="R87" s="79"/>
      <c r="S87" s="79"/>
      <c r="T87" s="79"/>
      <c r="U87" s="34"/>
      <c r="V87" s="34"/>
    </row>
    <row r="88" spans="1:22" ht="12.75" customHeight="1" x14ac:dyDescent="0.2">
      <c r="A88" s="38"/>
      <c r="B88" s="38"/>
      <c r="C88" s="8"/>
      <c r="D88" s="8"/>
      <c r="E88" s="8"/>
      <c r="F88" s="8"/>
      <c r="G88" s="8"/>
      <c r="H88" s="8"/>
      <c r="I88" s="8"/>
      <c r="J88" s="8"/>
      <c r="K88" s="8"/>
      <c r="L88" s="8"/>
      <c r="M88" s="8"/>
      <c r="N88" s="8"/>
      <c r="O88" s="8"/>
      <c r="P88" s="8"/>
      <c r="Q88" s="8"/>
      <c r="R88" s="79"/>
      <c r="S88" s="79"/>
      <c r="T88" s="79"/>
      <c r="U88" s="34"/>
      <c r="V88" s="34"/>
    </row>
    <row r="89" spans="1:22" ht="12.75" customHeight="1" x14ac:dyDescent="0.2">
      <c r="A89" s="38"/>
      <c r="B89" s="38"/>
      <c r="C89" s="8"/>
      <c r="D89" s="8"/>
      <c r="E89" s="8"/>
      <c r="F89" s="8"/>
      <c r="G89" s="8"/>
      <c r="H89" s="8"/>
      <c r="I89" s="8"/>
      <c r="J89" s="8"/>
      <c r="K89" s="8"/>
      <c r="L89" s="8"/>
      <c r="M89" s="8"/>
      <c r="N89" s="8"/>
      <c r="O89" s="8"/>
      <c r="P89" s="8"/>
      <c r="Q89" s="8"/>
      <c r="R89" s="79"/>
      <c r="S89" s="79"/>
      <c r="T89" s="79"/>
      <c r="U89" s="34"/>
      <c r="V89" s="34"/>
    </row>
    <row r="90" spans="1:22" ht="12.75" customHeight="1" x14ac:dyDescent="0.2">
      <c r="A90" s="38"/>
      <c r="B90" s="38"/>
      <c r="C90" s="8"/>
      <c r="D90" s="8"/>
      <c r="E90" s="8"/>
      <c r="F90" s="8"/>
      <c r="G90" s="8"/>
      <c r="H90" s="8"/>
      <c r="I90" s="8"/>
      <c r="J90" s="8"/>
      <c r="K90" s="8"/>
      <c r="L90" s="8"/>
      <c r="M90" s="8"/>
      <c r="N90" s="8"/>
      <c r="O90" s="8"/>
      <c r="P90" s="8"/>
      <c r="Q90" s="8"/>
      <c r="R90" s="79"/>
      <c r="S90" s="79"/>
      <c r="T90" s="79"/>
      <c r="U90" s="34"/>
      <c r="V90" s="34"/>
    </row>
    <row r="91" spans="1:22" ht="12.75" customHeight="1" x14ac:dyDescent="0.2">
      <c r="A91" s="38"/>
      <c r="B91" s="38"/>
      <c r="C91" s="8"/>
      <c r="D91" s="8"/>
      <c r="E91" s="8"/>
      <c r="F91" s="8"/>
      <c r="G91" s="8"/>
      <c r="H91" s="8"/>
      <c r="I91" s="8"/>
      <c r="J91" s="8"/>
      <c r="K91" s="8"/>
      <c r="L91" s="8"/>
      <c r="M91" s="8"/>
      <c r="N91" s="8"/>
      <c r="O91" s="8"/>
      <c r="P91" s="8"/>
      <c r="Q91" s="8"/>
      <c r="R91" s="79"/>
      <c r="S91" s="79"/>
      <c r="T91" s="79"/>
      <c r="U91" s="34"/>
      <c r="V91" s="34"/>
    </row>
    <row r="92" spans="1:22" ht="12.75" customHeight="1" x14ac:dyDescent="0.2">
      <c r="A92" s="38"/>
      <c r="B92" s="38"/>
      <c r="C92" s="8"/>
      <c r="D92" s="8"/>
      <c r="E92" s="8"/>
      <c r="F92" s="8"/>
      <c r="G92" s="8"/>
      <c r="H92" s="8"/>
      <c r="I92" s="8"/>
      <c r="J92" s="8"/>
      <c r="K92" s="8"/>
      <c r="L92" s="8"/>
      <c r="M92" s="8"/>
      <c r="N92" s="8"/>
      <c r="O92" s="8"/>
      <c r="P92" s="8"/>
      <c r="Q92" s="8"/>
      <c r="R92" s="79"/>
      <c r="S92" s="79"/>
      <c r="T92" s="79"/>
      <c r="U92" s="34"/>
      <c r="V92" s="34"/>
    </row>
    <row r="93" spans="1:22" ht="12.75" customHeight="1" x14ac:dyDescent="0.2">
      <c r="A93" s="38"/>
      <c r="B93" s="38"/>
      <c r="C93" s="8"/>
      <c r="D93" s="8"/>
      <c r="E93" s="8"/>
      <c r="F93" s="8"/>
      <c r="G93" s="8"/>
      <c r="H93" s="8"/>
      <c r="I93" s="8"/>
      <c r="J93" s="8"/>
      <c r="K93" s="8"/>
      <c r="L93" s="8"/>
      <c r="M93" s="8"/>
      <c r="N93" s="8"/>
      <c r="O93" s="8"/>
      <c r="P93" s="8"/>
      <c r="Q93" s="8"/>
      <c r="R93" s="79"/>
      <c r="S93" s="79"/>
      <c r="T93" s="79"/>
      <c r="U93" s="34"/>
      <c r="V93" s="34"/>
    </row>
    <row r="94" spans="1:22" ht="12.75" customHeight="1" x14ac:dyDescent="0.2">
      <c r="A94" s="38"/>
      <c r="B94" s="38"/>
      <c r="C94" s="8"/>
      <c r="D94" s="8"/>
      <c r="E94" s="8"/>
      <c r="F94" s="8"/>
      <c r="G94" s="8"/>
      <c r="H94" s="8"/>
      <c r="I94" s="8"/>
      <c r="J94" s="8"/>
      <c r="K94" s="8"/>
      <c r="L94" s="8"/>
      <c r="M94" s="8"/>
      <c r="N94" s="8"/>
      <c r="O94" s="8"/>
      <c r="P94" s="8"/>
      <c r="Q94" s="8"/>
      <c r="R94" s="79"/>
      <c r="S94" s="79"/>
      <c r="T94" s="79"/>
      <c r="U94" s="34"/>
      <c r="V94" s="34"/>
    </row>
    <row r="95" spans="1:22" ht="12.75" customHeight="1" x14ac:dyDescent="0.2">
      <c r="A95" s="38"/>
      <c r="B95" s="38"/>
      <c r="C95" s="8"/>
      <c r="D95" s="8"/>
      <c r="E95" s="8"/>
      <c r="F95" s="8"/>
      <c r="G95" s="8"/>
      <c r="H95" s="8"/>
      <c r="I95" s="8"/>
      <c r="J95" s="8"/>
      <c r="K95" s="8"/>
      <c r="L95" s="8"/>
      <c r="M95" s="8"/>
      <c r="N95" s="8"/>
      <c r="O95" s="8"/>
      <c r="P95" s="8"/>
      <c r="Q95" s="8"/>
      <c r="R95" s="79"/>
      <c r="S95" s="79"/>
      <c r="T95" s="79"/>
      <c r="U95" s="34"/>
      <c r="V95" s="34"/>
    </row>
    <row r="96" spans="1:22" ht="12.75" customHeight="1" x14ac:dyDescent="0.2">
      <c r="A96" s="38"/>
      <c r="B96" s="38"/>
      <c r="C96" s="8"/>
      <c r="D96" s="8"/>
      <c r="E96" s="8"/>
      <c r="F96" s="8"/>
      <c r="G96" s="8"/>
      <c r="H96" s="8"/>
      <c r="I96" s="8"/>
      <c r="J96" s="8"/>
      <c r="K96" s="8"/>
      <c r="L96" s="8"/>
      <c r="M96" s="8"/>
      <c r="N96" s="8"/>
      <c r="O96" s="8"/>
      <c r="P96" s="8"/>
      <c r="Q96" s="8"/>
      <c r="R96" s="79"/>
      <c r="S96" s="79"/>
      <c r="T96" s="79"/>
      <c r="U96" s="34"/>
      <c r="V96" s="34"/>
    </row>
    <row r="97" spans="1:22" ht="12.75" customHeight="1" x14ac:dyDescent="0.2">
      <c r="A97" s="38"/>
      <c r="B97" s="38"/>
      <c r="C97" s="8"/>
      <c r="D97" s="8"/>
      <c r="E97" s="8"/>
      <c r="F97" s="8"/>
      <c r="G97" s="8"/>
      <c r="H97" s="8"/>
      <c r="I97" s="8"/>
      <c r="J97" s="8"/>
      <c r="K97" s="8"/>
      <c r="L97" s="8"/>
      <c r="M97" s="8"/>
      <c r="N97" s="8"/>
      <c r="O97" s="8"/>
      <c r="P97" s="8"/>
      <c r="Q97" s="8"/>
      <c r="R97" s="79"/>
      <c r="S97" s="79"/>
      <c r="T97" s="79"/>
      <c r="U97" s="34"/>
      <c r="V97" s="34"/>
    </row>
    <row r="98" spans="1:22" ht="12.75" customHeight="1" x14ac:dyDescent="0.2">
      <c r="A98" s="38"/>
      <c r="B98" s="38"/>
      <c r="C98" s="8"/>
      <c r="D98" s="8"/>
      <c r="E98" s="8"/>
      <c r="F98" s="8"/>
      <c r="G98" s="8"/>
      <c r="H98" s="8"/>
      <c r="I98" s="8"/>
      <c r="J98" s="8"/>
      <c r="K98" s="8"/>
      <c r="L98" s="8"/>
      <c r="M98" s="8"/>
      <c r="N98" s="8"/>
      <c r="O98" s="8"/>
      <c r="P98" s="8"/>
      <c r="Q98" s="8"/>
      <c r="R98" s="79"/>
      <c r="S98" s="79"/>
      <c r="T98" s="79"/>
      <c r="U98" s="34"/>
      <c r="V98" s="34"/>
    </row>
    <row r="99" spans="1:22" ht="12.75" customHeight="1" x14ac:dyDescent="0.2">
      <c r="A99" s="38"/>
      <c r="B99" s="38"/>
      <c r="C99" s="8"/>
      <c r="D99" s="8"/>
      <c r="E99" s="8"/>
      <c r="F99" s="8"/>
      <c r="G99" s="8"/>
      <c r="H99" s="8"/>
      <c r="I99" s="8"/>
      <c r="J99" s="8"/>
      <c r="K99" s="8"/>
      <c r="L99" s="8"/>
      <c r="M99" s="8"/>
      <c r="N99" s="8"/>
      <c r="O99" s="8"/>
      <c r="P99" s="8"/>
      <c r="Q99" s="8"/>
      <c r="R99" s="79"/>
      <c r="S99" s="79"/>
      <c r="T99" s="79"/>
      <c r="U99" s="34"/>
      <c r="V99" s="34"/>
    </row>
    <row r="100" spans="1:22" ht="12.75" customHeight="1" x14ac:dyDescent="0.2">
      <c r="A100" s="38"/>
      <c r="B100" s="38"/>
      <c r="C100" s="8"/>
      <c r="D100" s="8"/>
      <c r="E100" s="8"/>
      <c r="F100" s="8"/>
      <c r="G100" s="8"/>
      <c r="H100" s="8"/>
      <c r="I100" s="8"/>
      <c r="J100" s="8"/>
      <c r="K100" s="8"/>
      <c r="L100" s="8"/>
      <c r="M100" s="8"/>
      <c r="N100" s="8"/>
      <c r="O100" s="8"/>
      <c r="P100" s="8"/>
      <c r="Q100" s="8"/>
      <c r="R100" s="79"/>
      <c r="S100" s="79"/>
      <c r="T100" s="79"/>
      <c r="U100" s="34"/>
      <c r="V100" s="34"/>
    </row>
    <row r="101" spans="1:22" ht="12.75" customHeight="1" x14ac:dyDescent="0.2">
      <c r="A101" s="38"/>
      <c r="B101" s="38"/>
      <c r="C101" s="8"/>
      <c r="D101" s="8"/>
      <c r="E101" s="8"/>
      <c r="F101" s="8"/>
      <c r="G101" s="8"/>
      <c r="H101" s="8"/>
      <c r="I101" s="8"/>
      <c r="J101" s="8"/>
      <c r="K101" s="8"/>
      <c r="L101" s="8"/>
      <c r="M101" s="8"/>
      <c r="N101" s="8"/>
      <c r="O101" s="8"/>
      <c r="P101" s="8"/>
      <c r="Q101" s="8"/>
      <c r="R101" s="79"/>
      <c r="S101" s="79"/>
      <c r="T101" s="79"/>
      <c r="U101" s="34"/>
      <c r="V101" s="34"/>
    </row>
    <row r="102" spans="1:22" ht="12.75" customHeight="1" x14ac:dyDescent="0.2">
      <c r="A102" s="38"/>
      <c r="B102" s="38"/>
      <c r="C102" s="8"/>
      <c r="D102" s="8"/>
      <c r="E102" s="8"/>
      <c r="F102" s="8"/>
      <c r="G102" s="8"/>
      <c r="H102" s="8"/>
      <c r="I102" s="8"/>
      <c r="J102" s="8"/>
      <c r="K102" s="8"/>
      <c r="L102" s="8"/>
      <c r="M102" s="8"/>
      <c r="N102" s="8"/>
      <c r="O102" s="8"/>
      <c r="P102" s="8"/>
      <c r="Q102" s="8"/>
      <c r="R102" s="79"/>
      <c r="S102" s="79"/>
      <c r="T102" s="79"/>
      <c r="U102" s="34"/>
      <c r="V102" s="34"/>
    </row>
    <row r="103" spans="1:22" ht="12.75" customHeight="1" x14ac:dyDescent="0.2">
      <c r="A103" s="38"/>
      <c r="B103" s="38"/>
      <c r="C103" s="8"/>
      <c r="D103" s="8"/>
      <c r="E103" s="8"/>
      <c r="F103" s="8"/>
      <c r="G103" s="8"/>
      <c r="H103" s="8"/>
      <c r="I103" s="8"/>
      <c r="J103" s="8"/>
      <c r="K103" s="8"/>
      <c r="L103" s="8"/>
      <c r="M103" s="8"/>
      <c r="N103" s="8"/>
      <c r="O103" s="8"/>
      <c r="P103" s="8"/>
      <c r="Q103" s="8"/>
      <c r="R103" s="79"/>
      <c r="S103" s="79"/>
      <c r="T103" s="79"/>
      <c r="U103" s="34"/>
      <c r="V103" s="34"/>
    </row>
    <row r="104" spans="1:22" ht="12.75" customHeight="1" x14ac:dyDescent="0.2">
      <c r="A104" s="38"/>
      <c r="B104" s="38"/>
      <c r="C104" s="8"/>
      <c r="D104" s="8"/>
      <c r="E104" s="8"/>
      <c r="F104" s="8"/>
      <c r="G104" s="8"/>
      <c r="H104" s="8"/>
      <c r="I104" s="8"/>
      <c r="J104" s="8"/>
      <c r="K104" s="8"/>
      <c r="L104" s="8"/>
      <c r="M104" s="8"/>
      <c r="N104" s="8"/>
      <c r="O104" s="8"/>
      <c r="P104" s="8"/>
      <c r="Q104" s="8"/>
      <c r="R104" s="79"/>
      <c r="S104" s="79"/>
      <c r="T104" s="79"/>
      <c r="U104" s="34"/>
      <c r="V104" s="34"/>
    </row>
    <row r="105" spans="1:22" ht="12.75" customHeight="1" x14ac:dyDescent="0.2">
      <c r="A105" s="38"/>
      <c r="B105" s="38"/>
      <c r="C105" s="8"/>
      <c r="D105" s="8"/>
      <c r="E105" s="8"/>
      <c r="F105" s="8"/>
      <c r="G105" s="8"/>
      <c r="H105" s="8"/>
      <c r="I105" s="8"/>
      <c r="J105" s="8"/>
      <c r="K105" s="8"/>
      <c r="L105" s="8"/>
      <c r="M105" s="8"/>
      <c r="N105" s="8"/>
      <c r="O105" s="8"/>
      <c r="P105" s="8"/>
      <c r="Q105" s="8"/>
      <c r="R105" s="79"/>
      <c r="S105" s="79"/>
      <c r="T105" s="79"/>
      <c r="U105" s="34"/>
      <c r="V105" s="34"/>
    </row>
    <row r="106" spans="1:22" ht="12.75" customHeight="1" x14ac:dyDescent="0.2">
      <c r="A106" s="38"/>
      <c r="B106" s="38"/>
      <c r="C106" s="8"/>
      <c r="D106" s="8"/>
      <c r="E106" s="8"/>
      <c r="F106" s="8"/>
      <c r="G106" s="8"/>
      <c r="H106" s="8"/>
      <c r="I106" s="8"/>
      <c r="J106" s="8"/>
      <c r="K106" s="8"/>
      <c r="L106" s="8"/>
      <c r="M106" s="8"/>
      <c r="N106" s="8"/>
      <c r="O106" s="8"/>
      <c r="P106" s="8"/>
      <c r="Q106" s="8"/>
      <c r="R106" s="79"/>
      <c r="S106" s="79"/>
      <c r="T106" s="79"/>
      <c r="U106" s="34"/>
      <c r="V106" s="34"/>
    </row>
    <row r="107" spans="1:22" ht="12.75" customHeight="1" x14ac:dyDescent="0.2">
      <c r="A107" s="38"/>
      <c r="B107" s="38"/>
      <c r="C107" s="8"/>
      <c r="D107" s="8"/>
      <c r="E107" s="8"/>
      <c r="F107" s="8"/>
      <c r="G107" s="8"/>
      <c r="H107" s="8"/>
      <c r="I107" s="8"/>
      <c r="J107" s="8"/>
      <c r="K107" s="8"/>
      <c r="L107" s="8"/>
      <c r="M107" s="8"/>
      <c r="N107" s="8"/>
      <c r="O107" s="8"/>
      <c r="P107" s="8"/>
      <c r="Q107" s="8"/>
      <c r="R107" s="79"/>
      <c r="S107" s="79"/>
      <c r="T107" s="79"/>
      <c r="U107" s="34"/>
      <c r="V107" s="34"/>
    </row>
    <row r="108" spans="1:22" ht="12.75" customHeight="1" x14ac:dyDescent="0.2">
      <c r="A108" s="38"/>
      <c r="B108" s="38"/>
      <c r="C108" s="8"/>
      <c r="D108" s="8"/>
      <c r="E108" s="8"/>
      <c r="F108" s="8"/>
      <c r="G108" s="8"/>
      <c r="H108" s="8"/>
      <c r="I108" s="8"/>
      <c r="J108" s="8"/>
      <c r="K108" s="8"/>
      <c r="L108" s="8"/>
      <c r="M108" s="8"/>
      <c r="N108" s="8"/>
      <c r="O108" s="8"/>
      <c r="P108" s="8"/>
      <c r="Q108" s="8"/>
      <c r="R108" s="79"/>
      <c r="S108" s="79"/>
      <c r="T108" s="79"/>
      <c r="U108" s="34"/>
      <c r="V108" s="34"/>
    </row>
    <row r="109" spans="1:22" ht="12.75" customHeight="1" x14ac:dyDescent="0.2">
      <c r="A109" s="38"/>
      <c r="B109" s="38"/>
      <c r="C109" s="8"/>
      <c r="D109" s="8"/>
      <c r="E109" s="8"/>
      <c r="F109" s="8"/>
      <c r="G109" s="8"/>
      <c r="H109" s="8"/>
      <c r="I109" s="8"/>
      <c r="J109" s="8"/>
      <c r="K109" s="8"/>
      <c r="L109" s="8"/>
      <c r="M109" s="8"/>
      <c r="N109" s="8"/>
      <c r="O109" s="8"/>
      <c r="P109" s="8"/>
      <c r="Q109" s="8"/>
      <c r="R109" s="79"/>
      <c r="S109" s="79"/>
      <c r="T109" s="79"/>
      <c r="U109" s="34"/>
      <c r="V109" s="34"/>
    </row>
    <row r="110" spans="1:22" ht="12.75" customHeight="1" x14ac:dyDescent="0.2">
      <c r="A110" s="38"/>
      <c r="B110" s="38"/>
      <c r="C110" s="8"/>
      <c r="D110" s="8"/>
      <c r="E110" s="8"/>
      <c r="F110" s="8"/>
      <c r="G110" s="8"/>
      <c r="H110" s="8"/>
      <c r="I110" s="8"/>
      <c r="J110" s="8"/>
      <c r="K110" s="8"/>
      <c r="L110" s="8"/>
      <c r="M110" s="8"/>
      <c r="N110" s="8"/>
      <c r="O110" s="8"/>
      <c r="P110" s="8"/>
      <c r="Q110" s="8"/>
      <c r="R110" s="79"/>
      <c r="S110" s="79"/>
      <c r="T110" s="79"/>
      <c r="U110" s="34"/>
      <c r="V110" s="34"/>
    </row>
    <row r="111" spans="1:22" ht="12.75" customHeight="1" x14ac:dyDescent="0.2">
      <c r="A111" s="38"/>
      <c r="B111" s="38"/>
      <c r="C111" s="8"/>
      <c r="D111" s="8"/>
      <c r="E111" s="8"/>
      <c r="F111" s="8"/>
      <c r="G111" s="8"/>
      <c r="H111" s="8"/>
      <c r="I111" s="8"/>
      <c r="J111" s="8"/>
      <c r="K111" s="8"/>
      <c r="L111" s="8"/>
      <c r="M111" s="8"/>
      <c r="N111" s="8"/>
      <c r="O111" s="8"/>
      <c r="P111" s="8"/>
      <c r="Q111" s="8"/>
      <c r="R111" s="79"/>
      <c r="S111" s="79"/>
      <c r="T111" s="79"/>
      <c r="U111" s="34"/>
      <c r="V111" s="34"/>
    </row>
    <row r="112" spans="1:22" ht="12.75" customHeight="1" x14ac:dyDescent="0.2">
      <c r="A112" s="38"/>
      <c r="B112" s="38"/>
      <c r="C112" s="8"/>
      <c r="D112" s="8"/>
      <c r="E112" s="8"/>
      <c r="F112" s="8"/>
      <c r="G112" s="8"/>
      <c r="H112" s="8"/>
      <c r="I112" s="8"/>
      <c r="J112" s="8"/>
      <c r="K112" s="8"/>
      <c r="L112" s="8"/>
      <c r="M112" s="8"/>
      <c r="N112" s="8"/>
      <c r="O112" s="8"/>
      <c r="P112" s="8"/>
      <c r="Q112" s="8"/>
      <c r="R112" s="79"/>
      <c r="S112" s="79"/>
      <c r="T112" s="79"/>
      <c r="U112" s="34"/>
      <c r="V112" s="34"/>
    </row>
    <row r="113" spans="1:22" ht="12.75" customHeight="1" x14ac:dyDescent="0.2">
      <c r="A113" s="38"/>
      <c r="B113" s="38"/>
      <c r="C113" s="8"/>
      <c r="D113" s="8"/>
      <c r="E113" s="8"/>
      <c r="F113" s="8"/>
      <c r="G113" s="8"/>
      <c r="H113" s="8"/>
      <c r="I113" s="8"/>
      <c r="J113" s="8"/>
      <c r="K113" s="8"/>
      <c r="L113" s="8"/>
      <c r="M113" s="8"/>
      <c r="N113" s="8"/>
      <c r="O113" s="8"/>
      <c r="P113" s="8"/>
      <c r="Q113" s="8"/>
      <c r="R113" s="79"/>
      <c r="S113" s="79"/>
      <c r="T113" s="79"/>
      <c r="U113" s="34"/>
      <c r="V113" s="34"/>
    </row>
    <row r="114" spans="1:22" ht="12.75" customHeight="1" x14ac:dyDescent="0.2">
      <c r="A114" s="38"/>
      <c r="B114" s="38"/>
      <c r="C114" s="8"/>
      <c r="D114" s="8"/>
      <c r="E114" s="8"/>
      <c r="F114" s="8"/>
      <c r="G114" s="8"/>
      <c r="H114" s="8"/>
      <c r="I114" s="8"/>
      <c r="J114" s="8"/>
      <c r="K114" s="8"/>
      <c r="L114" s="8"/>
      <c r="M114" s="8"/>
      <c r="N114" s="8"/>
      <c r="O114" s="8"/>
      <c r="P114" s="8"/>
      <c r="Q114" s="8"/>
      <c r="R114" s="79"/>
      <c r="S114" s="79"/>
      <c r="T114" s="79"/>
      <c r="U114" s="34"/>
      <c r="V114" s="34"/>
    </row>
    <row r="115" spans="1:22" ht="12.75" customHeight="1" x14ac:dyDescent="0.2">
      <c r="A115" s="38"/>
      <c r="B115" s="38"/>
      <c r="C115" s="8"/>
      <c r="D115" s="8"/>
      <c r="E115" s="8"/>
      <c r="F115" s="8"/>
      <c r="G115" s="8"/>
      <c r="H115" s="8"/>
      <c r="I115" s="8"/>
      <c r="J115" s="8"/>
      <c r="K115" s="8"/>
      <c r="L115" s="8"/>
      <c r="M115" s="8"/>
      <c r="N115" s="8"/>
      <c r="O115" s="8"/>
      <c r="P115" s="8"/>
      <c r="Q115" s="8"/>
      <c r="R115" s="79"/>
      <c r="S115" s="79"/>
      <c r="T115" s="79"/>
      <c r="U115" s="34"/>
      <c r="V115" s="34"/>
    </row>
    <row r="116" spans="1:22" ht="12.75" customHeight="1" x14ac:dyDescent="0.2">
      <c r="A116" s="38"/>
      <c r="B116" s="38"/>
      <c r="C116" s="8"/>
      <c r="D116" s="8"/>
      <c r="E116" s="8"/>
      <c r="F116" s="8"/>
      <c r="G116" s="8"/>
      <c r="H116" s="8"/>
      <c r="I116" s="8"/>
      <c r="J116" s="8"/>
      <c r="K116" s="8"/>
      <c r="L116" s="8"/>
      <c r="M116" s="8"/>
      <c r="N116" s="8"/>
      <c r="O116" s="8"/>
      <c r="P116" s="8"/>
      <c r="Q116" s="8"/>
      <c r="R116" s="79"/>
      <c r="S116" s="79"/>
      <c r="T116" s="79"/>
      <c r="U116" s="34"/>
      <c r="V116" s="34"/>
    </row>
    <row r="117" spans="1:22" ht="12.75" customHeight="1" x14ac:dyDescent="0.2">
      <c r="A117" s="38"/>
      <c r="B117" s="38"/>
      <c r="C117" s="8"/>
      <c r="D117" s="8"/>
      <c r="E117" s="8"/>
      <c r="F117" s="8"/>
      <c r="G117" s="8"/>
      <c r="H117" s="8"/>
      <c r="I117" s="8"/>
      <c r="J117" s="8"/>
      <c r="K117" s="8"/>
      <c r="L117" s="8"/>
      <c r="M117" s="8"/>
      <c r="N117" s="8"/>
      <c r="O117" s="8"/>
      <c r="P117" s="8"/>
      <c r="Q117" s="8"/>
      <c r="R117" s="79"/>
      <c r="S117" s="79"/>
      <c r="T117" s="79"/>
      <c r="U117" s="34"/>
      <c r="V117" s="34"/>
    </row>
    <row r="118" spans="1:22" ht="12.75" customHeight="1" x14ac:dyDescent="0.2">
      <c r="A118" s="38"/>
      <c r="B118" s="38"/>
      <c r="C118" s="8"/>
      <c r="D118" s="8"/>
      <c r="E118" s="8"/>
      <c r="F118" s="8"/>
      <c r="G118" s="8"/>
      <c r="H118" s="8"/>
      <c r="I118" s="8"/>
      <c r="J118" s="8"/>
      <c r="K118" s="8"/>
      <c r="L118" s="8"/>
      <c r="M118" s="8"/>
      <c r="N118" s="8"/>
      <c r="O118" s="8"/>
      <c r="P118" s="8"/>
      <c r="Q118" s="8"/>
      <c r="R118" s="79"/>
      <c r="S118" s="79"/>
      <c r="T118" s="79"/>
      <c r="U118" s="34"/>
      <c r="V118" s="34"/>
    </row>
    <row r="119" spans="1:22" ht="12.75" customHeight="1" x14ac:dyDescent="0.2">
      <c r="A119" s="38"/>
      <c r="B119" s="38"/>
      <c r="C119" s="8"/>
      <c r="D119" s="8"/>
      <c r="E119" s="8"/>
      <c r="F119" s="8"/>
      <c r="G119" s="8"/>
      <c r="H119" s="8"/>
      <c r="I119" s="8"/>
      <c r="J119" s="8"/>
      <c r="K119" s="8"/>
      <c r="L119" s="8"/>
      <c r="M119" s="8"/>
      <c r="N119" s="8"/>
      <c r="O119" s="8"/>
      <c r="P119" s="8"/>
      <c r="Q119" s="8"/>
      <c r="R119" s="79"/>
      <c r="S119" s="79"/>
      <c r="T119" s="79"/>
      <c r="U119" s="34"/>
      <c r="V119" s="34"/>
    </row>
    <row r="120" spans="1:22" ht="12.75" customHeight="1" x14ac:dyDescent="0.2">
      <c r="A120" s="38"/>
      <c r="B120" s="38"/>
      <c r="C120" s="8"/>
      <c r="D120" s="8"/>
      <c r="E120" s="8"/>
      <c r="F120" s="8"/>
      <c r="G120" s="8"/>
      <c r="H120" s="8"/>
      <c r="I120" s="8"/>
      <c r="J120" s="8"/>
      <c r="K120" s="8"/>
      <c r="L120" s="8"/>
      <c r="M120" s="8"/>
      <c r="N120" s="8"/>
      <c r="O120" s="8"/>
      <c r="P120" s="8"/>
      <c r="Q120" s="8"/>
      <c r="R120" s="79"/>
      <c r="S120" s="79"/>
      <c r="T120" s="79"/>
      <c r="U120" s="34"/>
      <c r="V120" s="34"/>
    </row>
    <row r="121" spans="1:22" ht="12.75" customHeight="1" x14ac:dyDescent="0.2">
      <c r="A121" s="38"/>
      <c r="B121" s="38"/>
      <c r="C121" s="8"/>
      <c r="D121" s="8"/>
      <c r="E121" s="8"/>
      <c r="F121" s="8"/>
      <c r="G121" s="8"/>
      <c r="H121" s="8"/>
      <c r="I121" s="8"/>
      <c r="J121" s="8"/>
      <c r="K121" s="8"/>
      <c r="L121" s="8"/>
      <c r="M121" s="8"/>
      <c r="N121" s="8"/>
      <c r="O121" s="8"/>
      <c r="P121" s="8"/>
      <c r="Q121" s="8"/>
      <c r="R121" s="79"/>
      <c r="S121" s="79"/>
      <c r="T121" s="79"/>
      <c r="U121" s="34"/>
      <c r="V121" s="34"/>
    </row>
    <row r="122" spans="1:22" ht="12.75" customHeight="1" x14ac:dyDescent="0.2">
      <c r="A122" s="38"/>
      <c r="B122" s="38"/>
      <c r="C122" s="8"/>
      <c r="D122" s="8"/>
      <c r="E122" s="8"/>
      <c r="F122" s="8"/>
      <c r="G122" s="8"/>
      <c r="H122" s="8"/>
      <c r="I122" s="8"/>
      <c r="J122" s="8"/>
      <c r="K122" s="8"/>
      <c r="L122" s="8"/>
      <c r="M122" s="8"/>
      <c r="N122" s="8"/>
      <c r="O122" s="8"/>
      <c r="P122" s="8"/>
      <c r="Q122" s="8"/>
      <c r="R122" s="79"/>
      <c r="S122" s="79"/>
      <c r="T122" s="79"/>
      <c r="U122" s="34"/>
      <c r="V122" s="34"/>
    </row>
    <row r="123" spans="1:22" ht="12.75" customHeight="1" x14ac:dyDescent="0.2">
      <c r="A123" s="38"/>
      <c r="B123" s="38"/>
      <c r="C123" s="8"/>
      <c r="D123" s="8"/>
      <c r="E123" s="8"/>
      <c r="F123" s="8"/>
      <c r="G123" s="8"/>
      <c r="H123" s="8"/>
      <c r="I123" s="8"/>
      <c r="J123" s="8"/>
      <c r="K123" s="8"/>
      <c r="L123" s="8"/>
      <c r="M123" s="8"/>
      <c r="N123" s="8"/>
      <c r="O123" s="8"/>
      <c r="P123" s="8"/>
      <c r="Q123" s="8"/>
      <c r="R123" s="79"/>
      <c r="S123" s="79"/>
      <c r="T123" s="79"/>
      <c r="U123" s="34"/>
      <c r="V123" s="34"/>
    </row>
    <row r="124" spans="1:22" ht="12.75" customHeight="1" x14ac:dyDescent="0.2">
      <c r="A124" s="38"/>
      <c r="B124" s="38"/>
      <c r="C124" s="8"/>
      <c r="D124" s="8"/>
      <c r="E124" s="8"/>
      <c r="F124" s="8"/>
      <c r="G124" s="8"/>
      <c r="H124" s="8"/>
      <c r="I124" s="8"/>
      <c r="J124" s="8"/>
      <c r="K124" s="8"/>
      <c r="L124" s="8"/>
      <c r="M124" s="8"/>
      <c r="N124" s="8"/>
      <c r="O124" s="8"/>
      <c r="P124" s="8"/>
      <c r="Q124" s="8"/>
      <c r="R124" s="79"/>
      <c r="S124" s="79"/>
      <c r="T124" s="79"/>
      <c r="U124" s="34"/>
      <c r="V124" s="34"/>
    </row>
    <row r="125" spans="1:22" ht="12.75" customHeight="1" x14ac:dyDescent="0.2">
      <c r="A125" s="38"/>
      <c r="B125" s="38"/>
      <c r="C125" s="8"/>
      <c r="D125" s="8"/>
      <c r="E125" s="8"/>
      <c r="F125" s="8"/>
      <c r="G125" s="8"/>
      <c r="H125" s="8"/>
      <c r="I125" s="8"/>
      <c r="J125" s="8"/>
      <c r="K125" s="8"/>
      <c r="L125" s="8"/>
      <c r="M125" s="8"/>
      <c r="N125" s="8"/>
      <c r="O125" s="8"/>
      <c r="P125" s="8"/>
      <c r="Q125" s="8"/>
      <c r="R125" s="79"/>
      <c r="S125" s="79"/>
      <c r="T125" s="79"/>
      <c r="U125" s="34"/>
      <c r="V125" s="34"/>
    </row>
    <row r="126" spans="1:22" ht="12.75" customHeight="1" x14ac:dyDescent="0.2">
      <c r="A126" s="38"/>
      <c r="B126" s="38"/>
      <c r="C126" s="8"/>
      <c r="D126" s="8"/>
      <c r="E126" s="8"/>
      <c r="F126" s="8"/>
      <c r="G126" s="8"/>
      <c r="H126" s="8"/>
      <c r="I126" s="8"/>
      <c r="J126" s="8"/>
      <c r="K126" s="8"/>
      <c r="L126" s="8"/>
      <c r="M126" s="8"/>
      <c r="N126" s="8"/>
      <c r="O126" s="8"/>
      <c r="P126" s="8"/>
      <c r="Q126" s="8"/>
      <c r="R126" s="79"/>
      <c r="S126" s="79"/>
      <c r="T126" s="79"/>
      <c r="U126" s="34"/>
      <c r="V126" s="34"/>
    </row>
    <row r="127" spans="1:22" ht="12.75" customHeight="1" x14ac:dyDescent="0.2">
      <c r="A127" s="38"/>
      <c r="B127" s="38"/>
      <c r="C127" s="8"/>
      <c r="D127" s="8"/>
      <c r="E127" s="8"/>
      <c r="F127" s="8"/>
      <c r="G127" s="8"/>
      <c r="H127" s="8"/>
      <c r="I127" s="8"/>
      <c r="J127" s="8"/>
      <c r="K127" s="8"/>
      <c r="L127" s="8"/>
      <c r="M127" s="8"/>
      <c r="N127" s="8"/>
      <c r="O127" s="8"/>
      <c r="P127" s="8"/>
      <c r="Q127" s="8"/>
      <c r="R127" s="79"/>
      <c r="S127" s="79"/>
      <c r="T127" s="79"/>
      <c r="U127" s="34"/>
      <c r="V127" s="34"/>
    </row>
    <row r="128" spans="1:22" ht="12.75" customHeight="1" x14ac:dyDescent="0.2">
      <c r="A128" s="38"/>
      <c r="B128" s="38"/>
      <c r="C128" s="8"/>
      <c r="D128" s="8"/>
      <c r="E128" s="8"/>
      <c r="F128" s="8"/>
      <c r="G128" s="8"/>
      <c r="H128" s="8"/>
      <c r="I128" s="8"/>
      <c r="J128" s="8"/>
      <c r="K128" s="8"/>
      <c r="L128" s="8"/>
      <c r="M128" s="8"/>
      <c r="N128" s="8"/>
      <c r="O128" s="8"/>
      <c r="P128" s="8"/>
      <c r="Q128" s="8"/>
      <c r="R128" s="79"/>
      <c r="S128" s="79"/>
      <c r="T128" s="79"/>
      <c r="U128" s="34"/>
      <c r="V128" s="34"/>
    </row>
    <row r="129" spans="1:22" ht="12.75" customHeight="1" x14ac:dyDescent="0.2">
      <c r="A129" s="38"/>
      <c r="B129" s="38"/>
      <c r="C129" s="8"/>
      <c r="D129" s="8"/>
      <c r="E129" s="8"/>
      <c r="F129" s="8"/>
      <c r="G129" s="8"/>
      <c r="H129" s="8"/>
      <c r="I129" s="8"/>
      <c r="J129" s="8"/>
      <c r="K129" s="8"/>
      <c r="L129" s="8"/>
      <c r="M129" s="8"/>
      <c r="N129" s="8"/>
      <c r="O129" s="8"/>
      <c r="P129" s="8"/>
      <c r="Q129" s="8"/>
      <c r="R129" s="79"/>
      <c r="S129" s="79"/>
      <c r="T129" s="79"/>
      <c r="U129" s="34"/>
      <c r="V129" s="34"/>
    </row>
    <row r="130" spans="1:22" ht="12.75" customHeight="1" x14ac:dyDescent="0.2">
      <c r="A130" s="38"/>
      <c r="B130" s="38"/>
      <c r="C130" s="8"/>
      <c r="D130" s="8"/>
      <c r="E130" s="8"/>
      <c r="F130" s="8"/>
      <c r="G130" s="8"/>
      <c r="H130" s="8"/>
      <c r="I130" s="8"/>
      <c r="J130" s="8"/>
      <c r="K130" s="8"/>
      <c r="L130" s="8"/>
      <c r="M130" s="8"/>
      <c r="N130" s="8"/>
      <c r="O130" s="8"/>
      <c r="P130" s="8"/>
      <c r="Q130" s="8"/>
      <c r="R130" s="79"/>
      <c r="S130" s="79"/>
      <c r="T130" s="79"/>
      <c r="U130" s="34"/>
      <c r="V130" s="34"/>
    </row>
    <row r="131" spans="1:22" ht="12.75" customHeight="1" x14ac:dyDescent="0.2">
      <c r="A131" s="38"/>
      <c r="B131" s="38"/>
      <c r="C131" s="8"/>
      <c r="D131" s="8"/>
      <c r="E131" s="8"/>
      <c r="F131" s="8"/>
      <c r="G131" s="8"/>
      <c r="H131" s="8"/>
      <c r="I131" s="8"/>
      <c r="J131" s="8"/>
      <c r="K131" s="8"/>
      <c r="L131" s="8"/>
      <c r="M131" s="8"/>
      <c r="N131" s="8"/>
      <c r="O131" s="8"/>
      <c r="P131" s="8"/>
      <c r="Q131" s="8"/>
      <c r="R131" s="79"/>
      <c r="S131" s="79"/>
      <c r="T131" s="79"/>
      <c r="U131" s="34"/>
      <c r="V131" s="34"/>
    </row>
    <row r="132" spans="1:22" ht="12.75" customHeight="1" x14ac:dyDescent="0.2">
      <c r="A132" s="38"/>
      <c r="B132" s="38"/>
      <c r="C132" s="8"/>
      <c r="D132" s="8"/>
      <c r="E132" s="8"/>
      <c r="F132" s="8"/>
      <c r="G132" s="8"/>
      <c r="H132" s="8"/>
      <c r="I132" s="8"/>
      <c r="J132" s="8"/>
      <c r="K132" s="8"/>
      <c r="L132" s="8"/>
      <c r="M132" s="8"/>
      <c r="N132" s="8"/>
      <c r="O132" s="8"/>
      <c r="P132" s="8"/>
      <c r="Q132" s="8"/>
      <c r="R132" s="79"/>
      <c r="S132" s="79"/>
      <c r="T132" s="79"/>
      <c r="U132" s="34"/>
      <c r="V132" s="34"/>
    </row>
    <row r="133" spans="1:22" ht="12.75" customHeight="1" x14ac:dyDescent="0.2">
      <c r="A133" s="38"/>
      <c r="B133" s="38"/>
      <c r="C133" s="8"/>
      <c r="D133" s="8"/>
      <c r="E133" s="8"/>
      <c r="F133" s="8"/>
      <c r="G133" s="8"/>
      <c r="H133" s="8"/>
      <c r="I133" s="8"/>
      <c r="J133" s="8"/>
      <c r="K133" s="8"/>
      <c r="L133" s="8"/>
      <c r="M133" s="8"/>
      <c r="N133" s="8"/>
      <c r="O133" s="8"/>
      <c r="P133" s="8"/>
      <c r="Q133" s="8"/>
      <c r="R133" s="79"/>
      <c r="S133" s="79"/>
      <c r="T133" s="79"/>
      <c r="U133" s="34"/>
      <c r="V133" s="34"/>
    </row>
    <row r="134" spans="1:22" ht="12.75" customHeight="1" x14ac:dyDescent="0.2">
      <c r="A134" s="38"/>
      <c r="B134" s="38"/>
      <c r="C134" s="8"/>
      <c r="D134" s="8"/>
      <c r="E134" s="8"/>
      <c r="F134" s="8"/>
      <c r="G134" s="8"/>
      <c r="H134" s="8"/>
      <c r="I134" s="8"/>
      <c r="J134" s="8"/>
      <c r="K134" s="8"/>
      <c r="L134" s="8"/>
      <c r="M134" s="8"/>
      <c r="N134" s="8"/>
      <c r="O134" s="8"/>
      <c r="P134" s="8"/>
      <c r="Q134" s="8"/>
      <c r="R134" s="79"/>
      <c r="S134" s="79"/>
      <c r="T134" s="79"/>
      <c r="U134" s="34"/>
      <c r="V134" s="34"/>
    </row>
    <row r="135" spans="1:22" ht="12.75" customHeight="1" x14ac:dyDescent="0.2">
      <c r="A135" s="38"/>
      <c r="B135" s="38"/>
      <c r="C135" s="8"/>
      <c r="D135" s="8"/>
      <c r="E135" s="8"/>
      <c r="F135" s="8"/>
      <c r="G135" s="8"/>
      <c r="H135" s="8"/>
      <c r="I135" s="8"/>
      <c r="J135" s="8"/>
      <c r="K135" s="8"/>
      <c r="L135" s="8"/>
      <c r="M135" s="8"/>
      <c r="N135" s="8"/>
      <c r="O135" s="8"/>
      <c r="P135" s="8"/>
      <c r="Q135" s="8"/>
      <c r="R135" s="79"/>
      <c r="S135" s="79"/>
      <c r="T135" s="79"/>
      <c r="U135" s="34"/>
      <c r="V135" s="34"/>
    </row>
    <row r="136" spans="1:22" ht="12.75" customHeight="1" x14ac:dyDescent="0.2">
      <c r="A136" s="38"/>
      <c r="B136" s="38"/>
      <c r="C136" s="8"/>
      <c r="D136" s="8"/>
      <c r="E136" s="8"/>
      <c r="F136" s="8"/>
      <c r="G136" s="8"/>
      <c r="H136" s="8"/>
      <c r="I136" s="8"/>
      <c r="J136" s="8"/>
      <c r="K136" s="8"/>
      <c r="L136" s="8"/>
      <c r="M136" s="8"/>
      <c r="N136" s="8"/>
      <c r="O136" s="8"/>
      <c r="P136" s="8"/>
      <c r="Q136" s="8"/>
      <c r="R136" s="79"/>
      <c r="S136" s="79"/>
      <c r="T136" s="79"/>
      <c r="U136" s="34"/>
      <c r="V136" s="34"/>
    </row>
    <row r="137" spans="1:22" ht="12.75" customHeight="1" x14ac:dyDescent="0.2">
      <c r="A137" s="38"/>
      <c r="B137" s="38"/>
      <c r="C137" s="8"/>
      <c r="D137" s="8"/>
      <c r="E137" s="8"/>
      <c r="F137" s="8"/>
      <c r="G137" s="8"/>
      <c r="H137" s="8"/>
      <c r="I137" s="8"/>
      <c r="J137" s="8"/>
      <c r="K137" s="8"/>
      <c r="L137" s="8"/>
      <c r="M137" s="8"/>
      <c r="N137" s="8"/>
      <c r="O137" s="8"/>
      <c r="P137" s="8"/>
      <c r="Q137" s="8"/>
      <c r="R137" s="79"/>
      <c r="S137" s="79"/>
      <c r="T137" s="79"/>
      <c r="U137" s="34"/>
      <c r="V137" s="34"/>
    </row>
    <row r="138" spans="1:22" ht="12.75" customHeight="1" x14ac:dyDescent="0.2">
      <c r="A138" s="38"/>
      <c r="B138" s="38"/>
      <c r="C138" s="8"/>
      <c r="D138" s="8"/>
      <c r="E138" s="8"/>
      <c r="F138" s="8"/>
      <c r="G138" s="8"/>
      <c r="H138" s="8"/>
      <c r="I138" s="8"/>
      <c r="J138" s="8"/>
      <c r="K138" s="8"/>
      <c r="L138" s="8"/>
      <c r="M138" s="8"/>
      <c r="N138" s="8"/>
      <c r="O138" s="8"/>
      <c r="P138" s="8"/>
      <c r="Q138" s="8"/>
      <c r="R138" s="79"/>
      <c r="S138" s="79"/>
      <c r="T138" s="79"/>
      <c r="U138" s="34"/>
      <c r="V138" s="34"/>
    </row>
    <row r="139" spans="1:22" ht="12.75" customHeight="1" x14ac:dyDescent="0.2">
      <c r="A139" s="38"/>
      <c r="B139" s="38"/>
      <c r="C139" s="8"/>
      <c r="D139" s="8"/>
      <c r="E139" s="8"/>
      <c r="F139" s="8"/>
      <c r="G139" s="8"/>
      <c r="H139" s="8"/>
      <c r="I139" s="8"/>
      <c r="J139" s="8"/>
      <c r="K139" s="8"/>
      <c r="L139" s="8"/>
      <c r="M139" s="8"/>
      <c r="N139" s="8"/>
      <c r="O139" s="8"/>
      <c r="P139" s="8"/>
      <c r="Q139" s="8"/>
      <c r="R139" s="79"/>
      <c r="S139" s="79"/>
      <c r="T139" s="79"/>
      <c r="U139" s="34"/>
      <c r="V139" s="34"/>
    </row>
    <row r="140" spans="1:22" ht="12.75" customHeight="1" x14ac:dyDescent="0.2">
      <c r="A140" s="38"/>
      <c r="B140" s="38"/>
      <c r="C140" s="8"/>
      <c r="D140" s="8"/>
      <c r="E140" s="8"/>
      <c r="F140" s="8"/>
      <c r="G140" s="8"/>
      <c r="H140" s="8"/>
      <c r="I140" s="8"/>
      <c r="J140" s="8"/>
      <c r="K140" s="8"/>
      <c r="L140" s="8"/>
      <c r="M140" s="8"/>
      <c r="N140" s="8"/>
      <c r="O140" s="8"/>
      <c r="P140" s="8"/>
      <c r="Q140" s="8"/>
      <c r="R140" s="79"/>
      <c r="S140" s="79"/>
      <c r="T140" s="79"/>
      <c r="U140" s="34"/>
      <c r="V140" s="34"/>
    </row>
    <row r="141" spans="1:22" ht="12.75" customHeight="1" x14ac:dyDescent="0.2">
      <c r="A141" s="38"/>
      <c r="B141" s="38"/>
      <c r="C141" s="8"/>
      <c r="D141" s="8"/>
      <c r="E141" s="8"/>
      <c r="F141" s="8"/>
      <c r="G141" s="8"/>
      <c r="H141" s="8"/>
      <c r="I141" s="8"/>
      <c r="J141" s="8"/>
      <c r="K141" s="8"/>
      <c r="L141" s="8"/>
      <c r="M141" s="8"/>
      <c r="N141" s="8"/>
      <c r="O141" s="8"/>
      <c r="P141" s="8"/>
      <c r="Q141" s="8"/>
      <c r="R141" s="79"/>
      <c r="S141" s="79"/>
      <c r="T141" s="79"/>
      <c r="U141" s="34"/>
      <c r="V141" s="34"/>
    </row>
    <row r="142" spans="1:22" ht="12.75" customHeight="1" x14ac:dyDescent="0.2">
      <c r="A142" s="38"/>
      <c r="B142" s="38"/>
      <c r="C142" s="8"/>
      <c r="D142" s="8"/>
      <c r="E142" s="8"/>
      <c r="F142" s="8"/>
      <c r="G142" s="8"/>
      <c r="H142" s="8"/>
      <c r="I142" s="8"/>
      <c r="J142" s="8"/>
      <c r="K142" s="8"/>
      <c r="L142" s="8"/>
      <c r="M142" s="8"/>
      <c r="N142" s="8"/>
      <c r="O142" s="8"/>
      <c r="P142" s="8"/>
      <c r="Q142" s="8"/>
      <c r="R142" s="79"/>
      <c r="S142" s="79"/>
      <c r="T142" s="79"/>
      <c r="U142" s="34"/>
      <c r="V142" s="34"/>
    </row>
    <row r="143" spans="1:22" ht="12.75" customHeight="1" x14ac:dyDescent="0.2">
      <c r="A143" s="38"/>
      <c r="B143" s="38"/>
      <c r="C143" s="8"/>
      <c r="D143" s="8"/>
      <c r="E143" s="8"/>
      <c r="F143" s="8"/>
      <c r="G143" s="8"/>
      <c r="H143" s="8"/>
      <c r="I143" s="8"/>
      <c r="J143" s="8"/>
      <c r="K143" s="8"/>
      <c r="L143" s="8"/>
      <c r="M143" s="8"/>
      <c r="N143" s="8"/>
      <c r="O143" s="8"/>
      <c r="P143" s="8"/>
      <c r="Q143" s="8"/>
      <c r="R143" s="79"/>
      <c r="S143" s="79"/>
      <c r="T143" s="79"/>
      <c r="U143" s="34"/>
      <c r="V143" s="34"/>
    </row>
    <row r="144" spans="1:22" ht="12.75" customHeight="1" x14ac:dyDescent="0.2">
      <c r="A144" s="38"/>
      <c r="B144" s="38"/>
      <c r="C144" s="8"/>
      <c r="D144" s="8"/>
      <c r="E144" s="8"/>
      <c r="F144" s="8"/>
      <c r="G144" s="8"/>
      <c r="H144" s="8"/>
      <c r="I144" s="8"/>
      <c r="J144" s="8"/>
      <c r="K144" s="8"/>
      <c r="L144" s="8"/>
      <c r="M144" s="8"/>
      <c r="N144" s="8"/>
      <c r="O144" s="8"/>
      <c r="P144" s="8"/>
      <c r="Q144" s="8"/>
      <c r="R144" s="79"/>
      <c r="S144" s="79"/>
      <c r="T144" s="79"/>
      <c r="U144" s="34"/>
      <c r="V144" s="34"/>
    </row>
    <row r="145" spans="1:22" ht="12.75" customHeight="1" x14ac:dyDescent="0.2">
      <c r="A145" s="38"/>
      <c r="B145" s="38"/>
      <c r="C145" s="8"/>
      <c r="D145" s="8"/>
      <c r="E145" s="8"/>
      <c r="F145" s="8"/>
      <c r="G145" s="8"/>
      <c r="H145" s="8"/>
      <c r="I145" s="8"/>
      <c r="J145" s="8"/>
      <c r="K145" s="8"/>
      <c r="L145" s="8"/>
      <c r="M145" s="8"/>
      <c r="N145" s="8"/>
      <c r="O145" s="8"/>
      <c r="P145" s="8"/>
      <c r="Q145" s="8"/>
      <c r="R145" s="79"/>
      <c r="S145" s="79"/>
      <c r="T145" s="79"/>
      <c r="U145" s="34"/>
      <c r="V145" s="34"/>
    </row>
    <row r="146" spans="1:22" ht="12.75" customHeight="1" x14ac:dyDescent="0.2">
      <c r="A146" s="38"/>
      <c r="B146" s="38"/>
      <c r="C146" s="8"/>
      <c r="D146" s="8"/>
      <c r="E146" s="8"/>
      <c r="F146" s="8"/>
      <c r="G146" s="8"/>
      <c r="H146" s="8"/>
      <c r="I146" s="8"/>
      <c r="J146" s="8"/>
      <c r="K146" s="8"/>
      <c r="L146" s="8"/>
      <c r="M146" s="8"/>
      <c r="N146" s="8"/>
      <c r="O146" s="8"/>
      <c r="P146" s="8"/>
      <c r="Q146" s="8"/>
      <c r="R146" s="79"/>
      <c r="S146" s="79"/>
      <c r="T146" s="79"/>
      <c r="U146" s="34"/>
      <c r="V146" s="34"/>
    </row>
    <row r="147" spans="1:22" ht="12.75" customHeight="1" x14ac:dyDescent="0.2">
      <c r="A147" s="38"/>
      <c r="B147" s="38"/>
      <c r="C147" s="8"/>
      <c r="D147" s="8"/>
      <c r="E147" s="8"/>
      <c r="F147" s="8"/>
      <c r="G147" s="8"/>
      <c r="H147" s="8"/>
      <c r="I147" s="8"/>
      <c r="J147" s="8"/>
      <c r="K147" s="8"/>
      <c r="L147" s="8"/>
      <c r="M147" s="8"/>
      <c r="N147" s="8"/>
      <c r="O147" s="8"/>
      <c r="P147" s="8"/>
      <c r="Q147" s="8"/>
      <c r="R147" s="79"/>
      <c r="S147" s="79"/>
      <c r="T147" s="79"/>
      <c r="U147" s="34"/>
      <c r="V147" s="34"/>
    </row>
    <row r="148" spans="1:22" ht="12.75" customHeight="1" x14ac:dyDescent="0.2">
      <c r="A148" s="38"/>
      <c r="B148" s="38"/>
      <c r="C148" s="8"/>
      <c r="D148" s="8"/>
      <c r="E148" s="8"/>
      <c r="F148" s="8"/>
      <c r="G148" s="8"/>
      <c r="H148" s="8"/>
      <c r="I148" s="8"/>
      <c r="J148" s="8"/>
      <c r="K148" s="8"/>
      <c r="L148" s="8"/>
      <c r="M148" s="8"/>
      <c r="N148" s="8"/>
      <c r="O148" s="8"/>
      <c r="P148" s="8"/>
      <c r="Q148" s="8"/>
      <c r="R148" s="79"/>
      <c r="S148" s="79"/>
      <c r="T148" s="79"/>
      <c r="U148" s="34"/>
      <c r="V148" s="34"/>
    </row>
    <row r="149" spans="1:22" ht="12.75" customHeight="1" x14ac:dyDescent="0.2">
      <c r="A149" s="38"/>
      <c r="B149" s="38"/>
      <c r="C149" s="8"/>
      <c r="D149" s="8"/>
      <c r="E149" s="8"/>
      <c r="F149" s="8"/>
      <c r="G149" s="8"/>
      <c r="H149" s="8"/>
      <c r="I149" s="8"/>
      <c r="J149" s="8"/>
      <c r="K149" s="8"/>
      <c r="L149" s="8"/>
      <c r="M149" s="8"/>
      <c r="N149" s="8"/>
      <c r="O149" s="8"/>
      <c r="P149" s="8"/>
      <c r="Q149" s="8"/>
      <c r="R149" s="79"/>
      <c r="S149" s="79"/>
      <c r="T149" s="79"/>
      <c r="U149" s="34"/>
      <c r="V149" s="34"/>
    </row>
    <row r="150" spans="1:22" ht="12.75" customHeight="1" x14ac:dyDescent="0.2">
      <c r="A150" s="38"/>
      <c r="B150" s="38"/>
      <c r="C150" s="8"/>
      <c r="D150" s="8"/>
      <c r="E150" s="8"/>
      <c r="F150" s="8"/>
      <c r="G150" s="8"/>
      <c r="H150" s="8"/>
      <c r="I150" s="8"/>
      <c r="J150" s="8"/>
      <c r="K150" s="8"/>
      <c r="L150" s="8"/>
      <c r="M150" s="8"/>
      <c r="N150" s="8"/>
      <c r="O150" s="8"/>
      <c r="P150" s="8"/>
      <c r="Q150" s="8"/>
      <c r="R150" s="79"/>
      <c r="S150" s="79"/>
      <c r="T150" s="79"/>
      <c r="U150" s="34"/>
      <c r="V150" s="34"/>
    </row>
    <row r="151" spans="1:22" ht="12.75" customHeight="1" x14ac:dyDescent="0.2">
      <c r="A151" s="38"/>
      <c r="B151" s="38"/>
      <c r="C151" s="8"/>
      <c r="D151" s="8"/>
      <c r="E151" s="8"/>
      <c r="F151" s="8"/>
      <c r="G151" s="8"/>
      <c r="H151" s="8"/>
      <c r="I151" s="8"/>
      <c r="J151" s="8"/>
      <c r="K151" s="8"/>
      <c r="L151" s="8"/>
      <c r="M151" s="8"/>
      <c r="N151" s="8"/>
      <c r="O151" s="8"/>
      <c r="P151" s="8"/>
      <c r="Q151" s="8"/>
      <c r="R151" s="79"/>
      <c r="S151" s="79"/>
      <c r="T151" s="79"/>
      <c r="U151" s="34"/>
      <c r="V151" s="34"/>
    </row>
    <row r="152" spans="1:22" ht="12.75" customHeight="1" x14ac:dyDescent="0.2">
      <c r="A152" s="38"/>
      <c r="B152" s="38"/>
      <c r="C152" s="8"/>
      <c r="D152" s="8"/>
      <c r="E152" s="8"/>
      <c r="F152" s="8"/>
      <c r="G152" s="8"/>
      <c r="H152" s="8"/>
      <c r="I152" s="8"/>
      <c r="J152" s="8"/>
      <c r="K152" s="8"/>
      <c r="L152" s="8"/>
      <c r="M152" s="8"/>
      <c r="N152" s="8"/>
      <c r="O152" s="8"/>
      <c r="P152" s="8"/>
      <c r="Q152" s="8"/>
      <c r="R152" s="79"/>
      <c r="S152" s="79"/>
      <c r="T152" s="79"/>
      <c r="U152" s="34"/>
      <c r="V152" s="34"/>
    </row>
    <row r="153" spans="1:22" ht="12.75" customHeight="1" x14ac:dyDescent="0.2">
      <c r="A153" s="38"/>
      <c r="B153" s="38"/>
      <c r="C153" s="8"/>
      <c r="D153" s="8"/>
      <c r="E153" s="8"/>
      <c r="F153" s="8"/>
      <c r="G153" s="8"/>
      <c r="H153" s="8"/>
      <c r="I153" s="8"/>
      <c r="J153" s="8"/>
      <c r="K153" s="8"/>
      <c r="L153" s="8"/>
      <c r="M153" s="8"/>
      <c r="N153" s="8"/>
      <c r="O153" s="8"/>
      <c r="P153" s="8"/>
      <c r="Q153" s="8"/>
      <c r="R153" s="79"/>
      <c r="S153" s="79"/>
      <c r="T153" s="79"/>
      <c r="U153" s="34"/>
      <c r="V153" s="34"/>
    </row>
    <row r="154" spans="1:22" ht="12.75" customHeight="1" x14ac:dyDescent="0.2">
      <c r="A154" s="38"/>
      <c r="B154" s="38"/>
      <c r="C154" s="8"/>
      <c r="D154" s="8"/>
      <c r="E154" s="8"/>
      <c r="F154" s="8"/>
      <c r="G154" s="8"/>
      <c r="H154" s="8"/>
      <c r="I154" s="8"/>
      <c r="J154" s="8"/>
      <c r="K154" s="8"/>
      <c r="L154" s="8"/>
      <c r="M154" s="8"/>
      <c r="N154" s="8"/>
      <c r="O154" s="8"/>
      <c r="P154" s="8"/>
      <c r="Q154" s="8"/>
      <c r="R154" s="79"/>
      <c r="S154" s="79"/>
      <c r="T154" s="79"/>
      <c r="U154" s="34"/>
      <c r="V154" s="34"/>
    </row>
    <row r="155" spans="1:22" ht="12.75" customHeight="1" x14ac:dyDescent="0.2">
      <c r="A155" s="38"/>
      <c r="B155" s="38"/>
      <c r="C155" s="8"/>
      <c r="D155" s="8"/>
      <c r="E155" s="8"/>
      <c r="F155" s="8"/>
      <c r="G155" s="8"/>
      <c r="H155" s="8"/>
      <c r="I155" s="8"/>
      <c r="J155" s="8"/>
      <c r="K155" s="8"/>
      <c r="L155" s="8"/>
      <c r="M155" s="8"/>
      <c r="N155" s="8"/>
      <c r="O155" s="8"/>
      <c r="P155" s="8"/>
      <c r="Q155" s="8"/>
      <c r="R155" s="79"/>
      <c r="S155" s="79"/>
      <c r="T155" s="79"/>
      <c r="U155" s="34"/>
      <c r="V155" s="34"/>
    </row>
    <row r="156" spans="1:22" ht="12.75" customHeight="1" x14ac:dyDescent="0.2">
      <c r="A156" s="38"/>
      <c r="B156" s="38"/>
      <c r="C156" s="8"/>
      <c r="D156" s="8"/>
      <c r="E156" s="8"/>
      <c r="F156" s="8"/>
      <c r="G156" s="8"/>
      <c r="H156" s="8"/>
      <c r="I156" s="8"/>
      <c r="J156" s="8"/>
      <c r="K156" s="8"/>
      <c r="L156" s="8"/>
      <c r="M156" s="8"/>
      <c r="N156" s="8"/>
      <c r="O156" s="8"/>
      <c r="P156" s="8"/>
      <c r="Q156" s="8"/>
      <c r="R156" s="79"/>
      <c r="S156" s="79"/>
      <c r="T156" s="79"/>
      <c r="U156" s="34"/>
      <c r="V156" s="34"/>
    </row>
    <row r="157" spans="1:22" ht="12.75" customHeight="1" x14ac:dyDescent="0.2">
      <c r="A157" s="38"/>
      <c r="B157" s="38"/>
      <c r="C157" s="8"/>
      <c r="D157" s="8"/>
      <c r="E157" s="8"/>
      <c r="F157" s="8"/>
      <c r="G157" s="8"/>
      <c r="H157" s="8"/>
      <c r="I157" s="8"/>
      <c r="J157" s="8"/>
      <c r="K157" s="8"/>
      <c r="L157" s="8"/>
      <c r="M157" s="8"/>
      <c r="N157" s="8"/>
      <c r="O157" s="8"/>
      <c r="P157" s="8"/>
      <c r="Q157" s="8"/>
      <c r="R157" s="79"/>
      <c r="S157" s="79"/>
      <c r="T157" s="79"/>
      <c r="U157" s="34"/>
      <c r="V157" s="34"/>
    </row>
    <row r="158" spans="1:22" ht="12.75" customHeight="1" x14ac:dyDescent="0.2">
      <c r="A158" s="38"/>
      <c r="B158" s="38"/>
      <c r="C158" s="8"/>
      <c r="D158" s="8"/>
      <c r="E158" s="8"/>
      <c r="F158" s="8"/>
      <c r="G158" s="8"/>
      <c r="H158" s="8"/>
      <c r="I158" s="8"/>
      <c r="J158" s="8"/>
      <c r="K158" s="8"/>
      <c r="L158" s="8"/>
      <c r="M158" s="8"/>
      <c r="N158" s="8"/>
      <c r="O158" s="8"/>
      <c r="P158" s="8"/>
      <c r="Q158" s="8"/>
      <c r="R158" s="79"/>
      <c r="S158" s="79"/>
      <c r="T158" s="79"/>
      <c r="U158" s="34"/>
      <c r="V158" s="34"/>
    </row>
    <row r="159" spans="1:22" ht="12.75" customHeight="1" x14ac:dyDescent="0.2">
      <c r="A159" s="38"/>
      <c r="B159" s="38"/>
      <c r="C159" s="8"/>
      <c r="D159" s="8"/>
      <c r="E159" s="8"/>
      <c r="F159" s="8"/>
      <c r="G159" s="8"/>
      <c r="H159" s="8"/>
      <c r="I159" s="8"/>
      <c r="J159" s="8"/>
      <c r="K159" s="8"/>
      <c r="L159" s="8"/>
      <c r="M159" s="8"/>
      <c r="N159" s="8"/>
      <c r="O159" s="8"/>
      <c r="P159" s="8"/>
      <c r="Q159" s="8"/>
      <c r="R159" s="79"/>
      <c r="S159" s="79"/>
      <c r="T159" s="79"/>
      <c r="U159" s="34"/>
      <c r="V159" s="34"/>
    </row>
    <row r="160" spans="1:22" ht="12.75" customHeight="1" x14ac:dyDescent="0.2">
      <c r="A160" s="38"/>
      <c r="B160" s="38"/>
      <c r="C160" s="8"/>
      <c r="D160" s="8"/>
      <c r="E160" s="8"/>
      <c r="F160" s="8"/>
      <c r="G160" s="8"/>
      <c r="H160" s="8"/>
      <c r="I160" s="8"/>
      <c r="J160" s="8"/>
      <c r="K160" s="8"/>
      <c r="L160" s="8"/>
      <c r="M160" s="8"/>
      <c r="N160" s="8"/>
      <c r="O160" s="8"/>
      <c r="P160" s="8"/>
      <c r="Q160" s="8"/>
      <c r="R160" s="79"/>
      <c r="S160" s="79"/>
      <c r="T160" s="79"/>
      <c r="U160" s="34"/>
      <c r="V160" s="34"/>
    </row>
    <row r="161" spans="1:22" ht="12.75" customHeight="1" x14ac:dyDescent="0.2">
      <c r="A161" s="38"/>
      <c r="B161" s="38"/>
      <c r="C161" s="8"/>
      <c r="D161" s="8"/>
      <c r="E161" s="8"/>
      <c r="F161" s="8"/>
      <c r="G161" s="8"/>
      <c r="H161" s="8"/>
      <c r="I161" s="8"/>
      <c r="J161" s="8"/>
      <c r="K161" s="8"/>
      <c r="L161" s="8"/>
      <c r="M161" s="8"/>
      <c r="N161" s="8"/>
      <c r="O161" s="8"/>
      <c r="P161" s="8"/>
      <c r="Q161" s="8"/>
      <c r="R161" s="79"/>
      <c r="S161" s="79"/>
      <c r="T161" s="79"/>
      <c r="U161" s="34"/>
      <c r="V161" s="34"/>
    </row>
    <row r="162" spans="1:22" ht="12.75" customHeight="1" x14ac:dyDescent="0.2">
      <c r="A162" s="38"/>
      <c r="B162" s="38"/>
      <c r="C162" s="8"/>
      <c r="D162" s="8"/>
      <c r="E162" s="8"/>
      <c r="F162" s="8"/>
      <c r="G162" s="8"/>
      <c r="H162" s="8"/>
      <c r="I162" s="8"/>
      <c r="J162" s="8"/>
      <c r="K162" s="8"/>
      <c r="L162" s="8"/>
      <c r="M162" s="8"/>
      <c r="N162" s="8"/>
      <c r="O162" s="8"/>
      <c r="P162" s="8"/>
      <c r="Q162" s="8"/>
      <c r="R162" s="79"/>
      <c r="S162" s="79"/>
      <c r="T162" s="79"/>
      <c r="U162" s="34"/>
      <c r="V162" s="34"/>
    </row>
    <row r="163" spans="1:22" ht="12.75" customHeight="1" x14ac:dyDescent="0.2">
      <c r="A163" s="38"/>
      <c r="B163" s="38"/>
      <c r="C163" s="8"/>
      <c r="D163" s="8"/>
      <c r="E163" s="8"/>
      <c r="F163" s="8"/>
      <c r="G163" s="8"/>
      <c r="H163" s="8"/>
      <c r="I163" s="8"/>
      <c r="J163" s="8"/>
      <c r="K163" s="8"/>
      <c r="L163" s="8"/>
      <c r="M163" s="8"/>
      <c r="N163" s="8"/>
      <c r="O163" s="8"/>
      <c r="P163" s="8"/>
      <c r="Q163" s="8"/>
      <c r="R163" s="79"/>
      <c r="S163" s="79"/>
      <c r="T163" s="79"/>
      <c r="U163" s="34"/>
      <c r="V163" s="34"/>
    </row>
    <row r="164" spans="1:22" ht="12.75" customHeight="1" x14ac:dyDescent="0.2">
      <c r="A164" s="38"/>
      <c r="B164" s="38"/>
      <c r="C164" s="8"/>
      <c r="D164" s="8"/>
      <c r="E164" s="8"/>
      <c r="F164" s="8"/>
      <c r="G164" s="8"/>
      <c r="H164" s="8"/>
      <c r="I164" s="8"/>
      <c r="J164" s="8"/>
      <c r="K164" s="8"/>
      <c r="L164" s="8"/>
      <c r="M164" s="8"/>
      <c r="N164" s="8"/>
      <c r="O164" s="8"/>
      <c r="P164" s="8"/>
      <c r="Q164" s="8"/>
      <c r="R164" s="79"/>
      <c r="S164" s="79"/>
      <c r="T164" s="79"/>
      <c r="U164" s="34"/>
      <c r="V164" s="34"/>
    </row>
    <row r="165" spans="1:22" ht="12.75" customHeight="1" x14ac:dyDescent="0.2">
      <c r="A165" s="38"/>
      <c r="B165" s="38"/>
      <c r="C165" s="8"/>
      <c r="D165" s="8"/>
      <c r="E165" s="8"/>
      <c r="F165" s="8"/>
      <c r="G165" s="8"/>
      <c r="H165" s="8"/>
      <c r="I165" s="8"/>
      <c r="J165" s="8"/>
      <c r="K165" s="8"/>
      <c r="L165" s="8"/>
      <c r="M165" s="8"/>
      <c r="N165" s="8"/>
      <c r="O165" s="8"/>
      <c r="P165" s="8"/>
      <c r="Q165" s="8"/>
      <c r="R165" s="79"/>
      <c r="S165" s="79"/>
      <c r="T165" s="79"/>
      <c r="U165" s="34"/>
      <c r="V165" s="34"/>
    </row>
    <row r="166" spans="1:22" ht="12.75" customHeight="1" x14ac:dyDescent="0.2">
      <c r="A166" s="38"/>
      <c r="B166" s="38"/>
      <c r="C166" s="8"/>
      <c r="D166" s="8"/>
      <c r="E166" s="8"/>
      <c r="F166" s="8"/>
      <c r="G166" s="8"/>
      <c r="H166" s="8"/>
      <c r="I166" s="8"/>
      <c r="J166" s="8"/>
      <c r="K166" s="8"/>
      <c r="L166" s="8"/>
      <c r="M166" s="8"/>
      <c r="N166" s="8"/>
      <c r="O166" s="8"/>
      <c r="P166" s="8"/>
      <c r="Q166" s="8"/>
      <c r="R166" s="79"/>
      <c r="S166" s="79"/>
      <c r="T166" s="79"/>
      <c r="U166" s="34"/>
      <c r="V166" s="34"/>
    </row>
    <row r="167" spans="1:22" ht="12.75" customHeight="1" x14ac:dyDescent="0.2">
      <c r="A167" s="38"/>
      <c r="B167" s="38"/>
      <c r="C167" s="8"/>
      <c r="D167" s="8"/>
      <c r="E167" s="8"/>
      <c r="F167" s="8"/>
      <c r="G167" s="8"/>
      <c r="H167" s="8"/>
      <c r="I167" s="8"/>
      <c r="J167" s="8"/>
      <c r="K167" s="8"/>
      <c r="L167" s="8"/>
      <c r="M167" s="8"/>
      <c r="N167" s="8"/>
      <c r="O167" s="8"/>
      <c r="P167" s="8"/>
      <c r="Q167" s="8"/>
      <c r="R167" s="79"/>
      <c r="S167" s="79"/>
      <c r="T167" s="79"/>
      <c r="U167" s="34"/>
      <c r="V167" s="34"/>
    </row>
    <row r="168" spans="1:22" ht="12.75" customHeight="1" x14ac:dyDescent="0.2">
      <c r="A168" s="38"/>
      <c r="B168" s="38"/>
      <c r="C168" s="8"/>
      <c r="D168" s="8"/>
      <c r="E168" s="8"/>
      <c r="F168" s="8"/>
      <c r="G168" s="8"/>
      <c r="H168" s="8"/>
      <c r="I168" s="8"/>
      <c r="J168" s="8"/>
      <c r="K168" s="8"/>
      <c r="L168" s="8"/>
      <c r="M168" s="8"/>
      <c r="N168" s="8"/>
      <c r="O168" s="8"/>
      <c r="P168" s="8"/>
      <c r="Q168" s="8"/>
      <c r="R168" s="79"/>
      <c r="S168" s="79"/>
      <c r="T168" s="79"/>
      <c r="U168" s="34"/>
      <c r="V168" s="34"/>
    </row>
    <row r="169" spans="1:22" ht="12.75" customHeight="1" x14ac:dyDescent="0.2">
      <c r="A169" s="38"/>
      <c r="B169" s="38"/>
      <c r="C169" s="8"/>
      <c r="D169" s="8"/>
      <c r="E169" s="8"/>
      <c r="F169" s="8"/>
      <c r="G169" s="8"/>
      <c r="H169" s="8"/>
      <c r="I169" s="8"/>
      <c r="J169" s="8"/>
      <c r="K169" s="8"/>
      <c r="L169" s="8"/>
      <c r="M169" s="8"/>
      <c r="N169" s="8"/>
      <c r="O169" s="8"/>
      <c r="P169" s="8"/>
      <c r="Q169" s="8"/>
      <c r="R169" s="79"/>
      <c r="S169" s="79"/>
      <c r="T169" s="79"/>
      <c r="U169" s="34"/>
      <c r="V169" s="34"/>
    </row>
    <row r="170" spans="1:22" ht="12.75" customHeight="1" x14ac:dyDescent="0.2">
      <c r="A170" s="38"/>
      <c r="B170" s="38"/>
      <c r="C170" s="8"/>
      <c r="D170" s="8"/>
      <c r="E170" s="8"/>
      <c r="F170" s="8"/>
      <c r="G170" s="8"/>
      <c r="H170" s="8"/>
      <c r="I170" s="8"/>
      <c r="J170" s="8"/>
      <c r="K170" s="8"/>
      <c r="L170" s="8"/>
      <c r="M170" s="8"/>
      <c r="N170" s="8"/>
      <c r="O170" s="8"/>
      <c r="P170" s="8"/>
      <c r="Q170" s="8"/>
      <c r="R170" s="79"/>
      <c r="S170" s="79"/>
      <c r="T170" s="79"/>
      <c r="U170" s="34"/>
      <c r="V170" s="34"/>
    </row>
    <row r="171" spans="1:22" ht="12.75" customHeight="1" x14ac:dyDescent="0.2">
      <c r="A171" s="38"/>
      <c r="B171" s="38"/>
      <c r="C171" s="8"/>
      <c r="D171" s="8"/>
      <c r="E171" s="8"/>
      <c r="F171" s="8"/>
      <c r="G171" s="8"/>
      <c r="H171" s="8"/>
      <c r="I171" s="8"/>
      <c r="J171" s="8"/>
      <c r="K171" s="8"/>
      <c r="L171" s="8"/>
      <c r="M171" s="8"/>
      <c r="N171" s="8"/>
      <c r="O171" s="8"/>
      <c r="P171" s="8"/>
      <c r="Q171" s="8"/>
      <c r="R171" s="79"/>
      <c r="S171" s="79"/>
      <c r="T171" s="79"/>
      <c r="U171" s="34"/>
      <c r="V171" s="34"/>
    </row>
    <row r="172" spans="1:22" ht="12.75" customHeight="1" x14ac:dyDescent="0.2">
      <c r="A172" s="38"/>
      <c r="B172" s="38"/>
      <c r="C172" s="8"/>
      <c r="D172" s="8"/>
      <c r="E172" s="8"/>
      <c r="F172" s="8"/>
      <c r="G172" s="8"/>
      <c r="H172" s="8"/>
      <c r="I172" s="8"/>
      <c r="J172" s="8"/>
      <c r="K172" s="8"/>
      <c r="L172" s="8"/>
      <c r="M172" s="8"/>
      <c r="N172" s="8"/>
      <c r="O172" s="8"/>
      <c r="P172" s="8"/>
      <c r="Q172" s="8"/>
      <c r="R172" s="79"/>
      <c r="S172" s="79"/>
      <c r="T172" s="79"/>
      <c r="U172" s="34"/>
      <c r="V172" s="34"/>
    </row>
    <row r="173" spans="1:22" ht="12.75" customHeight="1" x14ac:dyDescent="0.2">
      <c r="A173" s="38"/>
      <c r="B173" s="38"/>
      <c r="C173" s="8"/>
      <c r="D173" s="8"/>
      <c r="E173" s="8"/>
      <c r="F173" s="8"/>
      <c r="G173" s="8"/>
      <c r="H173" s="8"/>
      <c r="I173" s="8"/>
      <c r="J173" s="8"/>
      <c r="K173" s="8"/>
      <c r="L173" s="8"/>
      <c r="M173" s="8"/>
      <c r="N173" s="8"/>
      <c r="O173" s="8"/>
      <c r="P173" s="8"/>
      <c r="Q173" s="8"/>
      <c r="R173" s="79"/>
      <c r="S173" s="79"/>
      <c r="T173" s="79"/>
      <c r="U173" s="34"/>
      <c r="V173" s="34"/>
    </row>
    <row r="174" spans="1:22" ht="12.75" customHeight="1" x14ac:dyDescent="0.2">
      <c r="A174" s="38"/>
      <c r="B174" s="38"/>
      <c r="C174" s="8"/>
      <c r="D174" s="8"/>
      <c r="E174" s="8"/>
      <c r="F174" s="8"/>
      <c r="G174" s="8"/>
      <c r="H174" s="8"/>
      <c r="I174" s="8"/>
      <c r="J174" s="8"/>
      <c r="K174" s="8"/>
      <c r="L174" s="8"/>
      <c r="M174" s="8"/>
      <c r="N174" s="8"/>
      <c r="O174" s="8"/>
      <c r="P174" s="8"/>
      <c r="Q174" s="8"/>
      <c r="R174" s="79"/>
      <c r="S174" s="79"/>
      <c r="T174" s="79"/>
      <c r="U174" s="34"/>
      <c r="V174" s="34"/>
    </row>
    <row r="175" spans="1:22" ht="12.75" customHeight="1" x14ac:dyDescent="0.2">
      <c r="A175" s="38"/>
      <c r="B175" s="38"/>
      <c r="C175" s="8"/>
      <c r="D175" s="8"/>
      <c r="E175" s="8"/>
      <c r="F175" s="8"/>
      <c r="G175" s="8"/>
      <c r="H175" s="8"/>
      <c r="I175" s="8"/>
      <c r="J175" s="8"/>
      <c r="K175" s="8"/>
      <c r="L175" s="8"/>
      <c r="M175" s="8"/>
      <c r="N175" s="8"/>
      <c r="O175" s="8"/>
      <c r="P175" s="8"/>
      <c r="Q175" s="8"/>
      <c r="R175" s="79"/>
      <c r="S175" s="79"/>
      <c r="T175" s="79"/>
      <c r="U175" s="34"/>
      <c r="V175" s="34"/>
    </row>
    <row r="176" spans="1:22" ht="12.75" customHeight="1" x14ac:dyDescent="0.2">
      <c r="A176" s="38"/>
      <c r="B176" s="38"/>
      <c r="C176" s="8"/>
      <c r="D176" s="8"/>
      <c r="E176" s="8"/>
      <c r="F176" s="8"/>
      <c r="G176" s="8"/>
      <c r="H176" s="8"/>
      <c r="I176" s="8"/>
      <c r="J176" s="8"/>
      <c r="K176" s="8"/>
      <c r="L176" s="8"/>
      <c r="M176" s="8"/>
      <c r="N176" s="8"/>
      <c r="O176" s="8"/>
      <c r="P176" s="8"/>
      <c r="Q176" s="8"/>
      <c r="R176" s="79"/>
      <c r="S176" s="79"/>
      <c r="T176" s="79"/>
      <c r="U176" s="34"/>
      <c r="V176" s="34"/>
    </row>
    <row r="177" spans="1:22" ht="12.75" customHeight="1" x14ac:dyDescent="0.2">
      <c r="A177" s="38"/>
      <c r="B177" s="38"/>
      <c r="C177" s="8"/>
      <c r="D177" s="8"/>
      <c r="E177" s="8"/>
      <c r="F177" s="8"/>
      <c r="G177" s="8"/>
      <c r="H177" s="8"/>
      <c r="I177" s="8"/>
      <c r="J177" s="8"/>
      <c r="K177" s="8"/>
      <c r="L177" s="8"/>
      <c r="M177" s="8"/>
      <c r="N177" s="8"/>
      <c r="O177" s="8"/>
      <c r="P177" s="8"/>
      <c r="Q177" s="8"/>
      <c r="R177" s="79"/>
      <c r="S177" s="79"/>
      <c r="T177" s="79"/>
      <c r="U177" s="34"/>
      <c r="V177" s="34"/>
    </row>
    <row r="178" spans="1:22" ht="12.75" customHeight="1" x14ac:dyDescent="0.2">
      <c r="A178" s="38"/>
      <c r="B178" s="38"/>
      <c r="C178" s="8"/>
      <c r="D178" s="8"/>
      <c r="E178" s="8"/>
      <c r="F178" s="8"/>
      <c r="G178" s="8"/>
      <c r="H178" s="8"/>
      <c r="I178" s="8"/>
      <c r="J178" s="8"/>
      <c r="K178" s="8"/>
      <c r="L178" s="8"/>
      <c r="M178" s="8"/>
      <c r="N178" s="8"/>
      <c r="O178" s="8"/>
      <c r="P178" s="8"/>
      <c r="Q178" s="8"/>
      <c r="R178" s="79"/>
      <c r="S178" s="79"/>
      <c r="T178" s="79"/>
      <c r="U178" s="34"/>
      <c r="V178" s="34"/>
    </row>
    <row r="179" spans="1:22" ht="12.75" customHeight="1" x14ac:dyDescent="0.2">
      <c r="A179" s="38"/>
      <c r="B179" s="38"/>
      <c r="C179" s="8"/>
      <c r="D179" s="8"/>
      <c r="E179" s="8"/>
      <c r="F179" s="8"/>
      <c r="G179" s="8"/>
      <c r="H179" s="8"/>
      <c r="I179" s="8"/>
      <c r="J179" s="8"/>
      <c r="K179" s="8"/>
      <c r="L179" s="8"/>
      <c r="M179" s="8"/>
      <c r="N179" s="8"/>
      <c r="O179" s="8"/>
      <c r="P179" s="8"/>
      <c r="Q179" s="8"/>
      <c r="R179" s="79"/>
      <c r="S179" s="79"/>
      <c r="T179" s="79"/>
      <c r="U179" s="34"/>
      <c r="V179" s="34"/>
    </row>
    <row r="180" spans="1:22" ht="12.75" customHeight="1" x14ac:dyDescent="0.2">
      <c r="A180" s="38"/>
      <c r="B180" s="38"/>
      <c r="C180" s="8"/>
      <c r="D180" s="8"/>
      <c r="E180" s="8"/>
      <c r="F180" s="8"/>
      <c r="G180" s="8"/>
      <c r="H180" s="8"/>
      <c r="I180" s="8"/>
      <c r="J180" s="8"/>
      <c r="K180" s="8"/>
      <c r="L180" s="8"/>
      <c r="M180" s="8"/>
      <c r="N180" s="8"/>
      <c r="O180" s="8"/>
      <c r="P180" s="8"/>
      <c r="Q180" s="8"/>
      <c r="R180" s="79"/>
      <c r="S180" s="79"/>
      <c r="T180" s="79"/>
      <c r="U180" s="34"/>
      <c r="V180" s="34"/>
    </row>
    <row r="181" spans="1:22" ht="12.75" customHeight="1" x14ac:dyDescent="0.2">
      <c r="A181" s="38"/>
      <c r="B181" s="38"/>
      <c r="C181" s="8"/>
      <c r="D181" s="8"/>
      <c r="E181" s="8"/>
      <c r="F181" s="8"/>
      <c r="G181" s="8"/>
      <c r="H181" s="8"/>
      <c r="I181" s="8"/>
      <c r="J181" s="8"/>
      <c r="K181" s="8"/>
      <c r="L181" s="8"/>
      <c r="M181" s="8"/>
      <c r="N181" s="8"/>
      <c r="O181" s="8"/>
      <c r="P181" s="8"/>
      <c r="Q181" s="8"/>
      <c r="R181" s="79"/>
      <c r="S181" s="79"/>
      <c r="T181" s="79"/>
      <c r="U181" s="34"/>
      <c r="V181" s="34"/>
    </row>
    <row r="182" spans="1:22" ht="12.75" customHeight="1" x14ac:dyDescent="0.2">
      <c r="A182" s="38"/>
      <c r="B182" s="38"/>
      <c r="C182" s="8"/>
      <c r="D182" s="8"/>
      <c r="E182" s="8"/>
      <c r="F182" s="8"/>
      <c r="G182" s="8"/>
      <c r="H182" s="8"/>
      <c r="I182" s="8"/>
      <c r="J182" s="8"/>
      <c r="K182" s="8"/>
      <c r="L182" s="8"/>
      <c r="M182" s="8"/>
      <c r="N182" s="8"/>
      <c r="O182" s="8"/>
      <c r="P182" s="8"/>
      <c r="Q182" s="8"/>
      <c r="R182" s="79"/>
      <c r="S182" s="79"/>
      <c r="T182" s="79"/>
      <c r="U182" s="34"/>
      <c r="V182" s="34"/>
    </row>
    <row r="183" spans="1:22" ht="12.75" customHeight="1" x14ac:dyDescent="0.2">
      <c r="A183" s="38"/>
      <c r="B183" s="38"/>
      <c r="C183" s="8"/>
      <c r="D183" s="8"/>
      <c r="E183" s="8"/>
      <c r="F183" s="8"/>
      <c r="G183" s="8"/>
      <c r="H183" s="8"/>
      <c r="I183" s="8"/>
      <c r="J183" s="8"/>
      <c r="K183" s="8"/>
      <c r="L183" s="8"/>
      <c r="M183" s="8"/>
      <c r="N183" s="8"/>
      <c r="O183" s="8"/>
      <c r="P183" s="8"/>
      <c r="Q183" s="8"/>
      <c r="R183" s="79"/>
      <c r="S183" s="79"/>
      <c r="T183" s="79"/>
      <c r="U183" s="34"/>
      <c r="V183" s="34"/>
    </row>
    <row r="184" spans="1:22" ht="12.75" customHeight="1" x14ac:dyDescent="0.2">
      <c r="A184" s="38"/>
      <c r="B184" s="38"/>
      <c r="C184" s="8"/>
      <c r="D184" s="8"/>
      <c r="E184" s="8"/>
      <c r="F184" s="8"/>
      <c r="G184" s="8"/>
      <c r="H184" s="8"/>
      <c r="I184" s="8"/>
      <c r="J184" s="8"/>
      <c r="K184" s="8"/>
      <c r="L184" s="8"/>
      <c r="M184" s="8"/>
      <c r="N184" s="8"/>
      <c r="O184" s="8"/>
      <c r="P184" s="8"/>
      <c r="Q184" s="8"/>
      <c r="R184" s="79"/>
      <c r="S184" s="79"/>
      <c r="T184" s="79"/>
      <c r="U184" s="34"/>
      <c r="V184" s="34"/>
    </row>
    <row r="185" spans="1:22" ht="12.75" customHeight="1" x14ac:dyDescent="0.2">
      <c r="A185" s="38"/>
      <c r="B185" s="38"/>
      <c r="C185" s="8"/>
      <c r="D185" s="8"/>
      <c r="E185" s="8"/>
      <c r="F185" s="8"/>
      <c r="G185" s="8"/>
      <c r="H185" s="8"/>
      <c r="I185" s="8"/>
      <c r="J185" s="8"/>
      <c r="K185" s="8"/>
      <c r="L185" s="8"/>
      <c r="M185" s="8"/>
      <c r="N185" s="8"/>
      <c r="O185" s="8"/>
      <c r="P185" s="8"/>
      <c r="Q185" s="8"/>
      <c r="R185" s="79"/>
      <c r="S185" s="79"/>
      <c r="T185" s="79"/>
      <c r="U185" s="34"/>
      <c r="V185" s="34"/>
    </row>
    <row r="186" spans="1:22" ht="12.75" customHeight="1" x14ac:dyDescent="0.2">
      <c r="A186" s="38"/>
      <c r="B186" s="38"/>
      <c r="C186" s="8"/>
      <c r="D186" s="8"/>
      <c r="E186" s="8"/>
      <c r="F186" s="8"/>
      <c r="G186" s="8"/>
      <c r="H186" s="8"/>
      <c r="I186" s="8"/>
      <c r="J186" s="8"/>
      <c r="K186" s="8"/>
      <c r="L186" s="8"/>
      <c r="M186" s="8"/>
      <c r="N186" s="8"/>
      <c r="O186" s="8"/>
      <c r="P186" s="8"/>
      <c r="Q186" s="8"/>
      <c r="R186" s="79"/>
      <c r="S186" s="79"/>
      <c r="T186" s="79"/>
      <c r="U186" s="34"/>
      <c r="V186" s="34"/>
    </row>
    <row r="187" spans="1:22" ht="12.75" customHeight="1" x14ac:dyDescent="0.2">
      <c r="A187" s="38"/>
      <c r="B187" s="38"/>
      <c r="C187" s="8"/>
      <c r="D187" s="8"/>
      <c r="E187" s="8"/>
      <c r="F187" s="8"/>
      <c r="G187" s="8"/>
      <c r="H187" s="8"/>
      <c r="I187" s="8"/>
      <c r="J187" s="8"/>
      <c r="K187" s="8"/>
      <c r="L187" s="8"/>
      <c r="M187" s="8"/>
      <c r="N187" s="8"/>
      <c r="O187" s="8"/>
      <c r="P187" s="8"/>
      <c r="Q187" s="8"/>
      <c r="R187" s="79"/>
      <c r="S187" s="79"/>
      <c r="T187" s="79"/>
      <c r="U187" s="34"/>
      <c r="V187" s="34"/>
    </row>
    <row r="188" spans="1:22" ht="12.75" customHeight="1" x14ac:dyDescent="0.2">
      <c r="A188" s="38"/>
      <c r="B188" s="38"/>
      <c r="C188" s="8"/>
      <c r="D188" s="8"/>
      <c r="E188" s="8"/>
      <c r="F188" s="8"/>
      <c r="G188" s="8"/>
      <c r="H188" s="8"/>
      <c r="I188" s="8"/>
      <c r="J188" s="8"/>
      <c r="K188" s="8"/>
      <c r="L188" s="8"/>
      <c r="M188" s="8"/>
      <c r="N188" s="8"/>
      <c r="O188" s="8"/>
      <c r="P188" s="8"/>
      <c r="Q188" s="8"/>
      <c r="R188" s="79"/>
      <c r="S188" s="79"/>
      <c r="T188" s="79"/>
      <c r="U188" s="34"/>
      <c r="V188" s="34"/>
    </row>
    <row r="189" spans="1:22" ht="12.75" customHeight="1" x14ac:dyDescent="0.2">
      <c r="A189" s="38"/>
      <c r="B189" s="38"/>
      <c r="C189" s="8"/>
      <c r="D189" s="8"/>
      <c r="E189" s="8"/>
      <c r="F189" s="8"/>
      <c r="G189" s="8"/>
      <c r="H189" s="8"/>
      <c r="I189" s="8"/>
      <c r="J189" s="8"/>
      <c r="K189" s="8"/>
      <c r="L189" s="8"/>
      <c r="M189" s="8"/>
      <c r="N189" s="8"/>
      <c r="O189" s="8"/>
      <c r="P189" s="8"/>
      <c r="Q189" s="8"/>
      <c r="R189" s="79"/>
      <c r="S189" s="79"/>
      <c r="T189" s="79"/>
      <c r="U189" s="34"/>
      <c r="V189" s="34"/>
    </row>
    <row r="190" spans="1:22" ht="12.75" customHeight="1" x14ac:dyDescent="0.2">
      <c r="A190" s="38"/>
      <c r="B190" s="38"/>
      <c r="C190" s="8"/>
      <c r="D190" s="8"/>
      <c r="E190" s="8"/>
      <c r="F190" s="8"/>
      <c r="G190" s="8"/>
      <c r="H190" s="8"/>
      <c r="I190" s="8"/>
      <c r="J190" s="8"/>
      <c r="K190" s="8"/>
      <c r="L190" s="8"/>
      <c r="M190" s="8"/>
      <c r="N190" s="8"/>
      <c r="O190" s="8"/>
      <c r="P190" s="8"/>
      <c r="Q190" s="8"/>
      <c r="R190" s="79"/>
      <c r="S190" s="79"/>
      <c r="T190" s="79"/>
      <c r="U190" s="34"/>
      <c r="V190" s="34"/>
    </row>
    <row r="191" spans="1:22" ht="12.75" customHeight="1" x14ac:dyDescent="0.2">
      <c r="A191" s="38"/>
      <c r="B191" s="38"/>
      <c r="C191" s="8"/>
      <c r="D191" s="8"/>
      <c r="E191" s="8"/>
      <c r="F191" s="8"/>
      <c r="G191" s="8"/>
      <c r="H191" s="8"/>
      <c r="I191" s="8"/>
      <c r="J191" s="8"/>
      <c r="K191" s="8"/>
      <c r="L191" s="8"/>
      <c r="M191" s="8"/>
      <c r="N191" s="8"/>
      <c r="O191" s="8"/>
      <c r="P191" s="8"/>
      <c r="Q191" s="8"/>
      <c r="R191" s="79"/>
      <c r="S191" s="79"/>
      <c r="T191" s="79"/>
      <c r="U191" s="34"/>
      <c r="V191" s="34"/>
    </row>
    <row r="192" spans="1:22" ht="12.75" customHeight="1" x14ac:dyDescent="0.2">
      <c r="A192" s="38"/>
      <c r="B192" s="38"/>
      <c r="C192" s="8"/>
      <c r="D192" s="8"/>
      <c r="E192" s="8"/>
      <c r="F192" s="8"/>
      <c r="G192" s="8"/>
      <c r="H192" s="8"/>
      <c r="I192" s="8"/>
      <c r="J192" s="8"/>
      <c r="K192" s="8"/>
      <c r="L192" s="8"/>
      <c r="M192" s="8"/>
      <c r="N192" s="8"/>
      <c r="O192" s="8"/>
      <c r="P192" s="8"/>
      <c r="Q192" s="8"/>
      <c r="R192" s="79"/>
      <c r="S192" s="79"/>
      <c r="T192" s="79"/>
      <c r="U192" s="34"/>
      <c r="V192" s="34"/>
    </row>
    <row r="193" spans="1:22" ht="12.75" customHeight="1" x14ac:dyDescent="0.2">
      <c r="A193" s="38"/>
      <c r="B193" s="38"/>
      <c r="C193" s="8"/>
      <c r="D193" s="8"/>
      <c r="E193" s="8"/>
      <c r="F193" s="8"/>
      <c r="G193" s="8"/>
      <c r="H193" s="8"/>
      <c r="I193" s="8"/>
      <c r="J193" s="8"/>
      <c r="K193" s="8"/>
      <c r="L193" s="8"/>
      <c r="M193" s="8"/>
      <c r="N193" s="8"/>
      <c r="O193" s="8"/>
      <c r="P193" s="8"/>
      <c r="Q193" s="8"/>
      <c r="R193" s="79"/>
      <c r="S193" s="79"/>
      <c r="T193" s="79"/>
      <c r="U193" s="34"/>
      <c r="V193" s="34"/>
    </row>
    <row r="194" spans="1:22" ht="12.75" customHeight="1" x14ac:dyDescent="0.2">
      <c r="A194" s="38"/>
      <c r="B194" s="38"/>
      <c r="C194" s="8"/>
      <c r="D194" s="8"/>
      <c r="E194" s="8"/>
      <c r="F194" s="8"/>
      <c r="G194" s="8"/>
      <c r="H194" s="8"/>
      <c r="I194" s="8"/>
      <c r="J194" s="8"/>
      <c r="K194" s="8"/>
      <c r="L194" s="8"/>
      <c r="M194" s="8"/>
      <c r="N194" s="8"/>
      <c r="O194" s="8"/>
      <c r="P194" s="8"/>
      <c r="Q194" s="8"/>
      <c r="R194" s="79"/>
      <c r="S194" s="79"/>
      <c r="T194" s="79"/>
      <c r="U194" s="34"/>
      <c r="V194" s="34"/>
    </row>
    <row r="195" spans="1:22" ht="12.75" customHeight="1" x14ac:dyDescent="0.2">
      <c r="A195" s="38"/>
      <c r="B195" s="38"/>
      <c r="C195" s="8"/>
      <c r="D195" s="8"/>
      <c r="E195" s="8"/>
      <c r="F195" s="8"/>
      <c r="G195" s="8"/>
      <c r="H195" s="8"/>
      <c r="I195" s="8"/>
      <c r="J195" s="8"/>
      <c r="K195" s="8"/>
      <c r="L195" s="8"/>
      <c r="M195" s="8"/>
      <c r="N195" s="8"/>
      <c r="O195" s="8"/>
      <c r="P195" s="8"/>
      <c r="Q195" s="8"/>
      <c r="R195" s="79"/>
      <c r="S195" s="79"/>
      <c r="T195" s="79"/>
      <c r="U195" s="34"/>
      <c r="V195" s="34"/>
    </row>
    <row r="196" spans="1:22" ht="12.75" customHeight="1" x14ac:dyDescent="0.2">
      <c r="A196" s="38"/>
      <c r="B196" s="38"/>
      <c r="C196" s="8"/>
      <c r="D196" s="8"/>
      <c r="E196" s="8"/>
      <c r="F196" s="8"/>
      <c r="G196" s="8"/>
      <c r="H196" s="8"/>
      <c r="I196" s="8"/>
      <c r="J196" s="8"/>
      <c r="K196" s="8"/>
      <c r="L196" s="8"/>
      <c r="M196" s="8"/>
      <c r="N196" s="8"/>
      <c r="O196" s="8"/>
      <c r="P196" s="8"/>
      <c r="Q196" s="8"/>
      <c r="R196" s="79"/>
      <c r="S196" s="79"/>
      <c r="T196" s="79"/>
      <c r="U196" s="34"/>
      <c r="V196" s="34"/>
    </row>
    <row r="197" spans="1:22" ht="12.75" customHeight="1" x14ac:dyDescent="0.2">
      <c r="A197" s="38"/>
      <c r="B197" s="38"/>
      <c r="C197" s="8"/>
      <c r="D197" s="8"/>
      <c r="E197" s="8"/>
      <c r="F197" s="8"/>
      <c r="G197" s="8"/>
      <c r="H197" s="8"/>
      <c r="I197" s="8"/>
      <c r="J197" s="8"/>
      <c r="K197" s="8"/>
      <c r="L197" s="8"/>
      <c r="M197" s="8"/>
      <c r="N197" s="8"/>
      <c r="O197" s="8"/>
      <c r="P197" s="8"/>
      <c r="Q197" s="8"/>
      <c r="R197" s="79"/>
      <c r="S197" s="79"/>
      <c r="T197" s="79"/>
      <c r="U197" s="34"/>
      <c r="V197" s="34"/>
    </row>
    <row r="198" spans="1:22" ht="12.75" customHeight="1" x14ac:dyDescent="0.2">
      <c r="A198" s="38"/>
      <c r="B198" s="38"/>
      <c r="C198" s="8"/>
      <c r="D198" s="8"/>
      <c r="E198" s="8"/>
      <c r="F198" s="8"/>
      <c r="G198" s="8"/>
      <c r="H198" s="8"/>
      <c r="I198" s="8"/>
      <c r="J198" s="8"/>
      <c r="K198" s="8"/>
      <c r="L198" s="8"/>
      <c r="M198" s="8"/>
      <c r="N198" s="8"/>
      <c r="O198" s="8"/>
      <c r="P198" s="8"/>
      <c r="Q198" s="8"/>
      <c r="R198" s="79"/>
      <c r="S198" s="79"/>
      <c r="T198" s="79"/>
      <c r="U198" s="34"/>
      <c r="V198" s="34"/>
    </row>
    <row r="199" spans="1:22" ht="12.75" customHeight="1" x14ac:dyDescent="0.2">
      <c r="A199" s="38"/>
      <c r="B199" s="38"/>
      <c r="C199" s="8"/>
      <c r="D199" s="8"/>
      <c r="E199" s="8"/>
      <c r="F199" s="8"/>
      <c r="G199" s="8"/>
      <c r="H199" s="8"/>
      <c r="I199" s="8"/>
      <c r="J199" s="8"/>
      <c r="K199" s="8"/>
      <c r="L199" s="8"/>
      <c r="M199" s="8"/>
      <c r="N199" s="8"/>
      <c r="O199" s="8"/>
      <c r="P199" s="8"/>
      <c r="Q199" s="8"/>
      <c r="R199" s="79"/>
      <c r="S199" s="79"/>
      <c r="T199" s="79"/>
      <c r="U199" s="34"/>
      <c r="V199" s="34"/>
    </row>
    <row r="200" spans="1:22" ht="12.75" customHeight="1" x14ac:dyDescent="0.2">
      <c r="A200" s="38"/>
      <c r="B200" s="38"/>
      <c r="C200" s="8"/>
      <c r="D200" s="8"/>
      <c r="E200" s="8"/>
      <c r="F200" s="8"/>
      <c r="G200" s="8"/>
      <c r="H200" s="8"/>
      <c r="I200" s="8"/>
      <c r="J200" s="8"/>
      <c r="K200" s="8"/>
      <c r="L200" s="8"/>
      <c r="M200" s="8"/>
      <c r="N200" s="8"/>
      <c r="O200" s="8"/>
      <c r="P200" s="8"/>
      <c r="Q200" s="8"/>
      <c r="R200" s="79"/>
      <c r="S200" s="79"/>
      <c r="T200" s="79"/>
      <c r="U200" s="34"/>
      <c r="V200" s="34"/>
    </row>
    <row r="201" spans="1:22" ht="12.75" customHeight="1" x14ac:dyDescent="0.2">
      <c r="A201" s="38"/>
      <c r="B201" s="38"/>
      <c r="C201" s="8"/>
      <c r="D201" s="8"/>
      <c r="E201" s="8"/>
      <c r="F201" s="8"/>
      <c r="G201" s="8"/>
      <c r="H201" s="8"/>
      <c r="I201" s="8"/>
      <c r="J201" s="8"/>
      <c r="K201" s="8"/>
      <c r="L201" s="8"/>
      <c r="M201" s="8"/>
      <c r="N201" s="8"/>
      <c r="O201" s="8"/>
      <c r="P201" s="8"/>
      <c r="Q201" s="8"/>
      <c r="R201" s="79"/>
      <c r="S201" s="79"/>
      <c r="T201" s="79"/>
      <c r="U201" s="34"/>
      <c r="V201" s="34"/>
    </row>
    <row r="202" spans="1:22" ht="12.75" customHeight="1" x14ac:dyDescent="0.2">
      <c r="A202" s="38"/>
      <c r="B202" s="38"/>
      <c r="C202" s="8"/>
      <c r="D202" s="8"/>
      <c r="E202" s="8"/>
      <c r="F202" s="8"/>
      <c r="G202" s="8"/>
      <c r="H202" s="8"/>
      <c r="I202" s="8"/>
      <c r="J202" s="8"/>
      <c r="K202" s="8"/>
      <c r="L202" s="8"/>
      <c r="M202" s="8"/>
      <c r="N202" s="8"/>
      <c r="O202" s="8"/>
      <c r="P202" s="8"/>
      <c r="Q202" s="8"/>
      <c r="R202" s="79"/>
      <c r="S202" s="79"/>
      <c r="T202" s="79"/>
      <c r="U202" s="34"/>
      <c r="V202" s="34"/>
    </row>
    <row r="203" spans="1:22" ht="12.75" customHeight="1" x14ac:dyDescent="0.2">
      <c r="A203" s="38"/>
      <c r="B203" s="38"/>
      <c r="C203" s="8"/>
      <c r="D203" s="8"/>
      <c r="E203" s="8"/>
      <c r="F203" s="8"/>
      <c r="G203" s="8"/>
      <c r="H203" s="8"/>
      <c r="I203" s="8"/>
      <c r="J203" s="8"/>
      <c r="K203" s="8"/>
      <c r="L203" s="8"/>
      <c r="M203" s="8"/>
      <c r="N203" s="8"/>
      <c r="O203" s="8"/>
      <c r="P203" s="8"/>
      <c r="Q203" s="8"/>
      <c r="R203" s="79"/>
      <c r="S203" s="79"/>
      <c r="T203" s="79"/>
      <c r="U203" s="34"/>
      <c r="V203" s="34"/>
    </row>
    <row r="204" spans="1:22" ht="12.75" customHeight="1" x14ac:dyDescent="0.2">
      <c r="A204" s="38"/>
      <c r="B204" s="38"/>
      <c r="C204" s="8"/>
      <c r="D204" s="8"/>
      <c r="E204" s="8"/>
      <c r="F204" s="8"/>
      <c r="G204" s="8"/>
      <c r="H204" s="8"/>
      <c r="I204" s="8"/>
      <c r="J204" s="8"/>
      <c r="K204" s="8"/>
      <c r="L204" s="8"/>
      <c r="M204" s="8"/>
      <c r="N204" s="8"/>
      <c r="O204" s="8"/>
      <c r="P204" s="8"/>
      <c r="Q204" s="8"/>
      <c r="R204" s="79"/>
      <c r="S204" s="79"/>
      <c r="T204" s="79"/>
      <c r="U204" s="34"/>
      <c r="V204" s="34"/>
    </row>
    <row r="205" spans="1:22" ht="12.75" customHeight="1" x14ac:dyDescent="0.2">
      <c r="A205" s="38"/>
      <c r="B205" s="38"/>
      <c r="C205" s="8"/>
      <c r="D205" s="8"/>
      <c r="E205" s="8"/>
      <c r="F205" s="8"/>
      <c r="G205" s="8"/>
      <c r="H205" s="8"/>
      <c r="I205" s="8"/>
      <c r="J205" s="8"/>
      <c r="K205" s="8"/>
      <c r="L205" s="8"/>
      <c r="M205" s="8"/>
      <c r="N205" s="8"/>
      <c r="O205" s="8"/>
      <c r="P205" s="8"/>
      <c r="Q205" s="8"/>
      <c r="R205" s="79"/>
      <c r="S205" s="79"/>
      <c r="T205" s="79"/>
      <c r="U205" s="34"/>
      <c r="V205" s="34"/>
    </row>
    <row r="206" spans="1:22" ht="12.75" customHeight="1" x14ac:dyDescent="0.2">
      <c r="A206" s="38"/>
      <c r="B206" s="38"/>
      <c r="C206" s="8"/>
      <c r="D206" s="8"/>
      <c r="E206" s="8"/>
      <c r="F206" s="8"/>
      <c r="G206" s="8"/>
      <c r="H206" s="8"/>
      <c r="I206" s="8"/>
      <c r="J206" s="8"/>
      <c r="K206" s="8"/>
      <c r="L206" s="8"/>
      <c r="M206" s="8"/>
      <c r="N206" s="8"/>
      <c r="O206" s="8"/>
      <c r="P206" s="8"/>
      <c r="Q206" s="8"/>
      <c r="R206" s="79"/>
      <c r="S206" s="79"/>
      <c r="T206" s="79"/>
      <c r="U206" s="34"/>
      <c r="V206" s="34"/>
    </row>
    <row r="207" spans="1:22" ht="12.75" customHeight="1" x14ac:dyDescent="0.2">
      <c r="A207" s="38"/>
      <c r="B207" s="38"/>
      <c r="C207" s="8"/>
      <c r="D207" s="8"/>
      <c r="E207" s="8"/>
      <c r="F207" s="8"/>
      <c r="G207" s="8"/>
      <c r="H207" s="8"/>
      <c r="I207" s="8"/>
      <c r="J207" s="8"/>
      <c r="K207" s="8"/>
      <c r="L207" s="8"/>
      <c r="M207" s="8"/>
      <c r="N207" s="8"/>
      <c r="O207" s="8"/>
      <c r="P207" s="8"/>
      <c r="Q207" s="8"/>
      <c r="R207" s="79"/>
      <c r="S207" s="79"/>
      <c r="T207" s="79"/>
      <c r="U207" s="34"/>
      <c r="V207" s="34"/>
    </row>
    <row r="208" spans="1:22" ht="12.75" customHeight="1" x14ac:dyDescent="0.2">
      <c r="A208" s="38"/>
      <c r="B208" s="38"/>
      <c r="C208" s="8"/>
      <c r="D208" s="8"/>
      <c r="E208" s="8"/>
      <c r="F208" s="8"/>
      <c r="G208" s="8"/>
      <c r="H208" s="8"/>
      <c r="I208" s="8"/>
      <c r="J208" s="8"/>
      <c r="K208" s="8"/>
      <c r="L208" s="8"/>
      <c r="M208" s="8"/>
      <c r="N208" s="8"/>
      <c r="O208" s="8"/>
      <c r="P208" s="8"/>
      <c r="Q208" s="8"/>
      <c r="R208" s="79"/>
      <c r="S208" s="79"/>
      <c r="T208" s="79"/>
      <c r="U208" s="34"/>
      <c r="V208" s="34"/>
    </row>
    <row r="209" spans="1:22" ht="12.75" customHeight="1" x14ac:dyDescent="0.2">
      <c r="A209" s="38"/>
      <c r="B209" s="38"/>
      <c r="C209" s="8"/>
      <c r="D209" s="8"/>
      <c r="E209" s="8"/>
      <c r="F209" s="8"/>
      <c r="G209" s="8"/>
      <c r="H209" s="8"/>
      <c r="I209" s="8"/>
      <c r="J209" s="8"/>
      <c r="K209" s="8"/>
      <c r="L209" s="8"/>
      <c r="M209" s="8"/>
      <c r="N209" s="8"/>
      <c r="O209" s="8"/>
      <c r="P209" s="8"/>
      <c r="Q209" s="8"/>
      <c r="R209" s="79"/>
      <c r="S209" s="79"/>
      <c r="T209" s="79"/>
      <c r="U209" s="34"/>
      <c r="V209" s="34"/>
    </row>
    <row r="210" spans="1:22" ht="12.75" customHeight="1" x14ac:dyDescent="0.2">
      <c r="A210" s="38"/>
      <c r="B210" s="38"/>
      <c r="C210" s="8"/>
      <c r="D210" s="8"/>
      <c r="E210" s="8"/>
      <c r="F210" s="8"/>
      <c r="G210" s="8"/>
      <c r="H210" s="8"/>
      <c r="I210" s="8"/>
      <c r="J210" s="8"/>
      <c r="K210" s="8"/>
      <c r="L210" s="8"/>
      <c r="M210" s="8"/>
      <c r="N210" s="8"/>
      <c r="O210" s="8"/>
      <c r="P210" s="8"/>
      <c r="Q210" s="8"/>
      <c r="R210" s="79"/>
      <c r="S210" s="79"/>
      <c r="T210" s="79"/>
      <c r="U210" s="34"/>
      <c r="V210" s="34"/>
    </row>
    <row r="211" spans="1:22" ht="12.75" customHeight="1" x14ac:dyDescent="0.2">
      <c r="A211" s="38"/>
      <c r="B211" s="38"/>
      <c r="C211" s="8"/>
      <c r="D211" s="8"/>
      <c r="E211" s="8"/>
      <c r="F211" s="8"/>
      <c r="G211" s="8"/>
      <c r="H211" s="8"/>
      <c r="I211" s="8"/>
      <c r="J211" s="8"/>
      <c r="K211" s="8"/>
      <c r="L211" s="8"/>
      <c r="M211" s="8"/>
      <c r="N211" s="8"/>
      <c r="O211" s="8"/>
      <c r="P211" s="8"/>
      <c r="Q211" s="8"/>
      <c r="R211" s="79"/>
      <c r="S211" s="79"/>
      <c r="T211" s="79"/>
      <c r="U211" s="34"/>
      <c r="V211" s="34"/>
    </row>
    <row r="212" spans="1:22" ht="12.75" customHeight="1" x14ac:dyDescent="0.2">
      <c r="A212" s="38"/>
      <c r="B212" s="38"/>
      <c r="C212" s="8"/>
      <c r="D212" s="8"/>
      <c r="E212" s="8"/>
      <c r="F212" s="8"/>
      <c r="G212" s="8"/>
      <c r="H212" s="8"/>
      <c r="I212" s="8"/>
      <c r="J212" s="8"/>
      <c r="K212" s="8"/>
      <c r="L212" s="8"/>
      <c r="M212" s="8"/>
      <c r="N212" s="8"/>
      <c r="O212" s="8"/>
      <c r="P212" s="8"/>
      <c r="Q212" s="8"/>
      <c r="R212" s="79"/>
      <c r="S212" s="79"/>
      <c r="T212" s="79"/>
      <c r="U212" s="34"/>
      <c r="V212" s="34"/>
    </row>
    <row r="213" spans="1:22" ht="12.75" customHeight="1" x14ac:dyDescent="0.2">
      <c r="A213" s="38"/>
      <c r="B213" s="38"/>
      <c r="C213" s="8"/>
      <c r="D213" s="8"/>
      <c r="E213" s="8"/>
      <c r="F213" s="8"/>
      <c r="G213" s="8"/>
      <c r="H213" s="8"/>
      <c r="I213" s="8"/>
      <c r="J213" s="8"/>
      <c r="K213" s="8"/>
      <c r="L213" s="8"/>
      <c r="M213" s="8"/>
      <c r="N213" s="8"/>
      <c r="O213" s="8"/>
      <c r="P213" s="8"/>
      <c r="Q213" s="8"/>
      <c r="R213" s="79"/>
      <c r="S213" s="79"/>
      <c r="T213" s="79"/>
      <c r="U213" s="34"/>
      <c r="V213" s="34"/>
    </row>
    <row r="214" spans="1:22" ht="12.75" customHeight="1" x14ac:dyDescent="0.2">
      <c r="A214" s="38"/>
      <c r="B214" s="38"/>
      <c r="C214" s="8"/>
      <c r="D214" s="8"/>
      <c r="E214" s="8"/>
      <c r="F214" s="8"/>
      <c r="G214" s="8"/>
      <c r="H214" s="8"/>
      <c r="I214" s="8"/>
      <c r="J214" s="8"/>
      <c r="K214" s="8"/>
      <c r="L214" s="8"/>
      <c r="M214" s="8"/>
      <c r="N214" s="8"/>
      <c r="O214" s="8"/>
      <c r="P214" s="8"/>
      <c r="Q214" s="8"/>
      <c r="R214" s="79"/>
      <c r="S214" s="79"/>
      <c r="T214" s="79"/>
      <c r="U214" s="34"/>
      <c r="V214" s="34"/>
    </row>
    <row r="215" spans="1:22" ht="12.75" customHeight="1" x14ac:dyDescent="0.2">
      <c r="A215" s="38"/>
      <c r="B215" s="38"/>
      <c r="C215" s="8"/>
      <c r="D215" s="8"/>
      <c r="E215" s="8"/>
      <c r="F215" s="8"/>
      <c r="G215" s="8"/>
      <c r="H215" s="8"/>
      <c r="I215" s="8"/>
      <c r="J215" s="8"/>
      <c r="K215" s="8"/>
      <c r="L215" s="8"/>
      <c r="M215" s="8"/>
      <c r="N215" s="8"/>
      <c r="O215" s="8"/>
      <c r="P215" s="8"/>
      <c r="Q215" s="8"/>
      <c r="R215" s="79"/>
      <c r="S215" s="79"/>
      <c r="T215" s="79"/>
      <c r="U215" s="34"/>
      <c r="V215" s="34"/>
    </row>
    <row r="216" spans="1:22" ht="12.75" customHeight="1" x14ac:dyDescent="0.2">
      <c r="A216" s="38"/>
      <c r="B216" s="38"/>
      <c r="C216" s="8"/>
      <c r="D216" s="8"/>
      <c r="E216" s="8"/>
      <c r="F216" s="8"/>
      <c r="G216" s="8"/>
      <c r="H216" s="8"/>
      <c r="I216" s="8"/>
      <c r="J216" s="8"/>
      <c r="K216" s="8"/>
      <c r="L216" s="8"/>
      <c r="M216" s="8"/>
      <c r="N216" s="8"/>
      <c r="O216" s="8"/>
      <c r="P216" s="8"/>
      <c r="Q216" s="8"/>
      <c r="R216" s="79"/>
      <c r="S216" s="79"/>
      <c r="T216" s="79"/>
      <c r="U216" s="34"/>
      <c r="V216" s="34"/>
    </row>
    <row r="217" spans="1:22" ht="12.75" customHeight="1" x14ac:dyDescent="0.2">
      <c r="A217" s="38"/>
      <c r="B217" s="38"/>
      <c r="C217" s="8"/>
      <c r="D217" s="8"/>
      <c r="E217" s="8"/>
      <c r="F217" s="8"/>
      <c r="G217" s="8"/>
      <c r="H217" s="8"/>
      <c r="I217" s="8"/>
      <c r="J217" s="8"/>
      <c r="K217" s="8"/>
      <c r="L217" s="8"/>
      <c r="M217" s="8"/>
      <c r="N217" s="8"/>
      <c r="O217" s="8"/>
      <c r="P217" s="8"/>
      <c r="Q217" s="8"/>
      <c r="R217" s="79"/>
      <c r="S217" s="79"/>
      <c r="T217" s="79"/>
      <c r="U217" s="34"/>
      <c r="V217" s="34"/>
    </row>
    <row r="218" spans="1:22" ht="12.75" customHeight="1" x14ac:dyDescent="0.2">
      <c r="A218" s="38"/>
      <c r="B218" s="38"/>
      <c r="C218" s="8"/>
      <c r="D218" s="8"/>
      <c r="E218" s="8"/>
      <c r="F218" s="8"/>
      <c r="G218" s="8"/>
      <c r="H218" s="8"/>
      <c r="I218" s="8"/>
      <c r="J218" s="8"/>
      <c r="K218" s="8"/>
      <c r="L218" s="8"/>
      <c r="M218" s="8"/>
      <c r="N218" s="8"/>
      <c r="O218" s="8"/>
      <c r="P218" s="8"/>
      <c r="Q218" s="8"/>
      <c r="R218" s="79"/>
      <c r="S218" s="79"/>
      <c r="T218" s="79"/>
      <c r="U218" s="34"/>
      <c r="V218" s="34"/>
    </row>
    <row r="219" spans="1:22" ht="12.75" customHeight="1" x14ac:dyDescent="0.2">
      <c r="A219" s="38"/>
      <c r="B219" s="38"/>
      <c r="C219" s="8"/>
      <c r="D219" s="8"/>
      <c r="E219" s="8"/>
      <c r="F219" s="8"/>
      <c r="G219" s="8"/>
      <c r="H219" s="8"/>
      <c r="I219" s="8"/>
      <c r="J219" s="8"/>
      <c r="K219" s="8"/>
      <c r="L219" s="8"/>
      <c r="M219" s="8"/>
      <c r="N219" s="8"/>
      <c r="O219" s="8"/>
      <c r="P219" s="8"/>
      <c r="Q219" s="8"/>
      <c r="R219" s="79"/>
      <c r="S219" s="79"/>
      <c r="T219" s="79"/>
      <c r="U219" s="34"/>
      <c r="V219" s="34"/>
    </row>
    <row r="220" spans="1:22" ht="12.75" customHeight="1" x14ac:dyDescent="0.2">
      <c r="A220" s="38"/>
      <c r="B220" s="38"/>
      <c r="C220" s="8"/>
      <c r="D220" s="8"/>
      <c r="E220" s="8"/>
      <c r="F220" s="8"/>
      <c r="G220" s="8"/>
      <c r="H220" s="8"/>
      <c r="I220" s="8"/>
      <c r="J220" s="8"/>
      <c r="K220" s="8"/>
      <c r="L220" s="8"/>
      <c r="M220" s="8"/>
      <c r="N220" s="8"/>
      <c r="O220" s="8"/>
      <c r="P220" s="8"/>
      <c r="Q220" s="8"/>
      <c r="R220" s="79"/>
      <c r="S220" s="79"/>
      <c r="T220" s="79"/>
      <c r="U220" s="34"/>
      <c r="V220" s="34"/>
    </row>
    <row r="221" spans="1:22" ht="12.75" customHeight="1" x14ac:dyDescent="0.2">
      <c r="A221" s="38"/>
      <c r="B221" s="38"/>
      <c r="C221" s="8"/>
      <c r="D221" s="8"/>
      <c r="E221" s="8"/>
      <c r="F221" s="8"/>
      <c r="G221" s="8"/>
      <c r="H221" s="8"/>
      <c r="I221" s="8"/>
      <c r="J221" s="8"/>
      <c r="K221" s="8"/>
      <c r="L221" s="8"/>
      <c r="M221" s="8"/>
      <c r="N221" s="8"/>
      <c r="O221" s="8"/>
      <c r="P221" s="8"/>
      <c r="Q221" s="8"/>
      <c r="R221" s="79"/>
      <c r="S221" s="79"/>
      <c r="T221" s="79"/>
      <c r="U221" s="34"/>
      <c r="V221" s="34"/>
    </row>
    <row r="222" spans="1:22" ht="12.75" customHeight="1" x14ac:dyDescent="0.2">
      <c r="A222" s="38"/>
      <c r="B222" s="38"/>
      <c r="C222" s="8"/>
      <c r="D222" s="8"/>
      <c r="E222" s="8"/>
      <c r="F222" s="8"/>
      <c r="G222" s="8"/>
      <c r="H222" s="8"/>
      <c r="I222" s="8"/>
      <c r="J222" s="8"/>
      <c r="K222" s="8"/>
      <c r="L222" s="8"/>
      <c r="M222" s="8"/>
      <c r="N222" s="8"/>
      <c r="O222" s="8"/>
      <c r="P222" s="8"/>
      <c r="Q222" s="8"/>
      <c r="R222" s="79"/>
      <c r="S222" s="79"/>
      <c r="T222" s="79"/>
      <c r="U222" s="34"/>
      <c r="V222" s="34"/>
    </row>
    <row r="223" spans="1:22" ht="12.75" customHeight="1" x14ac:dyDescent="0.2">
      <c r="A223" s="38"/>
      <c r="B223" s="38"/>
      <c r="C223" s="8"/>
      <c r="D223" s="8"/>
      <c r="E223" s="8"/>
      <c r="F223" s="8"/>
      <c r="G223" s="8"/>
      <c r="H223" s="8"/>
      <c r="I223" s="8"/>
      <c r="J223" s="8"/>
      <c r="K223" s="8"/>
      <c r="L223" s="8"/>
      <c r="M223" s="8"/>
      <c r="N223" s="8"/>
      <c r="O223" s="8"/>
      <c r="P223" s="8"/>
      <c r="Q223" s="8"/>
      <c r="R223" s="79"/>
      <c r="S223" s="79"/>
      <c r="T223" s="79"/>
      <c r="U223" s="34"/>
      <c r="V223" s="34"/>
    </row>
    <row r="224" spans="1:22" ht="12.75" customHeight="1" x14ac:dyDescent="0.2">
      <c r="A224" s="38"/>
      <c r="B224" s="38"/>
      <c r="C224" s="8"/>
      <c r="D224" s="8"/>
      <c r="E224" s="8"/>
      <c r="F224" s="8"/>
      <c r="G224" s="8"/>
      <c r="H224" s="8"/>
      <c r="I224" s="8"/>
      <c r="J224" s="8"/>
      <c r="K224" s="8"/>
      <c r="L224" s="8"/>
      <c r="M224" s="8"/>
      <c r="N224" s="8"/>
      <c r="O224" s="8"/>
      <c r="P224" s="8"/>
      <c r="Q224" s="8"/>
      <c r="R224" s="79"/>
      <c r="S224" s="79"/>
      <c r="T224" s="79"/>
      <c r="U224" s="34"/>
      <c r="V224" s="34"/>
    </row>
    <row r="225" spans="1:22" ht="12.75" customHeight="1" x14ac:dyDescent="0.2">
      <c r="A225" s="38"/>
      <c r="B225" s="38"/>
      <c r="C225" s="8"/>
      <c r="D225" s="8"/>
      <c r="E225" s="8"/>
      <c r="F225" s="8"/>
      <c r="G225" s="8"/>
      <c r="H225" s="8"/>
      <c r="I225" s="8"/>
      <c r="J225" s="8"/>
      <c r="K225" s="8"/>
      <c r="L225" s="8"/>
      <c r="M225" s="8"/>
      <c r="N225" s="8"/>
      <c r="O225" s="8"/>
      <c r="P225" s="8"/>
      <c r="Q225" s="8"/>
      <c r="R225" s="79"/>
      <c r="S225" s="79"/>
      <c r="T225" s="79"/>
      <c r="U225" s="34"/>
      <c r="V225" s="34"/>
    </row>
    <row r="226" spans="1:22" ht="12.75" customHeight="1" x14ac:dyDescent="0.2">
      <c r="A226" s="38"/>
      <c r="B226" s="38"/>
      <c r="C226" s="8"/>
      <c r="D226" s="8"/>
      <c r="E226" s="8"/>
      <c r="F226" s="8"/>
      <c r="G226" s="8"/>
      <c r="H226" s="8"/>
      <c r="I226" s="8"/>
      <c r="J226" s="8"/>
      <c r="K226" s="8"/>
      <c r="L226" s="8"/>
      <c r="M226" s="8"/>
      <c r="N226" s="8"/>
      <c r="O226" s="8"/>
      <c r="P226" s="8"/>
      <c r="Q226" s="8"/>
      <c r="R226" s="79"/>
      <c r="S226" s="79"/>
      <c r="T226" s="79"/>
      <c r="U226" s="34"/>
      <c r="V226" s="34"/>
    </row>
    <row r="227" spans="1:22" ht="12.75" customHeight="1" x14ac:dyDescent="0.2">
      <c r="A227" s="38"/>
      <c r="B227" s="38"/>
      <c r="C227" s="8"/>
      <c r="D227" s="8"/>
      <c r="E227" s="8"/>
      <c r="F227" s="8"/>
      <c r="G227" s="8"/>
      <c r="H227" s="8"/>
      <c r="I227" s="8"/>
      <c r="J227" s="8"/>
      <c r="K227" s="8"/>
      <c r="L227" s="8"/>
      <c r="M227" s="8"/>
      <c r="N227" s="8"/>
      <c r="O227" s="8"/>
      <c r="P227" s="8"/>
      <c r="Q227" s="8"/>
      <c r="R227" s="79"/>
      <c r="S227" s="79"/>
      <c r="T227" s="79"/>
      <c r="U227" s="34"/>
      <c r="V227" s="34"/>
    </row>
    <row r="228" spans="1:22" ht="12.75" customHeight="1" x14ac:dyDescent="0.2">
      <c r="A228" s="38"/>
      <c r="B228" s="38"/>
      <c r="C228" s="8"/>
      <c r="D228" s="8"/>
      <c r="E228" s="8"/>
      <c r="F228" s="8"/>
      <c r="G228" s="8"/>
      <c r="H228" s="8"/>
      <c r="I228" s="8"/>
      <c r="J228" s="8"/>
      <c r="K228" s="8"/>
      <c r="L228" s="8"/>
      <c r="M228" s="8"/>
      <c r="N228" s="8"/>
      <c r="O228" s="8"/>
      <c r="P228" s="8"/>
      <c r="Q228" s="8"/>
      <c r="R228" s="79"/>
      <c r="S228" s="79"/>
      <c r="T228" s="79"/>
      <c r="U228" s="34"/>
      <c r="V228" s="34"/>
    </row>
    <row r="229" spans="1:22" ht="12.75" customHeight="1" x14ac:dyDescent="0.2">
      <c r="A229" s="38"/>
      <c r="B229" s="38"/>
      <c r="C229" s="8"/>
      <c r="D229" s="8"/>
      <c r="E229" s="8"/>
      <c r="F229" s="8"/>
      <c r="G229" s="8"/>
      <c r="H229" s="8"/>
      <c r="I229" s="8"/>
      <c r="J229" s="8"/>
      <c r="K229" s="8"/>
      <c r="L229" s="8"/>
      <c r="M229" s="8"/>
      <c r="N229" s="8"/>
      <c r="O229" s="8"/>
      <c r="P229" s="8"/>
      <c r="Q229" s="8"/>
      <c r="R229" s="79"/>
      <c r="S229" s="79"/>
      <c r="T229" s="79"/>
      <c r="U229" s="34"/>
      <c r="V229" s="34"/>
    </row>
    <row r="230" spans="1:22" ht="12.75" customHeight="1" x14ac:dyDescent="0.2">
      <c r="A230" s="38"/>
      <c r="B230" s="38"/>
      <c r="C230" s="8"/>
      <c r="D230" s="8"/>
      <c r="E230" s="8"/>
      <c r="F230" s="8"/>
      <c r="G230" s="8"/>
      <c r="H230" s="8"/>
      <c r="I230" s="8"/>
      <c r="J230" s="8"/>
      <c r="K230" s="8"/>
      <c r="L230" s="8"/>
      <c r="M230" s="8"/>
      <c r="N230" s="8"/>
      <c r="O230" s="8"/>
      <c r="P230" s="8"/>
      <c r="Q230" s="8"/>
      <c r="R230" s="79"/>
      <c r="S230" s="79"/>
      <c r="T230" s="79"/>
      <c r="U230" s="34"/>
      <c r="V230" s="34"/>
    </row>
    <row r="231" spans="1:22" ht="12.75" customHeight="1" x14ac:dyDescent="0.2">
      <c r="A231" s="38"/>
      <c r="B231" s="38"/>
      <c r="C231" s="8"/>
      <c r="D231" s="8"/>
      <c r="E231" s="8"/>
      <c r="F231" s="8"/>
      <c r="G231" s="8"/>
      <c r="H231" s="8"/>
      <c r="I231" s="8"/>
      <c r="J231" s="8"/>
      <c r="K231" s="8"/>
      <c r="L231" s="8"/>
      <c r="M231" s="8"/>
      <c r="N231" s="8"/>
      <c r="O231" s="8"/>
      <c r="P231" s="8"/>
      <c r="Q231" s="8"/>
      <c r="R231" s="79"/>
      <c r="S231" s="79"/>
      <c r="T231" s="79"/>
      <c r="U231" s="34"/>
      <c r="V231" s="34"/>
    </row>
    <row r="232" spans="1:22" ht="12.75" customHeight="1" x14ac:dyDescent="0.2">
      <c r="A232" s="38"/>
      <c r="B232" s="38"/>
      <c r="C232" s="8"/>
      <c r="D232" s="8"/>
      <c r="E232" s="8"/>
      <c r="F232" s="8"/>
      <c r="G232" s="8"/>
      <c r="H232" s="8"/>
      <c r="I232" s="8"/>
      <c r="J232" s="8"/>
      <c r="K232" s="8"/>
      <c r="L232" s="8"/>
      <c r="M232" s="8"/>
      <c r="N232" s="8"/>
      <c r="O232" s="8"/>
      <c r="P232" s="8"/>
      <c r="Q232" s="8"/>
      <c r="R232" s="79"/>
      <c r="S232" s="79"/>
      <c r="T232" s="79"/>
      <c r="U232" s="34"/>
      <c r="V232" s="34"/>
    </row>
    <row r="233" spans="1:22" ht="12.75" customHeight="1" x14ac:dyDescent="0.2">
      <c r="A233" s="38"/>
      <c r="B233" s="38"/>
      <c r="C233" s="8"/>
      <c r="D233" s="8"/>
      <c r="E233" s="8"/>
      <c r="F233" s="8"/>
      <c r="G233" s="8"/>
      <c r="H233" s="8"/>
      <c r="I233" s="8"/>
      <c r="J233" s="8"/>
      <c r="K233" s="8"/>
      <c r="L233" s="8"/>
      <c r="M233" s="8"/>
      <c r="N233" s="8"/>
      <c r="O233" s="8"/>
      <c r="P233" s="8"/>
      <c r="Q233" s="8"/>
      <c r="R233" s="79"/>
      <c r="S233" s="79"/>
      <c r="T233" s="79"/>
      <c r="U233" s="34"/>
      <c r="V233" s="34"/>
    </row>
    <row r="234" spans="1:22" ht="12.75" customHeight="1" x14ac:dyDescent="0.2">
      <c r="A234" s="38"/>
      <c r="B234" s="38"/>
      <c r="C234" s="8"/>
      <c r="D234" s="8"/>
      <c r="E234" s="8"/>
      <c r="F234" s="8"/>
      <c r="G234" s="8"/>
      <c r="H234" s="8"/>
      <c r="I234" s="8"/>
      <c r="J234" s="8"/>
      <c r="K234" s="8"/>
      <c r="L234" s="8"/>
      <c r="M234" s="8"/>
      <c r="N234" s="8"/>
      <c r="O234" s="8"/>
      <c r="P234" s="8"/>
      <c r="Q234" s="8"/>
      <c r="R234" s="79"/>
      <c r="S234" s="79"/>
      <c r="T234" s="79"/>
      <c r="U234" s="34"/>
      <c r="V234" s="34"/>
    </row>
    <row r="235" spans="1:22" ht="12.75" customHeight="1" x14ac:dyDescent="0.2">
      <c r="A235" s="38"/>
      <c r="B235" s="38"/>
      <c r="C235" s="8"/>
      <c r="D235" s="8"/>
      <c r="E235" s="8"/>
      <c r="F235" s="8"/>
      <c r="G235" s="8"/>
      <c r="H235" s="8"/>
      <c r="I235" s="8"/>
      <c r="J235" s="8"/>
      <c r="K235" s="8"/>
      <c r="L235" s="8"/>
      <c r="M235" s="8"/>
      <c r="N235" s="8"/>
      <c r="O235" s="8"/>
      <c r="P235" s="8"/>
      <c r="Q235" s="8"/>
      <c r="R235" s="79"/>
      <c r="S235" s="79"/>
      <c r="T235" s="79"/>
      <c r="U235" s="34"/>
      <c r="V235" s="34"/>
    </row>
    <row r="236" spans="1:22" ht="12.75" customHeight="1" x14ac:dyDescent="0.2">
      <c r="A236" s="38"/>
      <c r="B236" s="38"/>
      <c r="C236" s="8"/>
      <c r="D236" s="8"/>
      <c r="E236" s="8"/>
      <c r="F236" s="8"/>
      <c r="G236" s="8"/>
      <c r="H236" s="8"/>
      <c r="I236" s="8"/>
      <c r="J236" s="8"/>
      <c r="K236" s="8"/>
      <c r="L236" s="8"/>
      <c r="M236" s="8"/>
      <c r="N236" s="8"/>
      <c r="O236" s="8"/>
      <c r="P236" s="8"/>
      <c r="Q236" s="8"/>
      <c r="R236" s="79"/>
      <c r="S236" s="79"/>
      <c r="T236" s="79"/>
      <c r="U236" s="34"/>
      <c r="V236" s="34"/>
    </row>
    <row r="237" spans="1:22" ht="12.75" customHeight="1" x14ac:dyDescent="0.2">
      <c r="A237" s="38"/>
      <c r="B237" s="38"/>
      <c r="C237" s="8"/>
      <c r="D237" s="8"/>
      <c r="E237" s="8"/>
      <c r="F237" s="8"/>
      <c r="G237" s="8"/>
      <c r="H237" s="8"/>
      <c r="I237" s="8"/>
      <c r="J237" s="8"/>
      <c r="K237" s="8"/>
      <c r="L237" s="8"/>
      <c r="M237" s="8"/>
      <c r="N237" s="8"/>
      <c r="O237" s="8"/>
      <c r="P237" s="8"/>
      <c r="Q237" s="8"/>
      <c r="R237" s="79"/>
      <c r="S237" s="79"/>
      <c r="T237" s="79"/>
      <c r="U237" s="34"/>
      <c r="V237" s="34"/>
    </row>
    <row r="238" spans="1:22" ht="12.75" customHeight="1" x14ac:dyDescent="0.2">
      <c r="A238" s="38"/>
      <c r="B238" s="38"/>
      <c r="C238" s="8"/>
      <c r="D238" s="8"/>
      <c r="E238" s="8"/>
      <c r="F238" s="8"/>
      <c r="G238" s="8"/>
      <c r="H238" s="8"/>
      <c r="I238" s="8"/>
      <c r="J238" s="8"/>
      <c r="K238" s="8"/>
      <c r="L238" s="8"/>
      <c r="M238" s="8"/>
      <c r="N238" s="8"/>
      <c r="O238" s="8"/>
      <c r="P238" s="8"/>
      <c r="Q238" s="8"/>
      <c r="R238" s="79"/>
      <c r="S238" s="79"/>
      <c r="T238" s="79"/>
      <c r="U238" s="34"/>
      <c r="V238" s="34"/>
    </row>
    <row r="239" spans="1:22" ht="12.75" customHeight="1" x14ac:dyDescent="0.2">
      <c r="A239" s="38"/>
      <c r="B239" s="38"/>
      <c r="C239" s="8"/>
      <c r="D239" s="8"/>
      <c r="E239" s="8"/>
      <c r="F239" s="8"/>
      <c r="G239" s="8"/>
      <c r="H239" s="8"/>
      <c r="I239" s="8"/>
      <c r="J239" s="8"/>
      <c r="K239" s="8"/>
      <c r="L239" s="8"/>
      <c r="M239" s="8"/>
      <c r="N239" s="8"/>
      <c r="O239" s="8"/>
      <c r="P239" s="8"/>
      <c r="Q239" s="8"/>
      <c r="R239" s="79"/>
      <c r="S239" s="79"/>
      <c r="T239" s="79"/>
      <c r="U239" s="34"/>
      <c r="V239" s="34"/>
    </row>
    <row r="240" spans="1:22" ht="12.75" customHeight="1" x14ac:dyDescent="0.2">
      <c r="A240" s="38"/>
      <c r="B240" s="38"/>
      <c r="C240" s="8"/>
      <c r="D240" s="8"/>
      <c r="E240" s="8"/>
      <c r="F240" s="8"/>
      <c r="G240" s="8"/>
      <c r="H240" s="8"/>
      <c r="I240" s="8"/>
      <c r="J240" s="8"/>
      <c r="K240" s="8"/>
      <c r="L240" s="8"/>
      <c r="M240" s="8"/>
      <c r="N240" s="8"/>
      <c r="O240" s="8"/>
      <c r="P240" s="8"/>
      <c r="Q240" s="8"/>
      <c r="R240" s="79"/>
      <c r="S240" s="79"/>
      <c r="T240" s="79"/>
      <c r="U240" s="34"/>
      <c r="V240" s="34"/>
    </row>
    <row r="241" spans="1:22" ht="12.75" customHeight="1" x14ac:dyDescent="0.2">
      <c r="A241" s="38"/>
      <c r="B241" s="38"/>
      <c r="C241" s="8"/>
      <c r="D241" s="8"/>
      <c r="E241" s="8"/>
      <c r="F241" s="8"/>
      <c r="G241" s="8"/>
      <c r="H241" s="8"/>
      <c r="I241" s="8"/>
      <c r="J241" s="8"/>
      <c r="K241" s="8"/>
      <c r="L241" s="8"/>
      <c r="M241" s="8"/>
      <c r="N241" s="8"/>
      <c r="O241" s="8"/>
      <c r="P241" s="8"/>
      <c r="Q241" s="8"/>
      <c r="R241" s="79"/>
      <c r="S241" s="79"/>
      <c r="T241" s="79"/>
      <c r="U241" s="34"/>
      <c r="V241" s="34"/>
    </row>
    <row r="242" spans="1:22" ht="12.75" customHeight="1" x14ac:dyDescent="0.2">
      <c r="A242" s="38"/>
      <c r="B242" s="38"/>
      <c r="C242" s="8"/>
      <c r="D242" s="8"/>
      <c r="E242" s="8"/>
      <c r="F242" s="8"/>
      <c r="G242" s="8"/>
      <c r="H242" s="8"/>
      <c r="I242" s="8"/>
      <c r="J242" s="8"/>
      <c r="K242" s="8"/>
      <c r="L242" s="8"/>
      <c r="M242" s="8"/>
      <c r="N242" s="8"/>
      <c r="O242" s="8"/>
      <c r="P242" s="8"/>
      <c r="Q242" s="8"/>
      <c r="R242" s="79"/>
      <c r="S242" s="79"/>
      <c r="T242" s="79"/>
      <c r="U242" s="34"/>
      <c r="V242" s="34"/>
    </row>
    <row r="243" spans="1:22" ht="12.75" customHeight="1" x14ac:dyDescent="0.2">
      <c r="A243" s="38"/>
      <c r="B243" s="38"/>
      <c r="C243" s="8"/>
      <c r="D243" s="8"/>
      <c r="E243" s="8"/>
      <c r="F243" s="8"/>
      <c r="G243" s="8"/>
      <c r="H243" s="8"/>
      <c r="I243" s="8"/>
      <c r="J243" s="8"/>
      <c r="K243" s="8"/>
      <c r="L243" s="8"/>
      <c r="M243" s="8"/>
      <c r="N243" s="8"/>
      <c r="O243" s="8"/>
      <c r="P243" s="8"/>
      <c r="Q243" s="8"/>
      <c r="R243" s="79"/>
      <c r="S243" s="79"/>
      <c r="T243" s="79"/>
      <c r="U243" s="34"/>
      <c r="V243" s="34"/>
    </row>
    <row r="244" spans="1:22" ht="12.75" customHeight="1" x14ac:dyDescent="0.2">
      <c r="A244" s="38"/>
      <c r="B244" s="38"/>
      <c r="C244" s="8"/>
      <c r="D244" s="8"/>
      <c r="E244" s="8"/>
      <c r="F244" s="8"/>
      <c r="G244" s="8"/>
      <c r="H244" s="8"/>
      <c r="I244" s="8"/>
      <c r="J244" s="8"/>
      <c r="K244" s="8"/>
      <c r="L244" s="8"/>
      <c r="M244" s="8"/>
      <c r="N244" s="8"/>
      <c r="O244" s="8"/>
      <c r="P244" s="8"/>
      <c r="Q244" s="8"/>
      <c r="R244" s="79"/>
      <c r="S244" s="79"/>
      <c r="T244" s="79"/>
      <c r="U244" s="34"/>
      <c r="V244" s="34"/>
    </row>
    <row r="245" spans="1:22" ht="12.75" customHeight="1" x14ac:dyDescent="0.2">
      <c r="A245" s="38"/>
      <c r="B245" s="38"/>
      <c r="C245" s="8"/>
      <c r="D245" s="8"/>
      <c r="E245" s="8"/>
      <c r="F245" s="8"/>
      <c r="G245" s="8"/>
      <c r="H245" s="8"/>
      <c r="I245" s="8"/>
      <c r="J245" s="8"/>
      <c r="K245" s="8"/>
      <c r="L245" s="8"/>
      <c r="M245" s="8"/>
      <c r="N245" s="8"/>
      <c r="O245" s="8"/>
      <c r="P245" s="8"/>
      <c r="Q245" s="8"/>
      <c r="R245" s="79"/>
      <c r="S245" s="79"/>
      <c r="T245" s="79"/>
      <c r="U245" s="34"/>
      <c r="V245" s="34"/>
    </row>
    <row r="246" spans="1:22" ht="12.75" customHeight="1" x14ac:dyDescent="0.2">
      <c r="A246" s="38"/>
      <c r="B246" s="38"/>
      <c r="C246" s="8"/>
      <c r="D246" s="8"/>
      <c r="E246" s="8"/>
      <c r="F246" s="8"/>
      <c r="G246" s="8"/>
      <c r="H246" s="8"/>
      <c r="I246" s="8"/>
      <c r="J246" s="8"/>
      <c r="K246" s="8"/>
      <c r="L246" s="8"/>
      <c r="M246" s="8"/>
      <c r="N246" s="8"/>
      <c r="O246" s="8"/>
      <c r="P246" s="8"/>
      <c r="Q246" s="8"/>
      <c r="R246" s="79"/>
      <c r="S246" s="79"/>
      <c r="T246" s="79"/>
      <c r="U246" s="34"/>
      <c r="V246" s="34"/>
    </row>
    <row r="247" spans="1:22" ht="12.75" customHeight="1" x14ac:dyDescent="0.2">
      <c r="A247" s="38"/>
      <c r="B247" s="38"/>
      <c r="C247" s="8"/>
      <c r="D247" s="8"/>
      <c r="E247" s="8"/>
      <c r="F247" s="8"/>
      <c r="G247" s="8"/>
      <c r="H247" s="8"/>
      <c r="I247" s="8"/>
      <c r="J247" s="8"/>
      <c r="K247" s="8"/>
      <c r="L247" s="8"/>
      <c r="M247" s="8"/>
      <c r="N247" s="8"/>
      <c r="O247" s="8"/>
      <c r="P247" s="8"/>
      <c r="Q247" s="8"/>
      <c r="R247" s="79"/>
      <c r="S247" s="79"/>
      <c r="T247" s="79"/>
      <c r="U247" s="34"/>
      <c r="V247" s="34"/>
    </row>
    <row r="248" spans="1:22" ht="12.75" customHeight="1" x14ac:dyDescent="0.2">
      <c r="A248" s="38"/>
      <c r="B248" s="38"/>
      <c r="C248" s="8"/>
      <c r="D248" s="8"/>
      <c r="E248" s="8"/>
      <c r="F248" s="8"/>
      <c r="G248" s="8"/>
      <c r="H248" s="8"/>
      <c r="I248" s="8"/>
      <c r="J248" s="8"/>
      <c r="K248" s="8"/>
      <c r="L248" s="8"/>
      <c r="M248" s="8"/>
      <c r="N248" s="8"/>
      <c r="O248" s="8"/>
      <c r="P248" s="8"/>
      <c r="Q248" s="8"/>
      <c r="R248" s="79"/>
      <c r="S248" s="79"/>
      <c r="T248" s="79"/>
      <c r="U248" s="34"/>
      <c r="V248" s="34"/>
    </row>
    <row r="249" spans="1:22" ht="12.75" customHeight="1" x14ac:dyDescent="0.2">
      <c r="A249" s="38"/>
      <c r="B249" s="38"/>
      <c r="C249" s="8"/>
      <c r="D249" s="8"/>
      <c r="E249" s="8"/>
      <c r="F249" s="8"/>
      <c r="G249" s="8"/>
      <c r="H249" s="8"/>
      <c r="I249" s="8"/>
      <c r="J249" s="8"/>
      <c r="K249" s="8"/>
      <c r="L249" s="8"/>
      <c r="M249" s="8"/>
      <c r="N249" s="8"/>
      <c r="O249" s="8"/>
      <c r="P249" s="8"/>
      <c r="Q249" s="8"/>
      <c r="R249" s="79"/>
      <c r="S249" s="79"/>
      <c r="T249" s="79"/>
      <c r="U249" s="34"/>
      <c r="V249" s="34"/>
    </row>
    <row r="250" spans="1:22" ht="12.75" customHeight="1" x14ac:dyDescent="0.2">
      <c r="A250" s="38"/>
      <c r="B250" s="38"/>
      <c r="C250" s="8"/>
      <c r="D250" s="8"/>
      <c r="E250" s="8"/>
      <c r="F250" s="8"/>
      <c r="G250" s="8"/>
      <c r="H250" s="8"/>
      <c r="I250" s="8"/>
      <c r="J250" s="8"/>
      <c r="K250" s="8"/>
      <c r="L250" s="8"/>
      <c r="M250" s="8"/>
      <c r="N250" s="8"/>
      <c r="O250" s="8"/>
      <c r="P250" s="8"/>
      <c r="Q250" s="8"/>
      <c r="R250" s="79"/>
      <c r="S250" s="79"/>
      <c r="T250" s="79"/>
      <c r="U250" s="34"/>
      <c r="V250" s="34"/>
    </row>
    <row r="251" spans="1:22" ht="12.75" customHeight="1" x14ac:dyDescent="0.2">
      <c r="A251" s="38"/>
      <c r="B251" s="38"/>
      <c r="C251" s="8"/>
      <c r="D251" s="8"/>
      <c r="E251" s="8"/>
      <c r="F251" s="8"/>
      <c r="G251" s="8"/>
      <c r="H251" s="8"/>
      <c r="I251" s="8"/>
      <c r="J251" s="8"/>
      <c r="K251" s="8"/>
      <c r="L251" s="8"/>
      <c r="M251" s="8"/>
      <c r="N251" s="8"/>
      <c r="O251" s="8"/>
      <c r="P251" s="8"/>
      <c r="Q251" s="8"/>
      <c r="R251" s="79"/>
      <c r="S251" s="79"/>
      <c r="T251" s="79"/>
      <c r="U251" s="34"/>
      <c r="V251" s="34"/>
    </row>
    <row r="252" spans="1:22" ht="12.75" customHeight="1" x14ac:dyDescent="0.2">
      <c r="A252" s="38"/>
      <c r="B252" s="38"/>
      <c r="C252" s="8"/>
      <c r="D252" s="8"/>
      <c r="E252" s="8"/>
      <c r="F252" s="8"/>
      <c r="G252" s="8"/>
      <c r="H252" s="8"/>
      <c r="I252" s="8"/>
      <c r="J252" s="8"/>
      <c r="K252" s="8"/>
      <c r="L252" s="8"/>
      <c r="M252" s="8"/>
      <c r="N252" s="8"/>
      <c r="O252" s="8"/>
      <c r="P252" s="8"/>
      <c r="Q252" s="8"/>
      <c r="R252" s="79"/>
      <c r="S252" s="79"/>
      <c r="T252" s="79"/>
      <c r="U252" s="34"/>
      <c r="V252" s="34"/>
    </row>
    <row r="253" spans="1:22" ht="12.75" customHeight="1" x14ac:dyDescent="0.2">
      <c r="A253" s="38"/>
      <c r="B253" s="38"/>
      <c r="C253" s="8"/>
      <c r="D253" s="8"/>
      <c r="E253" s="8"/>
      <c r="F253" s="8"/>
      <c r="G253" s="8"/>
      <c r="H253" s="8"/>
      <c r="I253" s="8"/>
      <c r="J253" s="8"/>
      <c r="K253" s="8"/>
      <c r="L253" s="8"/>
      <c r="M253" s="8"/>
      <c r="N253" s="8"/>
      <c r="O253" s="8"/>
      <c r="P253" s="8"/>
      <c r="Q253" s="8"/>
      <c r="R253" s="79"/>
      <c r="S253" s="79"/>
      <c r="T253" s="79"/>
      <c r="U253" s="34"/>
      <c r="V253" s="34"/>
    </row>
    <row r="254" spans="1:22" ht="12.75" customHeight="1" x14ac:dyDescent="0.2">
      <c r="A254" s="38"/>
      <c r="B254" s="38"/>
      <c r="C254" s="8"/>
      <c r="D254" s="8"/>
      <c r="E254" s="8"/>
      <c r="F254" s="8"/>
      <c r="G254" s="8"/>
      <c r="H254" s="8"/>
      <c r="I254" s="8"/>
      <c r="J254" s="8"/>
      <c r="K254" s="8"/>
      <c r="L254" s="8"/>
      <c r="M254" s="8"/>
      <c r="N254" s="8"/>
      <c r="O254" s="8"/>
      <c r="P254" s="8"/>
      <c r="Q254" s="8"/>
      <c r="R254" s="79"/>
      <c r="S254" s="79"/>
      <c r="T254" s="79"/>
      <c r="U254" s="34"/>
      <c r="V254" s="34"/>
    </row>
    <row r="255" spans="1:22" ht="12.75" customHeight="1" x14ac:dyDescent="0.2">
      <c r="A255" s="38"/>
      <c r="B255" s="38"/>
      <c r="C255" s="8"/>
      <c r="D255" s="8"/>
      <c r="E255" s="8"/>
      <c r="F255" s="8"/>
      <c r="G255" s="8"/>
      <c r="H255" s="8"/>
      <c r="I255" s="8"/>
      <c r="J255" s="8"/>
      <c r="K255" s="8"/>
      <c r="L255" s="8"/>
      <c r="M255" s="8"/>
      <c r="N255" s="8"/>
      <c r="O255" s="8"/>
      <c r="P255" s="8"/>
      <c r="Q255" s="8"/>
      <c r="R255" s="79"/>
      <c r="S255" s="79"/>
      <c r="T255" s="79"/>
      <c r="U255" s="34"/>
      <c r="V255" s="34"/>
    </row>
    <row r="256" spans="1:22" ht="12.75" customHeight="1" x14ac:dyDescent="0.2">
      <c r="A256" s="38"/>
      <c r="B256" s="38"/>
      <c r="C256" s="8"/>
      <c r="D256" s="8"/>
      <c r="E256" s="8"/>
      <c r="F256" s="8"/>
      <c r="G256" s="8"/>
      <c r="H256" s="8"/>
      <c r="I256" s="8"/>
      <c r="J256" s="8"/>
      <c r="K256" s="8"/>
      <c r="L256" s="8"/>
      <c r="M256" s="8"/>
      <c r="N256" s="8"/>
      <c r="O256" s="8"/>
      <c r="P256" s="8"/>
      <c r="Q256" s="8"/>
      <c r="R256" s="79"/>
      <c r="S256" s="79"/>
      <c r="T256" s="79"/>
      <c r="U256" s="34"/>
      <c r="V256" s="34"/>
    </row>
    <row r="257" spans="1:22" ht="12.75" customHeight="1" x14ac:dyDescent="0.2">
      <c r="A257" s="38"/>
      <c r="B257" s="38"/>
      <c r="C257" s="8"/>
      <c r="D257" s="8"/>
      <c r="E257" s="8"/>
      <c r="F257" s="8"/>
      <c r="G257" s="8"/>
      <c r="H257" s="8"/>
      <c r="I257" s="8"/>
      <c r="J257" s="8"/>
      <c r="K257" s="8"/>
      <c r="L257" s="8"/>
      <c r="M257" s="8"/>
      <c r="N257" s="8"/>
      <c r="O257" s="8"/>
      <c r="P257" s="8"/>
      <c r="Q257" s="8"/>
      <c r="R257" s="79"/>
      <c r="S257" s="79"/>
      <c r="T257" s="79"/>
      <c r="U257" s="34"/>
      <c r="V257" s="34"/>
    </row>
    <row r="258" spans="1:22" ht="12.75" customHeight="1" x14ac:dyDescent="0.2">
      <c r="A258" s="38"/>
      <c r="B258" s="38"/>
      <c r="C258" s="8"/>
      <c r="D258" s="8"/>
      <c r="E258" s="8"/>
      <c r="F258" s="8"/>
      <c r="G258" s="8"/>
      <c r="H258" s="8"/>
      <c r="I258" s="8"/>
      <c r="J258" s="8"/>
      <c r="K258" s="8"/>
      <c r="L258" s="8"/>
      <c r="M258" s="8"/>
      <c r="N258" s="8"/>
      <c r="O258" s="8"/>
      <c r="P258" s="8"/>
      <c r="Q258" s="8"/>
      <c r="R258" s="79"/>
      <c r="S258" s="79"/>
      <c r="T258" s="79"/>
      <c r="U258" s="34"/>
      <c r="V258" s="34"/>
    </row>
    <row r="259" spans="1:22" ht="12.75" customHeight="1" x14ac:dyDescent="0.2">
      <c r="A259" s="38"/>
      <c r="B259" s="38"/>
      <c r="C259" s="8"/>
      <c r="D259" s="8"/>
      <c r="E259" s="8"/>
      <c r="F259" s="8"/>
      <c r="G259" s="8"/>
      <c r="H259" s="8"/>
      <c r="I259" s="8"/>
      <c r="J259" s="8"/>
      <c r="K259" s="8"/>
      <c r="L259" s="8"/>
      <c r="M259" s="8"/>
      <c r="N259" s="8"/>
      <c r="O259" s="8"/>
      <c r="P259" s="8"/>
      <c r="Q259" s="8"/>
      <c r="R259" s="79"/>
      <c r="S259" s="79"/>
      <c r="T259" s="79"/>
      <c r="U259" s="34"/>
      <c r="V259" s="34"/>
    </row>
    <row r="260" spans="1:22" ht="12.75" customHeight="1" x14ac:dyDescent="0.2">
      <c r="A260" s="38"/>
      <c r="B260" s="38"/>
      <c r="C260" s="8"/>
      <c r="D260" s="8"/>
      <c r="E260" s="8"/>
      <c r="F260" s="8"/>
      <c r="G260" s="8"/>
      <c r="H260" s="8"/>
      <c r="I260" s="8"/>
      <c r="J260" s="8"/>
      <c r="K260" s="8"/>
      <c r="L260" s="8"/>
      <c r="M260" s="8"/>
      <c r="N260" s="8"/>
      <c r="O260" s="8"/>
      <c r="P260" s="8"/>
      <c r="Q260" s="8"/>
      <c r="R260" s="79"/>
      <c r="S260" s="79"/>
      <c r="T260" s="79"/>
      <c r="U260" s="34"/>
      <c r="V260" s="34"/>
    </row>
    <row r="261" spans="1:22" ht="12.75" customHeight="1" x14ac:dyDescent="0.2">
      <c r="A261" s="38"/>
      <c r="B261" s="38"/>
      <c r="C261" s="8"/>
      <c r="D261" s="8"/>
      <c r="E261" s="8"/>
      <c r="F261" s="8"/>
      <c r="G261" s="8"/>
      <c r="H261" s="8"/>
      <c r="I261" s="8"/>
      <c r="J261" s="8"/>
      <c r="K261" s="8"/>
      <c r="L261" s="8"/>
      <c r="M261" s="8"/>
      <c r="N261" s="8"/>
      <c r="O261" s="8"/>
      <c r="P261" s="8"/>
      <c r="Q261" s="8"/>
      <c r="R261" s="79"/>
      <c r="S261" s="79"/>
      <c r="T261" s="79"/>
      <c r="U261" s="34"/>
      <c r="V261" s="34"/>
    </row>
    <row r="262" spans="1:22" ht="12.75" customHeight="1" x14ac:dyDescent="0.2">
      <c r="A262" s="38"/>
      <c r="B262" s="38"/>
      <c r="C262" s="8"/>
      <c r="D262" s="8"/>
      <c r="E262" s="8"/>
      <c r="F262" s="8"/>
      <c r="G262" s="8"/>
      <c r="H262" s="8"/>
      <c r="I262" s="8"/>
      <c r="J262" s="8"/>
      <c r="K262" s="8"/>
      <c r="L262" s="8"/>
      <c r="M262" s="8"/>
      <c r="N262" s="8"/>
      <c r="O262" s="8"/>
      <c r="P262" s="8"/>
      <c r="Q262" s="8"/>
      <c r="R262" s="79"/>
      <c r="S262" s="79"/>
      <c r="T262" s="79"/>
      <c r="U262" s="34"/>
      <c r="V262" s="34"/>
    </row>
    <row r="263" spans="1:22" ht="12.75" customHeight="1" x14ac:dyDescent="0.2">
      <c r="A263" s="38"/>
      <c r="B263" s="38"/>
      <c r="C263" s="8"/>
      <c r="D263" s="8"/>
      <c r="E263" s="8"/>
      <c r="F263" s="8"/>
      <c r="G263" s="8"/>
      <c r="H263" s="8"/>
      <c r="I263" s="8"/>
      <c r="J263" s="8"/>
      <c r="K263" s="8"/>
      <c r="L263" s="8"/>
      <c r="M263" s="8"/>
      <c r="N263" s="8"/>
      <c r="O263" s="8"/>
      <c r="P263" s="8"/>
      <c r="Q263" s="8"/>
      <c r="R263" s="79"/>
      <c r="S263" s="79"/>
      <c r="T263" s="79"/>
      <c r="U263" s="34"/>
      <c r="V263" s="34"/>
    </row>
    <row r="264" spans="1:22" ht="12.75" customHeight="1" x14ac:dyDescent="0.2">
      <c r="A264" s="38"/>
      <c r="B264" s="38"/>
      <c r="C264" s="8"/>
      <c r="D264" s="8"/>
      <c r="E264" s="8"/>
      <c r="F264" s="8"/>
      <c r="G264" s="8"/>
      <c r="H264" s="8"/>
      <c r="I264" s="8"/>
      <c r="J264" s="8"/>
      <c r="K264" s="8"/>
      <c r="L264" s="8"/>
      <c r="M264" s="8"/>
      <c r="N264" s="8"/>
      <c r="O264" s="8"/>
      <c r="P264" s="8"/>
      <c r="Q264" s="8"/>
      <c r="R264" s="79"/>
      <c r="S264" s="79"/>
      <c r="T264" s="79"/>
      <c r="U264" s="34"/>
      <c r="V264" s="34"/>
    </row>
    <row r="265" spans="1:22" ht="12.75" customHeight="1" x14ac:dyDescent="0.2">
      <c r="A265" s="38"/>
      <c r="B265" s="38"/>
      <c r="C265" s="8"/>
      <c r="D265" s="8"/>
      <c r="E265" s="8"/>
      <c r="F265" s="8"/>
      <c r="G265" s="8"/>
      <c r="H265" s="8"/>
      <c r="I265" s="8"/>
      <c r="J265" s="8"/>
      <c r="K265" s="8"/>
      <c r="L265" s="8"/>
      <c r="M265" s="8"/>
      <c r="N265" s="8"/>
      <c r="O265" s="8"/>
      <c r="P265" s="8"/>
      <c r="Q265" s="8"/>
      <c r="R265" s="79"/>
      <c r="S265" s="79"/>
      <c r="T265" s="79"/>
      <c r="U265" s="34"/>
      <c r="V265" s="34"/>
    </row>
    <row r="266" spans="1:22" ht="12.75" customHeight="1" x14ac:dyDescent="0.2">
      <c r="A266" s="38"/>
      <c r="B266" s="38"/>
      <c r="C266" s="8"/>
      <c r="D266" s="8"/>
      <c r="E266" s="8"/>
      <c r="F266" s="8"/>
      <c r="G266" s="8"/>
      <c r="H266" s="8"/>
      <c r="I266" s="8"/>
      <c r="J266" s="8"/>
      <c r="K266" s="8"/>
      <c r="L266" s="8"/>
      <c r="M266" s="8"/>
      <c r="N266" s="8"/>
      <c r="O266" s="8"/>
      <c r="P266" s="8"/>
      <c r="Q266" s="8"/>
      <c r="R266" s="79"/>
      <c r="S266" s="79"/>
      <c r="T266" s="79"/>
      <c r="U266" s="34"/>
      <c r="V266" s="34"/>
    </row>
    <row r="267" spans="1:22" ht="12.75" customHeight="1" x14ac:dyDescent="0.2">
      <c r="A267" s="38"/>
      <c r="B267" s="38"/>
      <c r="C267" s="8"/>
      <c r="D267" s="8"/>
      <c r="E267" s="8"/>
      <c r="F267" s="8"/>
      <c r="G267" s="8"/>
      <c r="H267" s="8"/>
      <c r="I267" s="8"/>
      <c r="J267" s="8"/>
      <c r="K267" s="8"/>
      <c r="L267" s="8"/>
      <c r="M267" s="8"/>
      <c r="N267" s="8"/>
      <c r="O267" s="8"/>
      <c r="P267" s="8"/>
      <c r="Q267" s="8"/>
      <c r="R267" s="79"/>
      <c r="S267" s="79"/>
      <c r="T267" s="79"/>
      <c r="U267" s="34"/>
      <c r="V267" s="34"/>
    </row>
    <row r="268" spans="1:22" ht="12.75" customHeight="1" x14ac:dyDescent="0.2">
      <c r="A268" s="38"/>
      <c r="B268" s="38"/>
      <c r="C268" s="8"/>
      <c r="D268" s="8"/>
      <c r="E268" s="8"/>
      <c r="F268" s="8"/>
      <c r="G268" s="8"/>
      <c r="H268" s="8"/>
      <c r="I268" s="8"/>
      <c r="J268" s="8"/>
      <c r="K268" s="8"/>
      <c r="L268" s="8"/>
      <c r="M268" s="8"/>
      <c r="N268" s="8"/>
      <c r="O268" s="8"/>
      <c r="P268" s="8"/>
      <c r="Q268" s="8"/>
      <c r="R268" s="79"/>
      <c r="S268" s="79"/>
      <c r="T268" s="79"/>
      <c r="U268" s="34"/>
      <c r="V268" s="34"/>
    </row>
    <row r="269" spans="1:22" ht="12.75" customHeight="1" x14ac:dyDescent="0.2">
      <c r="A269" s="38"/>
      <c r="B269" s="38"/>
      <c r="C269" s="8"/>
      <c r="D269" s="8"/>
      <c r="E269" s="8"/>
      <c r="F269" s="8"/>
      <c r="G269" s="8"/>
      <c r="H269" s="8"/>
      <c r="I269" s="8"/>
      <c r="J269" s="8"/>
      <c r="K269" s="8"/>
      <c r="L269" s="8"/>
      <c r="M269" s="8"/>
      <c r="N269" s="8"/>
      <c r="O269" s="8"/>
      <c r="P269" s="8"/>
      <c r="Q269" s="8"/>
      <c r="R269" s="79"/>
      <c r="S269" s="79"/>
      <c r="T269" s="79"/>
      <c r="U269" s="34"/>
      <c r="V269" s="34"/>
    </row>
    <row r="270" spans="1:22" ht="12.75" customHeight="1" x14ac:dyDescent="0.2">
      <c r="A270" s="38"/>
      <c r="B270" s="38"/>
      <c r="C270" s="8"/>
      <c r="D270" s="8"/>
      <c r="E270" s="8"/>
      <c r="F270" s="8"/>
      <c r="G270" s="8"/>
      <c r="H270" s="8"/>
      <c r="I270" s="8"/>
      <c r="J270" s="8"/>
      <c r="K270" s="8"/>
      <c r="L270" s="8"/>
      <c r="M270" s="8"/>
      <c r="N270" s="8"/>
      <c r="O270" s="8"/>
      <c r="P270" s="8"/>
      <c r="Q270" s="8"/>
      <c r="R270" s="79"/>
      <c r="S270" s="79"/>
      <c r="T270" s="79"/>
      <c r="U270" s="34"/>
      <c r="V270" s="34"/>
    </row>
    <row r="271" spans="1:22" ht="12.75" customHeight="1" x14ac:dyDescent="0.2">
      <c r="A271" s="38"/>
      <c r="B271" s="38"/>
      <c r="C271" s="8"/>
      <c r="D271" s="8"/>
      <c r="E271" s="8"/>
      <c r="F271" s="8"/>
      <c r="G271" s="8"/>
      <c r="H271" s="8"/>
      <c r="I271" s="8"/>
      <c r="J271" s="8"/>
      <c r="K271" s="8"/>
      <c r="L271" s="8"/>
      <c r="M271" s="8"/>
      <c r="N271" s="8"/>
      <c r="O271" s="8"/>
      <c r="P271" s="8"/>
      <c r="Q271" s="8"/>
      <c r="R271" s="79"/>
      <c r="S271" s="79"/>
      <c r="T271" s="79"/>
      <c r="U271" s="34"/>
      <c r="V271" s="34"/>
    </row>
    <row r="272" spans="1:22" ht="12.75" customHeight="1" x14ac:dyDescent="0.2">
      <c r="A272" s="38"/>
      <c r="B272" s="38"/>
      <c r="C272" s="8"/>
      <c r="D272" s="8"/>
      <c r="E272" s="8"/>
      <c r="F272" s="8"/>
      <c r="G272" s="8"/>
      <c r="H272" s="8"/>
      <c r="I272" s="8"/>
      <c r="J272" s="8"/>
      <c r="K272" s="8"/>
      <c r="L272" s="8"/>
      <c r="M272" s="8"/>
      <c r="N272" s="8"/>
      <c r="O272" s="8"/>
      <c r="P272" s="8"/>
      <c r="Q272" s="8"/>
      <c r="R272" s="79"/>
      <c r="S272" s="79"/>
      <c r="T272" s="79"/>
      <c r="U272" s="34"/>
      <c r="V272" s="34"/>
    </row>
    <row r="273" spans="1:22" ht="12.75" customHeight="1" x14ac:dyDescent="0.2">
      <c r="A273" s="38"/>
      <c r="B273" s="38"/>
      <c r="C273" s="8"/>
      <c r="D273" s="8"/>
      <c r="E273" s="8"/>
      <c r="F273" s="8"/>
      <c r="G273" s="8"/>
      <c r="H273" s="8"/>
      <c r="I273" s="8"/>
      <c r="J273" s="8"/>
      <c r="K273" s="8"/>
      <c r="L273" s="8"/>
      <c r="M273" s="8"/>
      <c r="N273" s="8"/>
      <c r="O273" s="8"/>
      <c r="P273" s="8"/>
      <c r="Q273" s="8"/>
      <c r="R273" s="79"/>
      <c r="S273" s="79"/>
      <c r="T273" s="79"/>
      <c r="U273" s="34"/>
      <c r="V273" s="34"/>
    </row>
    <row r="274" spans="1:22" ht="12.75" customHeight="1" x14ac:dyDescent="0.2">
      <c r="A274" s="38"/>
      <c r="B274" s="38"/>
      <c r="C274" s="8"/>
      <c r="D274" s="8"/>
      <c r="E274" s="8"/>
      <c r="F274" s="8"/>
      <c r="G274" s="8"/>
      <c r="H274" s="8"/>
      <c r="I274" s="8"/>
      <c r="J274" s="8"/>
      <c r="K274" s="8"/>
      <c r="L274" s="8"/>
      <c r="M274" s="8"/>
      <c r="N274" s="8"/>
      <c r="O274" s="8"/>
      <c r="P274" s="8"/>
      <c r="Q274" s="8"/>
      <c r="R274" s="79"/>
      <c r="S274" s="79"/>
      <c r="T274" s="79"/>
      <c r="U274" s="34"/>
      <c r="V274" s="34"/>
    </row>
    <row r="275" spans="1:22" ht="12.75" customHeight="1" x14ac:dyDescent="0.2">
      <c r="A275" s="38"/>
      <c r="B275" s="38"/>
      <c r="C275" s="8"/>
      <c r="D275" s="8"/>
      <c r="E275" s="8"/>
      <c r="F275" s="8"/>
      <c r="G275" s="8"/>
      <c r="H275" s="8"/>
      <c r="I275" s="8"/>
      <c r="J275" s="8"/>
      <c r="K275" s="8"/>
      <c r="L275" s="8"/>
      <c r="M275" s="8"/>
      <c r="N275" s="8"/>
      <c r="O275" s="8"/>
      <c r="P275" s="8"/>
      <c r="Q275" s="8"/>
      <c r="R275" s="79"/>
      <c r="S275" s="79"/>
      <c r="T275" s="79"/>
      <c r="U275" s="34"/>
      <c r="V275" s="34"/>
    </row>
    <row r="276" spans="1:22" ht="12.75" customHeight="1" x14ac:dyDescent="0.2">
      <c r="A276" s="38"/>
      <c r="B276" s="38"/>
      <c r="C276" s="8"/>
      <c r="D276" s="8"/>
      <c r="E276" s="8"/>
      <c r="F276" s="8"/>
      <c r="G276" s="8"/>
      <c r="H276" s="8"/>
      <c r="I276" s="8"/>
      <c r="J276" s="8"/>
      <c r="K276" s="8"/>
      <c r="L276" s="8"/>
      <c r="M276" s="8"/>
      <c r="N276" s="8"/>
      <c r="O276" s="8"/>
      <c r="P276" s="8"/>
      <c r="Q276" s="8"/>
      <c r="R276" s="79"/>
      <c r="S276" s="79"/>
      <c r="T276" s="79"/>
      <c r="U276" s="34"/>
      <c r="V276" s="34"/>
    </row>
    <row r="277" spans="1:22" ht="12.75" customHeight="1" x14ac:dyDescent="0.2">
      <c r="A277" s="38"/>
      <c r="B277" s="38"/>
      <c r="C277" s="8"/>
      <c r="D277" s="8"/>
      <c r="E277" s="8"/>
      <c r="F277" s="8"/>
      <c r="G277" s="8"/>
      <c r="H277" s="8"/>
      <c r="I277" s="8"/>
      <c r="J277" s="8"/>
      <c r="K277" s="8"/>
      <c r="L277" s="8"/>
      <c r="M277" s="8"/>
      <c r="N277" s="8"/>
      <c r="O277" s="8"/>
      <c r="P277" s="8"/>
      <c r="Q277" s="8"/>
      <c r="R277" s="79"/>
      <c r="S277" s="79"/>
      <c r="T277" s="79"/>
      <c r="U277" s="34"/>
      <c r="V277" s="34"/>
    </row>
    <row r="278" spans="1:22" ht="12.75" customHeight="1" x14ac:dyDescent="0.2">
      <c r="A278" s="38"/>
      <c r="B278" s="38"/>
      <c r="C278" s="8"/>
      <c r="D278" s="8"/>
      <c r="E278" s="8"/>
      <c r="F278" s="8"/>
      <c r="G278" s="8"/>
      <c r="H278" s="8"/>
      <c r="I278" s="8"/>
      <c r="J278" s="8"/>
      <c r="K278" s="8"/>
      <c r="L278" s="8"/>
      <c r="M278" s="8"/>
      <c r="N278" s="8"/>
      <c r="O278" s="8"/>
      <c r="P278" s="8"/>
      <c r="Q278" s="8"/>
      <c r="R278" s="79"/>
      <c r="S278" s="79"/>
      <c r="T278" s="79"/>
      <c r="U278" s="34"/>
      <c r="V278" s="34"/>
    </row>
    <row r="279" spans="1:22" ht="12.75" customHeight="1" x14ac:dyDescent="0.2">
      <c r="A279" s="38"/>
      <c r="B279" s="38"/>
      <c r="C279" s="8"/>
      <c r="D279" s="8"/>
      <c r="E279" s="8"/>
      <c r="F279" s="8"/>
      <c r="G279" s="8"/>
      <c r="H279" s="8"/>
      <c r="I279" s="8"/>
      <c r="J279" s="8"/>
      <c r="K279" s="8"/>
      <c r="L279" s="8"/>
      <c r="M279" s="8"/>
      <c r="N279" s="8"/>
      <c r="O279" s="8"/>
      <c r="P279" s="8"/>
      <c r="Q279" s="8"/>
      <c r="R279" s="79"/>
      <c r="S279" s="79"/>
      <c r="T279" s="79"/>
      <c r="U279" s="34"/>
      <c r="V279" s="34"/>
    </row>
    <row r="280" spans="1:22" ht="12.75" customHeight="1" x14ac:dyDescent="0.2">
      <c r="A280" s="38"/>
      <c r="B280" s="38"/>
      <c r="C280" s="8"/>
      <c r="D280" s="8"/>
      <c r="E280" s="8"/>
      <c r="F280" s="8"/>
      <c r="G280" s="8"/>
      <c r="H280" s="8"/>
      <c r="I280" s="8"/>
      <c r="J280" s="8"/>
      <c r="K280" s="8"/>
      <c r="L280" s="8"/>
      <c r="M280" s="8"/>
      <c r="N280" s="8"/>
      <c r="O280" s="8"/>
      <c r="P280" s="8"/>
      <c r="Q280" s="8"/>
      <c r="R280" s="79"/>
      <c r="S280" s="79"/>
      <c r="T280" s="79"/>
      <c r="U280" s="34"/>
      <c r="V280" s="34"/>
    </row>
    <row r="281" spans="1:22" ht="12.75" customHeight="1" x14ac:dyDescent="0.2">
      <c r="A281" s="38"/>
      <c r="B281" s="38"/>
      <c r="C281" s="8"/>
      <c r="D281" s="8"/>
      <c r="E281" s="8"/>
      <c r="F281" s="8"/>
      <c r="G281" s="8"/>
      <c r="H281" s="8"/>
      <c r="I281" s="8"/>
      <c r="J281" s="8"/>
      <c r="K281" s="8"/>
      <c r="L281" s="8"/>
      <c r="M281" s="8"/>
      <c r="N281" s="8"/>
      <c r="O281" s="8"/>
      <c r="P281" s="8"/>
      <c r="Q281" s="8"/>
      <c r="R281" s="79"/>
      <c r="S281" s="79"/>
      <c r="T281" s="79"/>
      <c r="U281" s="34"/>
      <c r="V281" s="34"/>
    </row>
    <row r="282" spans="1:22" ht="12.75" customHeight="1" x14ac:dyDescent="0.2">
      <c r="A282" s="38"/>
      <c r="B282" s="38"/>
      <c r="C282" s="8"/>
      <c r="D282" s="8"/>
      <c r="E282" s="8"/>
      <c r="F282" s="8"/>
      <c r="G282" s="8"/>
      <c r="H282" s="8"/>
      <c r="I282" s="8"/>
      <c r="J282" s="8"/>
      <c r="K282" s="8"/>
      <c r="L282" s="8"/>
      <c r="M282" s="8"/>
      <c r="N282" s="8"/>
      <c r="O282" s="8"/>
      <c r="P282" s="8"/>
      <c r="Q282" s="8"/>
      <c r="R282" s="79"/>
      <c r="S282" s="79"/>
      <c r="T282" s="79"/>
      <c r="U282" s="34"/>
      <c r="V282" s="34"/>
    </row>
    <row r="283" spans="1:22" ht="12.75" customHeight="1" x14ac:dyDescent="0.2">
      <c r="A283" s="38"/>
      <c r="B283" s="38"/>
      <c r="C283" s="8"/>
      <c r="D283" s="8"/>
      <c r="E283" s="8"/>
      <c r="F283" s="8"/>
      <c r="G283" s="8"/>
      <c r="H283" s="8"/>
      <c r="I283" s="8"/>
      <c r="J283" s="8"/>
      <c r="K283" s="8"/>
      <c r="L283" s="8"/>
      <c r="M283" s="8"/>
      <c r="N283" s="8"/>
      <c r="O283" s="8"/>
      <c r="P283" s="8"/>
      <c r="Q283" s="8"/>
      <c r="R283" s="79"/>
      <c r="S283" s="79"/>
      <c r="T283" s="79"/>
      <c r="U283" s="34"/>
      <c r="V283" s="34"/>
    </row>
    <row r="284" spans="1:22" ht="12.75" customHeight="1" x14ac:dyDescent="0.2">
      <c r="A284" s="38"/>
      <c r="B284" s="38"/>
      <c r="C284" s="8"/>
      <c r="D284" s="8"/>
      <c r="E284" s="8"/>
      <c r="F284" s="8"/>
      <c r="G284" s="8"/>
      <c r="H284" s="8"/>
      <c r="I284" s="8"/>
      <c r="J284" s="8"/>
      <c r="K284" s="8"/>
      <c r="L284" s="8"/>
      <c r="M284" s="8"/>
      <c r="N284" s="8"/>
      <c r="O284" s="8"/>
      <c r="P284" s="8"/>
      <c r="Q284" s="8"/>
      <c r="R284" s="79"/>
      <c r="S284" s="79"/>
      <c r="T284" s="79"/>
      <c r="U284" s="34"/>
      <c r="V284" s="34"/>
    </row>
    <row r="285" spans="1:22" ht="12.75" customHeight="1" x14ac:dyDescent="0.2">
      <c r="A285" s="38"/>
      <c r="B285" s="38"/>
      <c r="C285" s="8"/>
      <c r="D285" s="8"/>
      <c r="E285" s="8"/>
      <c r="F285" s="8"/>
      <c r="G285" s="8"/>
      <c r="H285" s="8"/>
      <c r="I285" s="8"/>
      <c r="J285" s="8"/>
      <c r="K285" s="8"/>
      <c r="L285" s="8"/>
      <c r="M285" s="8"/>
      <c r="N285" s="8"/>
      <c r="O285" s="8"/>
      <c r="P285" s="8"/>
      <c r="Q285" s="8"/>
      <c r="R285" s="79"/>
      <c r="S285" s="79"/>
      <c r="T285" s="79"/>
      <c r="U285" s="34"/>
      <c r="V285" s="34"/>
    </row>
    <row r="286" spans="1:22" ht="12.75" customHeight="1" x14ac:dyDescent="0.2">
      <c r="A286" s="38"/>
      <c r="B286" s="38"/>
      <c r="C286" s="8"/>
      <c r="D286" s="8"/>
      <c r="E286" s="8"/>
      <c r="F286" s="8"/>
      <c r="G286" s="8"/>
      <c r="H286" s="8"/>
      <c r="I286" s="8"/>
      <c r="J286" s="8"/>
      <c r="K286" s="8"/>
      <c r="L286" s="8"/>
      <c r="M286" s="8"/>
      <c r="N286" s="8"/>
      <c r="O286" s="8"/>
      <c r="P286" s="8"/>
      <c r="Q286" s="8"/>
      <c r="R286" s="79"/>
      <c r="S286" s="79"/>
      <c r="T286" s="79"/>
      <c r="U286" s="34"/>
      <c r="V286" s="34"/>
    </row>
    <row r="287" spans="1:22" ht="12.75" customHeight="1" x14ac:dyDescent="0.2">
      <c r="A287" s="38"/>
      <c r="B287" s="38"/>
      <c r="C287" s="8"/>
      <c r="D287" s="8"/>
      <c r="E287" s="8"/>
      <c r="F287" s="8"/>
      <c r="G287" s="8"/>
      <c r="H287" s="8"/>
      <c r="I287" s="8"/>
      <c r="J287" s="8"/>
      <c r="K287" s="8"/>
      <c r="L287" s="8"/>
      <c r="M287" s="8"/>
      <c r="N287" s="8"/>
      <c r="O287" s="8"/>
      <c r="P287" s="8"/>
      <c r="Q287" s="8"/>
      <c r="R287" s="79"/>
      <c r="S287" s="79"/>
      <c r="T287" s="79"/>
      <c r="U287" s="34"/>
      <c r="V287" s="34"/>
    </row>
    <row r="288" spans="1:22" ht="12.75" customHeight="1" x14ac:dyDescent="0.2">
      <c r="A288" s="38"/>
      <c r="B288" s="38"/>
      <c r="C288" s="8"/>
      <c r="D288" s="8"/>
      <c r="E288" s="8"/>
      <c r="F288" s="8"/>
      <c r="G288" s="8"/>
      <c r="H288" s="8"/>
      <c r="I288" s="8"/>
      <c r="J288" s="8"/>
      <c r="K288" s="8"/>
      <c r="L288" s="8"/>
      <c r="M288" s="8"/>
      <c r="N288" s="8"/>
      <c r="O288" s="8"/>
      <c r="P288" s="8"/>
      <c r="Q288" s="8"/>
      <c r="R288" s="79"/>
      <c r="S288" s="79"/>
      <c r="T288" s="79"/>
      <c r="U288" s="34"/>
      <c r="V288" s="34"/>
    </row>
    <row r="289" spans="1:22" ht="12.75" customHeight="1" x14ac:dyDescent="0.2">
      <c r="A289" s="38"/>
      <c r="B289" s="38"/>
      <c r="C289" s="8"/>
      <c r="D289" s="8"/>
      <c r="E289" s="8"/>
      <c r="F289" s="8"/>
      <c r="G289" s="8"/>
      <c r="H289" s="8"/>
      <c r="I289" s="8"/>
      <c r="J289" s="8"/>
      <c r="K289" s="8"/>
      <c r="L289" s="8"/>
      <c r="M289" s="8"/>
      <c r="N289" s="8"/>
      <c r="O289" s="8"/>
      <c r="P289" s="8"/>
      <c r="Q289" s="8"/>
      <c r="R289" s="79"/>
      <c r="S289" s="79"/>
      <c r="T289" s="79"/>
      <c r="U289" s="34"/>
      <c r="V289" s="34"/>
    </row>
    <row r="290" spans="1:22" ht="12.75" customHeight="1" x14ac:dyDescent="0.2">
      <c r="A290" s="38"/>
      <c r="B290" s="38"/>
      <c r="C290" s="8"/>
      <c r="D290" s="8"/>
      <c r="E290" s="8"/>
      <c r="F290" s="8"/>
      <c r="G290" s="8"/>
      <c r="H290" s="8"/>
      <c r="I290" s="8"/>
      <c r="J290" s="8"/>
      <c r="K290" s="8"/>
      <c r="L290" s="8"/>
      <c r="M290" s="8"/>
      <c r="N290" s="8"/>
      <c r="O290" s="8"/>
      <c r="P290" s="8"/>
      <c r="Q290" s="8"/>
      <c r="R290" s="79"/>
      <c r="S290" s="79"/>
      <c r="T290" s="79"/>
      <c r="U290" s="34"/>
      <c r="V290" s="34"/>
    </row>
    <row r="291" spans="1:22" ht="12.75" customHeight="1" x14ac:dyDescent="0.2">
      <c r="A291" s="38"/>
      <c r="B291" s="38"/>
      <c r="C291" s="8"/>
      <c r="D291" s="8"/>
      <c r="E291" s="8"/>
      <c r="F291" s="8"/>
      <c r="G291" s="8"/>
      <c r="H291" s="8"/>
      <c r="I291" s="8"/>
      <c r="J291" s="8"/>
      <c r="K291" s="8"/>
      <c r="L291" s="8"/>
      <c r="M291" s="8"/>
      <c r="N291" s="8"/>
      <c r="O291" s="8"/>
      <c r="P291" s="8"/>
      <c r="Q291" s="8"/>
      <c r="R291" s="79"/>
      <c r="S291" s="79"/>
      <c r="T291" s="79"/>
      <c r="U291" s="34"/>
      <c r="V291" s="34"/>
    </row>
    <row r="292" spans="1:22" ht="12.75" customHeight="1" x14ac:dyDescent="0.2">
      <c r="A292" s="38"/>
      <c r="B292" s="38"/>
      <c r="C292" s="8"/>
      <c r="D292" s="8"/>
      <c r="E292" s="8"/>
      <c r="F292" s="8"/>
      <c r="G292" s="8"/>
      <c r="H292" s="8"/>
      <c r="I292" s="8"/>
      <c r="J292" s="8"/>
      <c r="K292" s="8"/>
      <c r="L292" s="8"/>
      <c r="M292" s="8"/>
      <c r="N292" s="8"/>
      <c r="O292" s="8"/>
      <c r="P292" s="8"/>
      <c r="Q292" s="8"/>
      <c r="R292" s="79"/>
      <c r="S292" s="79"/>
      <c r="T292" s="79"/>
      <c r="U292" s="34"/>
      <c r="V292" s="34"/>
    </row>
    <row r="293" spans="1:22" ht="12.75" customHeight="1" x14ac:dyDescent="0.2">
      <c r="A293" s="38"/>
      <c r="B293" s="38"/>
      <c r="C293" s="8"/>
      <c r="D293" s="8"/>
      <c r="E293" s="8"/>
      <c r="F293" s="8"/>
      <c r="G293" s="8"/>
      <c r="H293" s="8"/>
      <c r="I293" s="8"/>
      <c r="J293" s="8"/>
      <c r="K293" s="8"/>
      <c r="L293" s="8"/>
      <c r="M293" s="8"/>
      <c r="N293" s="8"/>
      <c r="O293" s="8"/>
      <c r="P293" s="8"/>
      <c r="Q293" s="8"/>
      <c r="R293" s="79"/>
      <c r="S293" s="79"/>
      <c r="T293" s="79"/>
      <c r="U293" s="34"/>
      <c r="V293" s="34"/>
    </row>
    <row r="294" spans="1:22" ht="12.75" customHeight="1" x14ac:dyDescent="0.2">
      <c r="A294" s="38"/>
      <c r="B294" s="38"/>
      <c r="C294" s="8"/>
      <c r="D294" s="8"/>
      <c r="E294" s="8"/>
      <c r="F294" s="8"/>
      <c r="G294" s="8"/>
      <c r="H294" s="8"/>
      <c r="I294" s="8"/>
      <c r="J294" s="8"/>
      <c r="K294" s="8"/>
      <c r="L294" s="8"/>
      <c r="M294" s="8"/>
      <c r="N294" s="8"/>
      <c r="O294" s="8"/>
      <c r="P294" s="8"/>
      <c r="Q294" s="8"/>
      <c r="R294" s="79"/>
      <c r="S294" s="79"/>
      <c r="T294" s="79"/>
      <c r="U294" s="34"/>
      <c r="V294" s="34"/>
    </row>
    <row r="295" spans="1:22" ht="12.75" customHeight="1" x14ac:dyDescent="0.2">
      <c r="A295" s="38"/>
      <c r="B295" s="38"/>
      <c r="C295" s="8"/>
      <c r="D295" s="8"/>
      <c r="E295" s="8"/>
      <c r="F295" s="8"/>
      <c r="G295" s="8"/>
      <c r="H295" s="8"/>
      <c r="I295" s="8"/>
      <c r="J295" s="8"/>
      <c r="K295" s="8"/>
      <c r="L295" s="8"/>
      <c r="M295" s="8"/>
      <c r="N295" s="8"/>
      <c r="O295" s="8"/>
      <c r="P295" s="8"/>
      <c r="Q295" s="8"/>
      <c r="R295" s="79"/>
      <c r="S295" s="79"/>
      <c r="T295" s="79"/>
      <c r="U295" s="34"/>
      <c r="V295" s="34"/>
    </row>
    <row r="296" spans="1:22" ht="12.75" customHeight="1" x14ac:dyDescent="0.2">
      <c r="A296" s="38"/>
      <c r="B296" s="38"/>
      <c r="C296" s="8"/>
      <c r="D296" s="8"/>
      <c r="E296" s="8"/>
      <c r="F296" s="8"/>
      <c r="G296" s="8"/>
      <c r="H296" s="8"/>
      <c r="I296" s="8"/>
      <c r="J296" s="8"/>
      <c r="K296" s="8"/>
      <c r="L296" s="8"/>
      <c r="M296" s="8"/>
      <c r="N296" s="8"/>
      <c r="O296" s="8"/>
      <c r="P296" s="8"/>
      <c r="Q296" s="8"/>
      <c r="R296" s="79"/>
      <c r="S296" s="79"/>
      <c r="T296" s="79"/>
      <c r="U296" s="34"/>
      <c r="V296" s="34"/>
    </row>
    <row r="297" spans="1:22" ht="12.75" customHeight="1" x14ac:dyDescent="0.2">
      <c r="A297" s="38"/>
      <c r="B297" s="38"/>
      <c r="C297" s="8"/>
      <c r="D297" s="8"/>
      <c r="E297" s="8"/>
      <c r="F297" s="8"/>
      <c r="G297" s="8"/>
      <c r="H297" s="8"/>
      <c r="I297" s="8"/>
      <c r="J297" s="8"/>
      <c r="K297" s="8"/>
      <c r="L297" s="8"/>
      <c r="M297" s="8"/>
      <c r="N297" s="8"/>
      <c r="O297" s="8"/>
      <c r="P297" s="8"/>
      <c r="Q297" s="8"/>
      <c r="R297" s="79"/>
      <c r="S297" s="79"/>
      <c r="T297" s="79"/>
      <c r="U297" s="34"/>
      <c r="V297" s="34"/>
    </row>
    <row r="298" spans="1:22" ht="12.75" customHeight="1" x14ac:dyDescent="0.2">
      <c r="A298" s="38"/>
      <c r="B298" s="38"/>
      <c r="C298" s="8"/>
      <c r="D298" s="8"/>
      <c r="E298" s="8"/>
      <c r="F298" s="8"/>
      <c r="G298" s="8"/>
      <c r="H298" s="8"/>
      <c r="I298" s="8"/>
      <c r="J298" s="8"/>
      <c r="K298" s="8"/>
      <c r="L298" s="8"/>
      <c r="M298" s="8"/>
      <c r="N298" s="8"/>
      <c r="O298" s="8"/>
      <c r="P298" s="8"/>
      <c r="Q298" s="8"/>
      <c r="R298" s="79"/>
      <c r="S298" s="79"/>
      <c r="T298" s="79"/>
      <c r="U298" s="34"/>
      <c r="V298" s="34"/>
    </row>
    <row r="299" spans="1:22" ht="12.75" customHeight="1" x14ac:dyDescent="0.2">
      <c r="A299" s="38"/>
      <c r="B299" s="38"/>
      <c r="C299" s="8"/>
      <c r="D299" s="8"/>
      <c r="E299" s="8"/>
      <c r="F299" s="8"/>
      <c r="G299" s="8"/>
      <c r="H299" s="8"/>
      <c r="I299" s="8"/>
      <c r="J299" s="8"/>
      <c r="K299" s="8"/>
      <c r="L299" s="8"/>
      <c r="M299" s="8"/>
      <c r="N299" s="8"/>
      <c r="O299" s="8"/>
      <c r="P299" s="8"/>
      <c r="Q299" s="8"/>
      <c r="R299" s="79"/>
      <c r="S299" s="79"/>
      <c r="T299" s="79"/>
      <c r="U299" s="34"/>
      <c r="V299" s="34"/>
    </row>
    <row r="300" spans="1:22" ht="12.75" customHeight="1" x14ac:dyDescent="0.2">
      <c r="A300" s="38"/>
      <c r="B300" s="38"/>
      <c r="C300" s="8"/>
      <c r="D300" s="8"/>
      <c r="E300" s="8"/>
      <c r="F300" s="8"/>
      <c r="G300" s="8"/>
      <c r="H300" s="8"/>
      <c r="I300" s="8"/>
      <c r="J300" s="8"/>
      <c r="K300" s="8"/>
      <c r="L300" s="8"/>
      <c r="M300" s="8"/>
      <c r="N300" s="8"/>
      <c r="O300" s="8"/>
      <c r="P300" s="8"/>
      <c r="Q300" s="8"/>
      <c r="R300" s="79"/>
      <c r="S300" s="79"/>
      <c r="T300" s="79"/>
      <c r="U300" s="34"/>
      <c r="V300" s="34"/>
    </row>
    <row r="301" spans="1:22" ht="12.75" customHeight="1" x14ac:dyDescent="0.2">
      <c r="A301" s="38"/>
      <c r="B301" s="38"/>
      <c r="C301" s="8"/>
      <c r="D301" s="8"/>
      <c r="E301" s="8"/>
      <c r="F301" s="8"/>
      <c r="G301" s="8"/>
      <c r="H301" s="8"/>
      <c r="I301" s="8"/>
      <c r="J301" s="8"/>
      <c r="K301" s="8"/>
      <c r="L301" s="8"/>
      <c r="M301" s="8"/>
      <c r="N301" s="8"/>
      <c r="O301" s="8"/>
      <c r="P301" s="8"/>
      <c r="Q301" s="8"/>
      <c r="R301" s="79"/>
      <c r="S301" s="79"/>
      <c r="T301" s="79"/>
      <c r="U301" s="34"/>
      <c r="V301" s="34"/>
    </row>
    <row r="302" spans="1:22" ht="12.75" customHeight="1" x14ac:dyDescent="0.2">
      <c r="A302" s="38"/>
      <c r="B302" s="38"/>
      <c r="C302" s="8"/>
      <c r="D302" s="8"/>
      <c r="E302" s="8"/>
      <c r="F302" s="8"/>
      <c r="G302" s="8"/>
      <c r="H302" s="8"/>
      <c r="I302" s="8"/>
      <c r="J302" s="8"/>
      <c r="K302" s="8"/>
      <c r="L302" s="8"/>
      <c r="M302" s="8"/>
      <c r="N302" s="8"/>
      <c r="O302" s="8"/>
      <c r="P302" s="8"/>
      <c r="Q302" s="8"/>
      <c r="R302" s="79"/>
      <c r="S302" s="79"/>
      <c r="T302" s="79"/>
      <c r="U302" s="34"/>
      <c r="V302" s="34"/>
    </row>
    <row r="303" spans="1:22" ht="12.75" customHeight="1" x14ac:dyDescent="0.2">
      <c r="A303" s="38"/>
      <c r="B303" s="38"/>
      <c r="C303" s="8"/>
      <c r="D303" s="8"/>
      <c r="E303" s="8"/>
      <c r="F303" s="8"/>
      <c r="G303" s="8"/>
      <c r="H303" s="8"/>
      <c r="I303" s="8"/>
      <c r="J303" s="8"/>
      <c r="K303" s="8"/>
      <c r="L303" s="8"/>
      <c r="M303" s="8"/>
      <c r="N303" s="8"/>
      <c r="O303" s="8"/>
      <c r="P303" s="8"/>
      <c r="Q303" s="8"/>
      <c r="R303" s="79"/>
      <c r="S303" s="79"/>
      <c r="T303" s="79"/>
      <c r="U303" s="34"/>
      <c r="V303" s="34"/>
    </row>
    <row r="304" spans="1:22" ht="12.75" customHeight="1" x14ac:dyDescent="0.2">
      <c r="A304" s="38"/>
      <c r="B304" s="38"/>
      <c r="C304" s="8"/>
      <c r="D304" s="8"/>
      <c r="E304" s="8"/>
      <c r="F304" s="8"/>
      <c r="G304" s="8"/>
      <c r="H304" s="8"/>
      <c r="I304" s="8"/>
      <c r="J304" s="8"/>
      <c r="K304" s="8"/>
      <c r="L304" s="8"/>
      <c r="M304" s="8"/>
      <c r="N304" s="8"/>
      <c r="O304" s="8"/>
      <c r="P304" s="8"/>
      <c r="Q304" s="8"/>
      <c r="R304" s="79"/>
      <c r="S304" s="79"/>
      <c r="T304" s="79"/>
      <c r="U304" s="34"/>
      <c r="V304" s="34"/>
    </row>
    <row r="305" spans="1:22" ht="12.75" customHeight="1" x14ac:dyDescent="0.2">
      <c r="A305" s="38"/>
      <c r="B305" s="38"/>
      <c r="C305" s="8"/>
      <c r="D305" s="8"/>
      <c r="E305" s="8"/>
      <c r="F305" s="8"/>
      <c r="G305" s="8"/>
      <c r="H305" s="8"/>
      <c r="I305" s="8"/>
      <c r="J305" s="8"/>
      <c r="K305" s="8"/>
      <c r="L305" s="8"/>
      <c r="M305" s="8"/>
      <c r="N305" s="8"/>
      <c r="O305" s="8"/>
      <c r="P305" s="8"/>
      <c r="Q305" s="8"/>
      <c r="R305" s="79"/>
      <c r="S305" s="79"/>
      <c r="T305" s="79"/>
      <c r="U305" s="34"/>
      <c r="V305" s="34"/>
    </row>
    <row r="306" spans="1:22" ht="12.75" customHeight="1" x14ac:dyDescent="0.2">
      <c r="A306" s="38"/>
      <c r="B306" s="38"/>
      <c r="C306" s="8"/>
      <c r="D306" s="8"/>
      <c r="E306" s="8"/>
      <c r="F306" s="8"/>
      <c r="G306" s="8"/>
      <c r="H306" s="8"/>
      <c r="I306" s="8"/>
      <c r="J306" s="8"/>
      <c r="K306" s="8"/>
      <c r="L306" s="8"/>
      <c r="M306" s="8"/>
      <c r="N306" s="8"/>
      <c r="O306" s="8"/>
      <c r="P306" s="8"/>
      <c r="Q306" s="8"/>
      <c r="R306" s="79"/>
      <c r="S306" s="79"/>
      <c r="T306" s="79"/>
      <c r="U306" s="34"/>
      <c r="V306" s="34"/>
    </row>
    <row r="307" spans="1:22" ht="12.75" customHeight="1" x14ac:dyDescent="0.2">
      <c r="A307" s="38"/>
      <c r="B307" s="38"/>
      <c r="C307" s="8"/>
      <c r="D307" s="8"/>
      <c r="E307" s="8"/>
      <c r="F307" s="8"/>
      <c r="G307" s="8"/>
      <c r="H307" s="8"/>
      <c r="I307" s="8"/>
      <c r="J307" s="8"/>
      <c r="K307" s="8"/>
      <c r="L307" s="8"/>
      <c r="M307" s="8"/>
      <c r="N307" s="8"/>
      <c r="O307" s="8"/>
      <c r="P307" s="8"/>
      <c r="Q307" s="8"/>
      <c r="R307" s="79"/>
      <c r="S307" s="79"/>
      <c r="T307" s="79"/>
      <c r="U307" s="34"/>
      <c r="V307" s="34"/>
    </row>
    <row r="308" spans="1:22" ht="12.75" customHeight="1" x14ac:dyDescent="0.2">
      <c r="A308" s="38"/>
      <c r="B308" s="38"/>
      <c r="C308" s="8"/>
      <c r="D308" s="8"/>
      <c r="E308" s="8"/>
      <c r="F308" s="8"/>
      <c r="G308" s="8"/>
      <c r="H308" s="8"/>
      <c r="I308" s="8"/>
      <c r="J308" s="8"/>
      <c r="K308" s="8"/>
      <c r="L308" s="8"/>
      <c r="M308" s="8"/>
      <c r="N308" s="8"/>
      <c r="O308" s="8"/>
      <c r="P308" s="8"/>
      <c r="Q308" s="8"/>
      <c r="R308" s="79"/>
      <c r="S308" s="79"/>
      <c r="T308" s="79"/>
      <c r="U308" s="34"/>
      <c r="V308" s="34"/>
    </row>
    <row r="309" spans="1:22" ht="12.75" customHeight="1" x14ac:dyDescent="0.2">
      <c r="A309" s="38"/>
      <c r="B309" s="38"/>
      <c r="C309" s="8"/>
      <c r="D309" s="8"/>
      <c r="E309" s="8"/>
      <c r="F309" s="8"/>
      <c r="G309" s="8"/>
      <c r="H309" s="8"/>
      <c r="I309" s="8"/>
      <c r="J309" s="8"/>
      <c r="K309" s="8"/>
      <c r="L309" s="8"/>
      <c r="M309" s="8"/>
      <c r="N309" s="8"/>
      <c r="O309" s="8"/>
      <c r="P309" s="8"/>
      <c r="Q309" s="8"/>
      <c r="R309" s="79"/>
      <c r="S309" s="79"/>
      <c r="T309" s="79"/>
      <c r="U309" s="34"/>
      <c r="V309" s="34"/>
    </row>
    <row r="310" spans="1:22" ht="12.75" customHeight="1" x14ac:dyDescent="0.2">
      <c r="A310" s="38"/>
      <c r="B310" s="38"/>
      <c r="C310" s="8"/>
      <c r="D310" s="8"/>
      <c r="E310" s="8"/>
      <c r="F310" s="8"/>
      <c r="G310" s="8"/>
      <c r="H310" s="8"/>
      <c r="I310" s="8"/>
      <c r="J310" s="8"/>
      <c r="K310" s="8"/>
      <c r="L310" s="8"/>
      <c r="M310" s="8"/>
      <c r="N310" s="8"/>
      <c r="O310" s="8"/>
      <c r="P310" s="8"/>
      <c r="Q310" s="8"/>
      <c r="R310" s="79"/>
      <c r="S310" s="79"/>
      <c r="T310" s="79"/>
      <c r="U310" s="34"/>
      <c r="V310" s="34"/>
    </row>
    <row r="311" spans="1:22" ht="12.75" customHeight="1" x14ac:dyDescent="0.2">
      <c r="A311" s="38"/>
      <c r="B311" s="38"/>
      <c r="C311" s="8"/>
      <c r="D311" s="8"/>
      <c r="E311" s="8"/>
      <c r="F311" s="8"/>
      <c r="G311" s="8"/>
      <c r="H311" s="8"/>
      <c r="I311" s="8"/>
      <c r="J311" s="8"/>
      <c r="K311" s="8"/>
      <c r="L311" s="8"/>
      <c r="M311" s="8"/>
      <c r="N311" s="8"/>
      <c r="O311" s="8"/>
      <c r="P311" s="8"/>
      <c r="Q311" s="8"/>
      <c r="R311" s="79"/>
      <c r="S311" s="79"/>
      <c r="T311" s="79"/>
      <c r="U311" s="34"/>
      <c r="V311" s="34"/>
    </row>
    <row r="312" spans="1:22" ht="12.75" customHeight="1" x14ac:dyDescent="0.2">
      <c r="A312" s="38"/>
      <c r="B312" s="38"/>
      <c r="C312" s="8"/>
      <c r="D312" s="8"/>
      <c r="E312" s="8"/>
      <c r="F312" s="8"/>
      <c r="G312" s="8"/>
      <c r="H312" s="8"/>
      <c r="I312" s="8"/>
      <c r="J312" s="8"/>
      <c r="K312" s="8"/>
      <c r="L312" s="8"/>
      <c r="M312" s="8"/>
      <c r="N312" s="8"/>
      <c r="O312" s="8"/>
      <c r="P312" s="8"/>
      <c r="Q312" s="8"/>
      <c r="R312" s="79"/>
      <c r="S312" s="79"/>
      <c r="T312" s="79"/>
      <c r="U312" s="34"/>
      <c r="V312" s="34"/>
    </row>
    <row r="313" spans="1:22" ht="12.75" customHeight="1" x14ac:dyDescent="0.2">
      <c r="A313" s="38"/>
      <c r="B313" s="38"/>
      <c r="C313" s="8"/>
      <c r="D313" s="8"/>
      <c r="E313" s="8"/>
      <c r="F313" s="8"/>
      <c r="G313" s="8"/>
      <c r="H313" s="8"/>
      <c r="I313" s="8"/>
      <c r="J313" s="8"/>
      <c r="K313" s="8"/>
      <c r="L313" s="8"/>
      <c r="M313" s="8"/>
      <c r="N313" s="8"/>
      <c r="O313" s="8"/>
      <c r="P313" s="8"/>
      <c r="Q313" s="8"/>
      <c r="R313" s="79"/>
      <c r="S313" s="79"/>
      <c r="T313" s="79"/>
      <c r="U313" s="34"/>
      <c r="V313" s="34"/>
    </row>
    <row r="314" spans="1:22" ht="12.75" customHeight="1" x14ac:dyDescent="0.2">
      <c r="A314" s="38"/>
      <c r="B314" s="38"/>
      <c r="C314" s="8"/>
      <c r="D314" s="8"/>
      <c r="E314" s="8"/>
      <c r="F314" s="8"/>
      <c r="G314" s="8"/>
      <c r="H314" s="8"/>
      <c r="I314" s="8"/>
      <c r="J314" s="8"/>
      <c r="K314" s="8"/>
      <c r="L314" s="8"/>
      <c r="M314" s="8"/>
      <c r="N314" s="8"/>
      <c r="O314" s="8"/>
      <c r="P314" s="8"/>
      <c r="Q314" s="8"/>
      <c r="R314" s="79"/>
      <c r="S314" s="79"/>
      <c r="T314" s="79"/>
      <c r="U314" s="34"/>
      <c r="V314" s="34"/>
    </row>
    <row r="315" spans="1:22" ht="12.75" customHeight="1" x14ac:dyDescent="0.2">
      <c r="A315" s="38"/>
      <c r="B315" s="38"/>
      <c r="C315" s="8"/>
      <c r="D315" s="8"/>
      <c r="E315" s="8"/>
      <c r="F315" s="8"/>
      <c r="G315" s="8"/>
      <c r="H315" s="8"/>
      <c r="I315" s="8"/>
      <c r="J315" s="8"/>
      <c r="K315" s="8"/>
      <c r="L315" s="8"/>
      <c r="M315" s="8"/>
      <c r="N315" s="8"/>
      <c r="O315" s="8"/>
      <c r="P315" s="8"/>
      <c r="Q315" s="8"/>
      <c r="R315" s="79"/>
      <c r="S315" s="79"/>
      <c r="T315" s="79"/>
      <c r="U315" s="34"/>
      <c r="V315" s="34"/>
    </row>
    <row r="316" spans="1:22" ht="12.75" customHeight="1" x14ac:dyDescent="0.2">
      <c r="A316" s="38"/>
      <c r="B316" s="38"/>
      <c r="C316" s="8"/>
      <c r="D316" s="8"/>
      <c r="E316" s="8"/>
      <c r="F316" s="8"/>
      <c r="G316" s="8"/>
      <c r="H316" s="8"/>
      <c r="I316" s="8"/>
      <c r="J316" s="8"/>
      <c r="K316" s="8"/>
      <c r="L316" s="8"/>
      <c r="M316" s="8"/>
      <c r="N316" s="8"/>
      <c r="O316" s="8"/>
      <c r="P316" s="8"/>
      <c r="Q316" s="8"/>
      <c r="R316" s="79"/>
      <c r="S316" s="79"/>
      <c r="T316" s="79"/>
      <c r="U316" s="34"/>
      <c r="V316" s="34"/>
    </row>
    <row r="317" spans="1:22" ht="12.75" customHeight="1" x14ac:dyDescent="0.2">
      <c r="A317" s="38"/>
      <c r="B317" s="38"/>
      <c r="C317" s="8"/>
      <c r="D317" s="8"/>
      <c r="E317" s="8"/>
      <c r="F317" s="8"/>
      <c r="G317" s="8"/>
      <c r="H317" s="8"/>
      <c r="I317" s="8"/>
      <c r="J317" s="8"/>
      <c r="K317" s="8"/>
      <c r="L317" s="8"/>
      <c r="M317" s="8"/>
      <c r="N317" s="8"/>
      <c r="O317" s="8"/>
      <c r="P317" s="8"/>
      <c r="Q317" s="8"/>
      <c r="R317" s="79"/>
      <c r="S317" s="79"/>
      <c r="T317" s="79"/>
      <c r="U317" s="34"/>
      <c r="V317" s="34"/>
    </row>
    <row r="318" spans="1:22" ht="12.75" customHeight="1" x14ac:dyDescent="0.2">
      <c r="A318" s="38"/>
      <c r="B318" s="38"/>
      <c r="C318" s="8"/>
      <c r="D318" s="8"/>
      <c r="E318" s="8"/>
      <c r="F318" s="8"/>
      <c r="G318" s="8"/>
      <c r="H318" s="8"/>
      <c r="I318" s="8"/>
      <c r="J318" s="8"/>
      <c r="K318" s="8"/>
      <c r="L318" s="8"/>
      <c r="M318" s="8"/>
      <c r="N318" s="8"/>
      <c r="O318" s="8"/>
      <c r="P318" s="8"/>
      <c r="Q318" s="8"/>
      <c r="R318" s="79"/>
      <c r="S318" s="79"/>
      <c r="T318" s="79"/>
      <c r="U318" s="34"/>
      <c r="V318" s="34"/>
    </row>
    <row r="319" spans="1:22" ht="12.75" customHeight="1" x14ac:dyDescent="0.2">
      <c r="A319" s="38"/>
      <c r="B319" s="38"/>
      <c r="C319" s="8"/>
      <c r="D319" s="8"/>
      <c r="E319" s="8"/>
      <c r="F319" s="8"/>
      <c r="G319" s="8"/>
      <c r="H319" s="8"/>
      <c r="I319" s="8"/>
      <c r="J319" s="8"/>
      <c r="K319" s="8"/>
      <c r="L319" s="8"/>
      <c r="M319" s="8"/>
      <c r="N319" s="8"/>
      <c r="O319" s="8"/>
      <c r="P319" s="8"/>
      <c r="Q319" s="8"/>
      <c r="R319" s="79"/>
      <c r="S319" s="79"/>
      <c r="T319" s="79"/>
      <c r="U319" s="34"/>
      <c r="V319" s="34"/>
    </row>
    <row r="320" spans="1:22" ht="12.75" customHeight="1" x14ac:dyDescent="0.2">
      <c r="A320" s="38"/>
      <c r="B320" s="38"/>
      <c r="C320" s="8"/>
      <c r="D320" s="8"/>
      <c r="E320" s="8"/>
      <c r="F320" s="8"/>
      <c r="G320" s="8"/>
      <c r="H320" s="8"/>
      <c r="I320" s="8"/>
      <c r="J320" s="8"/>
      <c r="K320" s="8"/>
      <c r="L320" s="8"/>
      <c r="M320" s="8"/>
      <c r="N320" s="8"/>
      <c r="O320" s="8"/>
      <c r="P320" s="8"/>
      <c r="Q320" s="8"/>
      <c r="R320" s="79"/>
      <c r="S320" s="79"/>
      <c r="T320" s="79"/>
      <c r="U320" s="34"/>
      <c r="V320" s="34"/>
    </row>
    <row r="321" spans="1:22" ht="12.75" customHeight="1" x14ac:dyDescent="0.2">
      <c r="A321" s="38"/>
      <c r="B321" s="38"/>
      <c r="C321" s="8"/>
      <c r="D321" s="8"/>
      <c r="E321" s="8"/>
      <c r="F321" s="8"/>
      <c r="G321" s="8"/>
      <c r="H321" s="8"/>
      <c r="I321" s="8"/>
      <c r="J321" s="8"/>
      <c r="K321" s="8"/>
      <c r="L321" s="8"/>
      <c r="M321" s="8"/>
      <c r="N321" s="8"/>
      <c r="O321" s="8"/>
      <c r="P321" s="8"/>
      <c r="Q321" s="8"/>
      <c r="R321" s="79"/>
      <c r="S321" s="79"/>
      <c r="T321" s="79"/>
      <c r="U321" s="34"/>
      <c r="V321" s="34"/>
    </row>
    <row r="322" spans="1:22" ht="12.75" customHeight="1" x14ac:dyDescent="0.2">
      <c r="A322" s="38"/>
      <c r="B322" s="38"/>
      <c r="C322" s="8"/>
      <c r="D322" s="8"/>
      <c r="E322" s="8"/>
      <c r="F322" s="8"/>
      <c r="G322" s="8"/>
      <c r="H322" s="8"/>
      <c r="I322" s="8"/>
      <c r="J322" s="8"/>
      <c r="K322" s="8"/>
      <c r="L322" s="8"/>
      <c r="M322" s="8"/>
      <c r="N322" s="8"/>
      <c r="O322" s="8"/>
      <c r="P322" s="8"/>
      <c r="Q322" s="8"/>
      <c r="R322" s="79"/>
      <c r="S322" s="79"/>
      <c r="T322" s="79"/>
      <c r="U322" s="34"/>
      <c r="V322" s="34"/>
    </row>
    <row r="323" spans="1:22" ht="12.75" customHeight="1" x14ac:dyDescent="0.2">
      <c r="A323" s="38"/>
      <c r="B323" s="38"/>
      <c r="C323" s="8"/>
      <c r="D323" s="8"/>
      <c r="E323" s="8"/>
      <c r="F323" s="8"/>
      <c r="G323" s="8"/>
      <c r="H323" s="8"/>
      <c r="I323" s="8"/>
      <c r="J323" s="8"/>
      <c r="K323" s="8"/>
      <c r="L323" s="8"/>
      <c r="M323" s="8"/>
      <c r="N323" s="8"/>
      <c r="O323" s="8"/>
      <c r="P323" s="8"/>
      <c r="Q323" s="8"/>
      <c r="R323" s="79"/>
      <c r="S323" s="79"/>
      <c r="T323" s="79"/>
      <c r="U323" s="34"/>
      <c r="V323" s="34"/>
    </row>
    <row r="324" spans="1:22" ht="12.75" customHeight="1" x14ac:dyDescent="0.2">
      <c r="A324" s="38"/>
      <c r="B324" s="38"/>
      <c r="C324" s="8"/>
      <c r="D324" s="8"/>
      <c r="E324" s="8"/>
      <c r="F324" s="8"/>
      <c r="G324" s="8"/>
      <c r="H324" s="8"/>
      <c r="I324" s="8"/>
      <c r="J324" s="8"/>
      <c r="K324" s="8"/>
      <c r="L324" s="8"/>
      <c r="M324" s="8"/>
      <c r="N324" s="8"/>
      <c r="O324" s="8"/>
      <c r="P324" s="8"/>
      <c r="Q324" s="8"/>
      <c r="R324" s="79"/>
      <c r="S324" s="79"/>
      <c r="T324" s="79"/>
      <c r="U324" s="34"/>
      <c r="V324" s="34"/>
    </row>
    <row r="325" spans="1:22" ht="12.75" customHeight="1" x14ac:dyDescent="0.2">
      <c r="A325" s="38"/>
      <c r="B325" s="38"/>
      <c r="C325" s="8"/>
      <c r="D325" s="8"/>
      <c r="E325" s="8"/>
      <c r="F325" s="8"/>
      <c r="G325" s="8"/>
      <c r="H325" s="8"/>
      <c r="I325" s="8"/>
      <c r="J325" s="8"/>
      <c r="K325" s="8"/>
      <c r="L325" s="8"/>
      <c r="M325" s="8"/>
      <c r="N325" s="8"/>
      <c r="O325" s="8"/>
      <c r="P325" s="8"/>
      <c r="Q325" s="8"/>
      <c r="R325" s="79"/>
      <c r="S325" s="79"/>
      <c r="T325" s="79"/>
      <c r="U325" s="34"/>
      <c r="V325" s="34"/>
    </row>
    <row r="326" spans="1:22" ht="12.75" customHeight="1" x14ac:dyDescent="0.2">
      <c r="A326" s="38"/>
      <c r="B326" s="38"/>
      <c r="C326" s="8"/>
      <c r="D326" s="8"/>
      <c r="E326" s="8"/>
      <c r="F326" s="8"/>
      <c r="G326" s="8"/>
      <c r="H326" s="8"/>
      <c r="I326" s="8"/>
      <c r="J326" s="8"/>
      <c r="K326" s="8"/>
      <c r="L326" s="8"/>
      <c r="M326" s="8"/>
      <c r="N326" s="8"/>
      <c r="O326" s="8"/>
      <c r="P326" s="8"/>
      <c r="Q326" s="8"/>
      <c r="R326" s="79"/>
      <c r="S326" s="79"/>
      <c r="T326" s="79"/>
      <c r="U326" s="34"/>
      <c r="V326" s="34"/>
    </row>
    <row r="327" spans="1:22" ht="12.75" customHeight="1" x14ac:dyDescent="0.2">
      <c r="A327" s="38"/>
      <c r="B327" s="38"/>
      <c r="C327" s="8"/>
      <c r="D327" s="8"/>
      <c r="E327" s="8"/>
      <c r="F327" s="8"/>
      <c r="G327" s="8"/>
      <c r="H327" s="8"/>
      <c r="I327" s="8"/>
      <c r="J327" s="8"/>
      <c r="K327" s="8"/>
      <c r="L327" s="8"/>
      <c r="M327" s="8"/>
      <c r="N327" s="8"/>
      <c r="O327" s="8"/>
      <c r="P327" s="8"/>
      <c r="Q327" s="8"/>
      <c r="R327" s="79"/>
      <c r="S327" s="79"/>
      <c r="T327" s="79"/>
      <c r="U327" s="34"/>
      <c r="V327" s="34"/>
    </row>
    <row r="328" spans="1:22" ht="12.75" customHeight="1" x14ac:dyDescent="0.2">
      <c r="A328" s="38"/>
      <c r="B328" s="38"/>
      <c r="C328" s="8"/>
      <c r="D328" s="8"/>
      <c r="E328" s="8"/>
      <c r="F328" s="8"/>
      <c r="G328" s="8"/>
      <c r="H328" s="8"/>
      <c r="I328" s="8"/>
      <c r="J328" s="8"/>
      <c r="K328" s="8"/>
      <c r="L328" s="8"/>
      <c r="M328" s="8"/>
      <c r="N328" s="8"/>
      <c r="O328" s="8"/>
      <c r="P328" s="8"/>
      <c r="Q328" s="8"/>
      <c r="R328" s="79"/>
      <c r="S328" s="79"/>
      <c r="T328" s="79"/>
      <c r="U328" s="34"/>
      <c r="V328" s="34"/>
    </row>
    <row r="329" spans="1:22" ht="12.75" customHeight="1" x14ac:dyDescent="0.2">
      <c r="A329" s="38"/>
      <c r="B329" s="38"/>
      <c r="C329" s="8"/>
      <c r="D329" s="8"/>
      <c r="E329" s="8"/>
      <c r="F329" s="8"/>
      <c r="G329" s="8"/>
      <c r="H329" s="8"/>
      <c r="I329" s="8"/>
      <c r="J329" s="8"/>
      <c r="K329" s="8"/>
      <c r="L329" s="8"/>
      <c r="M329" s="8"/>
      <c r="N329" s="8"/>
      <c r="O329" s="8"/>
      <c r="P329" s="8"/>
      <c r="Q329" s="8"/>
      <c r="R329" s="79"/>
      <c r="S329" s="79"/>
      <c r="T329" s="79"/>
      <c r="U329" s="34"/>
      <c r="V329" s="34"/>
    </row>
    <row r="330" spans="1:22" ht="12.75" customHeight="1" x14ac:dyDescent="0.2">
      <c r="A330" s="38"/>
      <c r="B330" s="38"/>
      <c r="C330" s="8"/>
      <c r="D330" s="8"/>
      <c r="E330" s="8"/>
      <c r="F330" s="8"/>
      <c r="G330" s="8"/>
      <c r="H330" s="8"/>
      <c r="I330" s="8"/>
      <c r="J330" s="8"/>
      <c r="K330" s="8"/>
      <c r="L330" s="8"/>
      <c r="M330" s="8"/>
      <c r="N330" s="8"/>
      <c r="O330" s="8"/>
      <c r="P330" s="8"/>
      <c r="Q330" s="8"/>
      <c r="R330" s="79"/>
      <c r="S330" s="79"/>
      <c r="T330" s="79"/>
      <c r="U330" s="34"/>
      <c r="V330" s="34"/>
    </row>
    <row r="331" spans="1:22" ht="12.75" customHeight="1" x14ac:dyDescent="0.2">
      <c r="A331" s="38"/>
      <c r="B331" s="38"/>
      <c r="C331" s="8"/>
      <c r="D331" s="8"/>
      <c r="E331" s="8"/>
      <c r="F331" s="8"/>
      <c r="G331" s="8"/>
      <c r="H331" s="8"/>
      <c r="I331" s="8"/>
      <c r="J331" s="8"/>
      <c r="K331" s="8"/>
      <c r="L331" s="8"/>
      <c r="M331" s="8"/>
      <c r="N331" s="8"/>
      <c r="O331" s="8"/>
      <c r="P331" s="8"/>
      <c r="Q331" s="8"/>
      <c r="R331" s="79"/>
      <c r="S331" s="79"/>
      <c r="T331" s="79"/>
      <c r="U331" s="34"/>
      <c r="V331" s="34"/>
    </row>
    <row r="332" spans="1:22" ht="12.75" customHeight="1" x14ac:dyDescent="0.2">
      <c r="A332" s="38"/>
      <c r="B332" s="38"/>
      <c r="C332" s="8"/>
      <c r="D332" s="8"/>
      <c r="E332" s="8"/>
      <c r="F332" s="8"/>
      <c r="G332" s="8"/>
      <c r="H332" s="8"/>
      <c r="I332" s="8"/>
      <c r="J332" s="8"/>
      <c r="K332" s="8"/>
      <c r="L332" s="8"/>
      <c r="M332" s="8"/>
      <c r="N332" s="8"/>
      <c r="O332" s="8"/>
      <c r="P332" s="8"/>
      <c r="Q332" s="8"/>
      <c r="R332" s="79"/>
      <c r="S332" s="79"/>
      <c r="T332" s="79"/>
      <c r="U332" s="34"/>
      <c r="V332" s="34"/>
    </row>
    <row r="333" spans="1:22" ht="12.75" customHeight="1" x14ac:dyDescent="0.2">
      <c r="A333" s="38"/>
      <c r="B333" s="38"/>
      <c r="C333" s="8"/>
      <c r="D333" s="8"/>
      <c r="E333" s="8"/>
      <c r="F333" s="8"/>
      <c r="G333" s="8"/>
      <c r="H333" s="8"/>
      <c r="I333" s="8"/>
      <c r="J333" s="8"/>
      <c r="K333" s="8"/>
      <c r="L333" s="8"/>
      <c r="M333" s="8"/>
      <c r="N333" s="8"/>
      <c r="O333" s="8"/>
      <c r="P333" s="8"/>
      <c r="Q333" s="8"/>
      <c r="R333" s="79"/>
      <c r="S333" s="79"/>
      <c r="T333" s="79"/>
      <c r="U333" s="34"/>
      <c r="V333" s="34"/>
    </row>
    <row r="334" spans="1:22" ht="12.75" customHeight="1" x14ac:dyDescent="0.2">
      <c r="A334" s="38"/>
      <c r="B334" s="38"/>
      <c r="C334" s="8"/>
      <c r="D334" s="8"/>
      <c r="E334" s="8"/>
      <c r="F334" s="8"/>
      <c r="G334" s="8"/>
      <c r="H334" s="8"/>
      <c r="I334" s="8"/>
      <c r="J334" s="8"/>
      <c r="K334" s="8"/>
      <c r="L334" s="8"/>
      <c r="M334" s="8"/>
      <c r="N334" s="8"/>
      <c r="O334" s="8"/>
      <c r="P334" s="8"/>
      <c r="Q334" s="8"/>
      <c r="R334" s="79"/>
      <c r="S334" s="79"/>
      <c r="T334" s="79"/>
      <c r="U334" s="34"/>
      <c r="V334" s="34"/>
    </row>
    <row r="335" spans="1:22" ht="12.75" customHeight="1" x14ac:dyDescent="0.2">
      <c r="A335" s="38"/>
      <c r="B335" s="38"/>
      <c r="C335" s="8"/>
      <c r="D335" s="8"/>
      <c r="E335" s="8"/>
      <c r="F335" s="8"/>
      <c r="G335" s="8"/>
      <c r="H335" s="8"/>
      <c r="I335" s="8"/>
      <c r="J335" s="8"/>
      <c r="K335" s="8"/>
      <c r="L335" s="8"/>
      <c r="M335" s="8"/>
      <c r="N335" s="8"/>
      <c r="O335" s="8"/>
      <c r="P335" s="8"/>
      <c r="Q335" s="8"/>
      <c r="R335" s="79"/>
      <c r="S335" s="79"/>
      <c r="T335" s="79"/>
      <c r="U335" s="34"/>
      <c r="V335" s="34"/>
    </row>
    <row r="336" spans="1:22" ht="12.75" customHeight="1" x14ac:dyDescent="0.2">
      <c r="A336" s="38"/>
      <c r="B336" s="38"/>
      <c r="C336" s="8"/>
      <c r="D336" s="8"/>
      <c r="E336" s="8"/>
      <c r="F336" s="8"/>
      <c r="G336" s="8"/>
      <c r="H336" s="8"/>
      <c r="I336" s="8"/>
      <c r="J336" s="8"/>
      <c r="K336" s="8"/>
      <c r="L336" s="8"/>
      <c r="M336" s="8"/>
      <c r="N336" s="8"/>
      <c r="O336" s="8"/>
      <c r="P336" s="8"/>
      <c r="Q336" s="8"/>
      <c r="R336" s="79"/>
      <c r="S336" s="79"/>
      <c r="T336" s="79"/>
      <c r="U336" s="34"/>
      <c r="V336" s="34"/>
    </row>
    <row r="337" spans="1:22" ht="12.75" customHeight="1" x14ac:dyDescent="0.2">
      <c r="A337" s="38"/>
      <c r="B337" s="38"/>
      <c r="C337" s="8"/>
      <c r="D337" s="8"/>
      <c r="E337" s="8"/>
      <c r="F337" s="8"/>
      <c r="G337" s="8"/>
      <c r="H337" s="8"/>
      <c r="I337" s="8"/>
      <c r="J337" s="8"/>
      <c r="K337" s="8"/>
      <c r="L337" s="8"/>
      <c r="M337" s="8"/>
      <c r="N337" s="8"/>
      <c r="O337" s="8"/>
      <c r="P337" s="8"/>
      <c r="Q337" s="8"/>
      <c r="R337" s="79"/>
      <c r="S337" s="79"/>
      <c r="T337" s="79"/>
      <c r="U337" s="34"/>
      <c r="V337" s="34"/>
    </row>
    <row r="338" spans="1:22" ht="12.75" customHeight="1" x14ac:dyDescent="0.2">
      <c r="A338" s="38"/>
      <c r="B338" s="38"/>
      <c r="C338" s="8"/>
      <c r="D338" s="8"/>
      <c r="E338" s="8"/>
      <c r="F338" s="8"/>
      <c r="G338" s="8"/>
      <c r="H338" s="8"/>
      <c r="I338" s="8"/>
      <c r="J338" s="8"/>
      <c r="K338" s="8"/>
      <c r="L338" s="8"/>
      <c r="M338" s="8"/>
      <c r="N338" s="8"/>
      <c r="O338" s="8"/>
      <c r="P338" s="8"/>
      <c r="Q338" s="8"/>
      <c r="R338" s="79"/>
      <c r="S338" s="79"/>
      <c r="T338" s="79"/>
      <c r="U338" s="34"/>
      <c r="V338" s="34"/>
    </row>
    <row r="339" spans="1:22" ht="12.75" customHeight="1" x14ac:dyDescent="0.2">
      <c r="A339" s="38"/>
      <c r="B339" s="38"/>
      <c r="C339" s="8"/>
      <c r="D339" s="8"/>
      <c r="E339" s="8"/>
      <c r="F339" s="8"/>
      <c r="G339" s="8"/>
      <c r="H339" s="8"/>
      <c r="I339" s="8"/>
      <c r="J339" s="8"/>
      <c r="K339" s="8"/>
      <c r="L339" s="8"/>
      <c r="M339" s="8"/>
      <c r="N339" s="8"/>
      <c r="O339" s="8"/>
      <c r="P339" s="8"/>
      <c r="Q339" s="8"/>
      <c r="R339" s="79"/>
      <c r="S339" s="79"/>
      <c r="T339" s="79"/>
      <c r="U339" s="34"/>
      <c r="V339" s="34"/>
    </row>
    <row r="340" spans="1:22" ht="12.75" customHeight="1" x14ac:dyDescent="0.2">
      <c r="A340" s="38"/>
      <c r="B340" s="38"/>
      <c r="C340" s="8"/>
      <c r="D340" s="8"/>
      <c r="E340" s="8"/>
      <c r="F340" s="8"/>
      <c r="G340" s="8"/>
      <c r="H340" s="8"/>
      <c r="I340" s="8"/>
      <c r="J340" s="8"/>
      <c r="K340" s="8"/>
      <c r="L340" s="8"/>
      <c r="M340" s="8"/>
      <c r="N340" s="8"/>
      <c r="O340" s="8"/>
      <c r="P340" s="8"/>
      <c r="Q340" s="8"/>
      <c r="R340" s="79"/>
      <c r="S340" s="79"/>
      <c r="T340" s="79"/>
      <c r="U340" s="34"/>
      <c r="V340" s="34"/>
    </row>
    <row r="341" spans="1:22" ht="12.75" customHeight="1" x14ac:dyDescent="0.2">
      <c r="A341" s="38"/>
      <c r="B341" s="38"/>
      <c r="C341" s="8"/>
      <c r="D341" s="8"/>
      <c r="E341" s="8"/>
      <c r="F341" s="8"/>
      <c r="G341" s="8"/>
      <c r="H341" s="8"/>
      <c r="I341" s="8"/>
      <c r="J341" s="8"/>
      <c r="K341" s="8"/>
      <c r="L341" s="8"/>
      <c r="M341" s="8"/>
      <c r="N341" s="8"/>
      <c r="O341" s="8"/>
      <c r="P341" s="8"/>
      <c r="Q341" s="8"/>
      <c r="R341" s="79"/>
      <c r="S341" s="79"/>
      <c r="T341" s="79"/>
      <c r="U341" s="34"/>
      <c r="V341" s="34"/>
    </row>
    <row r="342" spans="1:22" ht="12.75" customHeight="1" x14ac:dyDescent="0.2">
      <c r="A342" s="38"/>
      <c r="B342" s="38"/>
      <c r="C342" s="8"/>
      <c r="D342" s="8"/>
      <c r="E342" s="8"/>
      <c r="F342" s="8"/>
      <c r="G342" s="8"/>
      <c r="H342" s="8"/>
      <c r="I342" s="8"/>
      <c r="J342" s="8"/>
      <c r="K342" s="8"/>
      <c r="L342" s="8"/>
      <c r="M342" s="8"/>
      <c r="N342" s="8"/>
      <c r="O342" s="8"/>
      <c r="P342" s="8"/>
      <c r="Q342" s="8"/>
      <c r="R342" s="79"/>
      <c r="S342" s="79"/>
      <c r="T342" s="79"/>
      <c r="U342" s="34"/>
      <c r="V342" s="34"/>
    </row>
    <row r="343" spans="1:22" ht="12.75" customHeight="1" x14ac:dyDescent="0.2">
      <c r="A343" s="38"/>
      <c r="B343" s="38"/>
      <c r="C343" s="8"/>
      <c r="D343" s="8"/>
      <c r="E343" s="8"/>
      <c r="F343" s="8"/>
      <c r="G343" s="8"/>
      <c r="H343" s="8"/>
      <c r="I343" s="8"/>
      <c r="J343" s="8"/>
      <c r="K343" s="8"/>
      <c r="L343" s="8"/>
      <c r="M343" s="8"/>
      <c r="N343" s="8"/>
      <c r="O343" s="8"/>
      <c r="P343" s="8"/>
      <c r="Q343" s="8"/>
      <c r="R343" s="79"/>
      <c r="S343" s="79"/>
      <c r="T343" s="79"/>
      <c r="U343" s="34"/>
      <c r="V343" s="34"/>
    </row>
    <row r="344" spans="1:22" ht="12.75" customHeight="1" x14ac:dyDescent="0.2">
      <c r="A344" s="38"/>
      <c r="B344" s="38"/>
      <c r="C344" s="8"/>
      <c r="D344" s="8"/>
      <c r="E344" s="8"/>
      <c r="F344" s="8"/>
      <c r="G344" s="8"/>
      <c r="H344" s="8"/>
      <c r="I344" s="8"/>
      <c r="J344" s="8"/>
      <c r="K344" s="8"/>
      <c r="L344" s="8"/>
      <c r="M344" s="8"/>
      <c r="N344" s="8"/>
      <c r="O344" s="8"/>
      <c r="P344" s="8"/>
      <c r="Q344" s="8"/>
      <c r="R344" s="79"/>
      <c r="S344" s="79"/>
      <c r="T344" s="79"/>
      <c r="U344" s="34"/>
      <c r="V344" s="34"/>
    </row>
    <row r="345" spans="1:22" ht="12.75" customHeight="1" x14ac:dyDescent="0.2">
      <c r="A345" s="38"/>
      <c r="B345" s="38"/>
      <c r="C345" s="8"/>
      <c r="D345" s="8"/>
      <c r="E345" s="8"/>
      <c r="F345" s="8"/>
      <c r="G345" s="8"/>
      <c r="H345" s="8"/>
      <c r="I345" s="8"/>
      <c r="J345" s="8"/>
      <c r="K345" s="8"/>
      <c r="L345" s="8"/>
      <c r="M345" s="8"/>
      <c r="N345" s="8"/>
      <c r="O345" s="8"/>
      <c r="P345" s="8"/>
      <c r="Q345" s="8"/>
      <c r="R345" s="79"/>
      <c r="S345" s="79"/>
      <c r="T345" s="79"/>
      <c r="U345" s="34"/>
      <c r="V345" s="34"/>
    </row>
    <row r="346" spans="1:22" ht="12.75" customHeight="1" x14ac:dyDescent="0.2">
      <c r="A346" s="38"/>
      <c r="B346" s="38"/>
      <c r="C346" s="8"/>
      <c r="D346" s="8"/>
      <c r="E346" s="8"/>
      <c r="F346" s="8"/>
      <c r="G346" s="8"/>
      <c r="H346" s="8"/>
      <c r="I346" s="8"/>
      <c r="J346" s="8"/>
      <c r="K346" s="8"/>
      <c r="L346" s="8"/>
      <c r="M346" s="8"/>
      <c r="N346" s="8"/>
      <c r="O346" s="8"/>
      <c r="P346" s="8"/>
      <c r="Q346" s="8"/>
      <c r="R346" s="79"/>
      <c r="S346" s="79"/>
      <c r="T346" s="79"/>
      <c r="U346" s="34"/>
      <c r="V346" s="34"/>
    </row>
    <row r="347" spans="1:22" ht="12.75" customHeight="1" x14ac:dyDescent="0.2">
      <c r="A347" s="38"/>
      <c r="B347" s="38"/>
      <c r="C347" s="8"/>
      <c r="D347" s="8"/>
      <c r="E347" s="8"/>
      <c r="F347" s="8"/>
      <c r="G347" s="8"/>
      <c r="H347" s="8"/>
      <c r="I347" s="8"/>
      <c r="J347" s="8"/>
      <c r="K347" s="8"/>
      <c r="L347" s="8"/>
      <c r="M347" s="8"/>
      <c r="N347" s="8"/>
      <c r="O347" s="8"/>
      <c r="P347" s="8"/>
      <c r="Q347" s="8"/>
      <c r="R347" s="79"/>
      <c r="S347" s="79"/>
      <c r="T347" s="79"/>
      <c r="U347" s="34"/>
      <c r="V347" s="34"/>
    </row>
    <row r="348" spans="1:22" ht="12.75" customHeight="1" x14ac:dyDescent="0.2">
      <c r="A348" s="38"/>
      <c r="B348" s="38"/>
      <c r="C348" s="8"/>
      <c r="D348" s="8"/>
      <c r="E348" s="8"/>
      <c r="F348" s="8"/>
      <c r="G348" s="8"/>
      <c r="H348" s="8"/>
      <c r="I348" s="8"/>
      <c r="J348" s="8"/>
      <c r="K348" s="8"/>
      <c r="L348" s="8"/>
      <c r="M348" s="8"/>
      <c r="N348" s="8"/>
      <c r="O348" s="8"/>
      <c r="P348" s="8"/>
      <c r="Q348" s="8"/>
      <c r="R348" s="79"/>
      <c r="S348" s="79"/>
      <c r="T348" s="79"/>
      <c r="U348" s="34"/>
      <c r="V348" s="34"/>
    </row>
    <row r="349" spans="1:22" ht="12.75" customHeight="1" x14ac:dyDescent="0.2">
      <c r="A349" s="38"/>
      <c r="B349" s="38"/>
      <c r="C349" s="8"/>
      <c r="D349" s="8"/>
      <c r="E349" s="8"/>
      <c r="F349" s="8"/>
      <c r="G349" s="8"/>
      <c r="H349" s="8"/>
      <c r="I349" s="8"/>
      <c r="J349" s="8"/>
      <c r="K349" s="8"/>
      <c r="L349" s="8"/>
      <c r="M349" s="8"/>
      <c r="N349" s="8"/>
      <c r="O349" s="8"/>
      <c r="P349" s="8"/>
      <c r="Q349" s="8"/>
      <c r="R349" s="79"/>
      <c r="S349" s="79"/>
      <c r="T349" s="79"/>
      <c r="U349" s="34"/>
      <c r="V349" s="34"/>
    </row>
    <row r="350" spans="1:22" ht="12.75" customHeight="1" x14ac:dyDescent="0.2">
      <c r="A350" s="38"/>
      <c r="B350" s="38"/>
      <c r="C350" s="8"/>
      <c r="D350" s="8"/>
      <c r="E350" s="8"/>
      <c r="F350" s="8"/>
      <c r="G350" s="8"/>
      <c r="H350" s="8"/>
      <c r="I350" s="8"/>
      <c r="J350" s="8"/>
      <c r="K350" s="8"/>
      <c r="L350" s="8"/>
      <c r="M350" s="8"/>
      <c r="N350" s="8"/>
      <c r="O350" s="8"/>
      <c r="P350" s="8"/>
      <c r="Q350" s="8"/>
      <c r="R350" s="79"/>
      <c r="S350" s="79"/>
      <c r="T350" s="79"/>
      <c r="U350" s="34"/>
      <c r="V350" s="34"/>
    </row>
    <row r="351" spans="1:22" ht="12.75" customHeight="1" x14ac:dyDescent="0.2">
      <c r="A351" s="38"/>
      <c r="B351" s="38"/>
      <c r="C351" s="8"/>
      <c r="D351" s="8"/>
      <c r="E351" s="8"/>
      <c r="F351" s="8"/>
      <c r="G351" s="8"/>
      <c r="H351" s="8"/>
      <c r="I351" s="8"/>
      <c r="J351" s="8"/>
      <c r="K351" s="8"/>
      <c r="L351" s="8"/>
      <c r="M351" s="8"/>
      <c r="N351" s="8"/>
      <c r="O351" s="8"/>
      <c r="P351" s="8"/>
      <c r="Q351" s="8"/>
      <c r="R351" s="79"/>
      <c r="S351" s="79"/>
      <c r="T351" s="79"/>
      <c r="U351" s="34"/>
      <c r="V351" s="34"/>
    </row>
    <row r="352" spans="1:22" ht="12.75" customHeight="1" x14ac:dyDescent="0.2">
      <c r="A352" s="38"/>
      <c r="B352" s="38"/>
      <c r="C352" s="8"/>
      <c r="D352" s="8"/>
      <c r="E352" s="8"/>
      <c r="F352" s="8"/>
      <c r="G352" s="8"/>
      <c r="H352" s="8"/>
      <c r="I352" s="8"/>
      <c r="J352" s="8"/>
      <c r="K352" s="8"/>
      <c r="L352" s="8"/>
      <c r="M352" s="8"/>
      <c r="N352" s="8"/>
      <c r="O352" s="8"/>
      <c r="P352" s="8"/>
      <c r="Q352" s="8"/>
      <c r="R352" s="79"/>
      <c r="S352" s="79"/>
      <c r="T352" s="79"/>
      <c r="U352" s="34"/>
      <c r="V352" s="34"/>
    </row>
    <row r="353" spans="1:22" ht="12.75" customHeight="1" x14ac:dyDescent="0.2">
      <c r="A353" s="38"/>
      <c r="B353" s="38"/>
      <c r="C353" s="8"/>
      <c r="D353" s="8"/>
      <c r="E353" s="8"/>
      <c r="F353" s="8"/>
      <c r="G353" s="8"/>
      <c r="H353" s="8"/>
      <c r="I353" s="8"/>
      <c r="J353" s="8"/>
      <c r="K353" s="8"/>
      <c r="L353" s="8"/>
      <c r="M353" s="8"/>
      <c r="N353" s="8"/>
      <c r="O353" s="8"/>
      <c r="P353" s="8"/>
      <c r="Q353" s="8"/>
      <c r="R353" s="79"/>
      <c r="S353" s="79"/>
      <c r="T353" s="79"/>
      <c r="U353" s="34"/>
      <c r="V353" s="34"/>
    </row>
    <row r="354" spans="1:22" ht="12.75" customHeight="1" x14ac:dyDescent="0.2">
      <c r="A354" s="38"/>
      <c r="B354" s="38"/>
      <c r="C354" s="8"/>
      <c r="D354" s="8"/>
      <c r="E354" s="8"/>
      <c r="F354" s="8"/>
      <c r="G354" s="8"/>
      <c r="H354" s="8"/>
      <c r="I354" s="8"/>
      <c r="J354" s="8"/>
      <c r="K354" s="8"/>
      <c r="L354" s="8"/>
      <c r="M354" s="8"/>
      <c r="N354" s="8"/>
      <c r="O354" s="8"/>
      <c r="P354" s="8"/>
      <c r="Q354" s="8"/>
      <c r="R354" s="79"/>
      <c r="S354" s="79"/>
      <c r="T354" s="79"/>
      <c r="U354" s="34"/>
      <c r="V354" s="34"/>
    </row>
    <row r="355" spans="1:22" ht="12.75" customHeight="1" x14ac:dyDescent="0.2">
      <c r="A355" s="38"/>
      <c r="B355" s="38"/>
      <c r="C355" s="8"/>
      <c r="D355" s="8"/>
      <c r="E355" s="8"/>
      <c r="F355" s="8"/>
      <c r="G355" s="8"/>
      <c r="H355" s="8"/>
      <c r="I355" s="8"/>
      <c r="J355" s="8"/>
      <c r="K355" s="8"/>
      <c r="L355" s="8"/>
      <c r="M355" s="8"/>
      <c r="N355" s="8"/>
      <c r="O355" s="8"/>
      <c r="P355" s="8"/>
      <c r="Q355" s="8"/>
      <c r="R355" s="79"/>
      <c r="S355" s="79"/>
      <c r="T355" s="79"/>
      <c r="U355" s="34"/>
      <c r="V355" s="34"/>
    </row>
    <row r="356" spans="1:22" ht="12.75" customHeight="1" x14ac:dyDescent="0.2">
      <c r="A356" s="38"/>
      <c r="B356" s="38"/>
      <c r="C356" s="8"/>
      <c r="D356" s="8"/>
      <c r="E356" s="8"/>
      <c r="F356" s="8"/>
      <c r="G356" s="8"/>
      <c r="H356" s="8"/>
      <c r="I356" s="8"/>
      <c r="J356" s="8"/>
      <c r="K356" s="8"/>
      <c r="L356" s="8"/>
      <c r="M356" s="8"/>
      <c r="N356" s="8"/>
      <c r="O356" s="8"/>
      <c r="P356" s="8"/>
      <c r="Q356" s="8"/>
      <c r="R356" s="79"/>
      <c r="S356" s="79"/>
      <c r="T356" s="79"/>
      <c r="U356" s="34"/>
      <c r="V356" s="34"/>
    </row>
    <row r="357" spans="1:22" ht="12.75" customHeight="1" x14ac:dyDescent="0.2">
      <c r="A357" s="38"/>
      <c r="B357" s="38"/>
      <c r="C357" s="8"/>
      <c r="D357" s="8"/>
      <c r="E357" s="8"/>
      <c r="F357" s="8"/>
      <c r="G357" s="8"/>
      <c r="H357" s="8"/>
      <c r="I357" s="8"/>
      <c r="J357" s="8"/>
      <c r="K357" s="8"/>
      <c r="L357" s="8"/>
      <c r="M357" s="8"/>
      <c r="N357" s="8"/>
      <c r="O357" s="8"/>
      <c r="P357" s="8"/>
      <c r="Q357" s="8"/>
      <c r="R357" s="79"/>
      <c r="S357" s="79"/>
      <c r="T357" s="79"/>
      <c r="U357" s="34"/>
      <c r="V357" s="34"/>
    </row>
    <row r="358" spans="1:22" ht="12.75" customHeight="1" x14ac:dyDescent="0.2">
      <c r="A358" s="38"/>
      <c r="B358" s="38"/>
      <c r="C358" s="8"/>
      <c r="D358" s="8"/>
      <c r="E358" s="8"/>
      <c r="F358" s="8"/>
      <c r="G358" s="8"/>
      <c r="H358" s="8"/>
      <c r="I358" s="8"/>
      <c r="J358" s="8"/>
      <c r="K358" s="8"/>
      <c r="L358" s="8"/>
      <c r="M358" s="8"/>
      <c r="N358" s="8"/>
      <c r="O358" s="8"/>
      <c r="P358" s="8"/>
      <c r="Q358" s="8"/>
      <c r="R358" s="79"/>
      <c r="S358" s="79"/>
      <c r="T358" s="79"/>
      <c r="U358" s="34"/>
      <c r="V358" s="34"/>
    </row>
    <row r="359" spans="1:22" ht="12.75" customHeight="1" x14ac:dyDescent="0.2">
      <c r="A359" s="38"/>
      <c r="B359" s="38"/>
      <c r="C359" s="8"/>
      <c r="D359" s="8"/>
      <c r="E359" s="8"/>
      <c r="F359" s="8"/>
      <c r="G359" s="8"/>
      <c r="H359" s="8"/>
      <c r="I359" s="8"/>
      <c r="J359" s="8"/>
      <c r="K359" s="8"/>
      <c r="L359" s="8"/>
      <c r="M359" s="8"/>
      <c r="N359" s="8"/>
      <c r="O359" s="8"/>
      <c r="P359" s="8"/>
      <c r="Q359" s="8"/>
      <c r="R359" s="79"/>
      <c r="S359" s="79"/>
      <c r="T359" s="79"/>
      <c r="U359" s="34"/>
      <c r="V359" s="34"/>
    </row>
    <row r="360" spans="1:22" ht="12.75" customHeight="1" x14ac:dyDescent="0.2">
      <c r="A360" s="38"/>
      <c r="B360" s="38"/>
      <c r="C360" s="8"/>
      <c r="D360" s="8"/>
      <c r="E360" s="8"/>
      <c r="F360" s="8"/>
      <c r="G360" s="8"/>
      <c r="H360" s="8"/>
      <c r="I360" s="8"/>
      <c r="J360" s="8"/>
      <c r="K360" s="8"/>
      <c r="L360" s="8"/>
      <c r="M360" s="8"/>
      <c r="N360" s="8"/>
      <c r="O360" s="8"/>
      <c r="P360" s="8"/>
      <c r="Q360" s="8"/>
      <c r="R360" s="79"/>
      <c r="S360" s="79"/>
      <c r="T360" s="79"/>
      <c r="U360" s="34"/>
      <c r="V360" s="34"/>
    </row>
    <row r="361" spans="1:22" ht="12.75" customHeight="1" x14ac:dyDescent="0.2">
      <c r="A361" s="38"/>
      <c r="B361" s="38"/>
      <c r="C361" s="8"/>
      <c r="D361" s="8"/>
      <c r="E361" s="8"/>
      <c r="F361" s="8"/>
      <c r="G361" s="8"/>
      <c r="H361" s="8"/>
      <c r="I361" s="8"/>
      <c r="J361" s="8"/>
      <c r="K361" s="8"/>
      <c r="L361" s="8"/>
      <c r="M361" s="8"/>
      <c r="N361" s="8"/>
      <c r="O361" s="8"/>
      <c r="P361" s="8"/>
      <c r="Q361" s="8"/>
      <c r="R361" s="79"/>
      <c r="S361" s="79"/>
      <c r="T361" s="79"/>
      <c r="U361" s="34"/>
      <c r="V361" s="34"/>
    </row>
    <row r="362" spans="1:22" ht="12.75" customHeight="1" x14ac:dyDescent="0.2">
      <c r="A362" s="38"/>
      <c r="B362" s="38"/>
      <c r="C362" s="8"/>
      <c r="D362" s="8"/>
      <c r="E362" s="8"/>
      <c r="F362" s="8"/>
      <c r="G362" s="8"/>
      <c r="H362" s="8"/>
      <c r="I362" s="8"/>
      <c r="J362" s="8"/>
      <c r="K362" s="8"/>
      <c r="L362" s="8"/>
      <c r="M362" s="8"/>
      <c r="N362" s="8"/>
      <c r="O362" s="8"/>
      <c r="P362" s="8"/>
      <c r="Q362" s="8"/>
      <c r="R362" s="79"/>
      <c r="S362" s="79"/>
      <c r="T362" s="79"/>
      <c r="U362" s="34"/>
      <c r="V362" s="34"/>
    </row>
    <row r="363" spans="1:22" ht="12.75" customHeight="1" x14ac:dyDescent="0.2">
      <c r="A363" s="38"/>
      <c r="B363" s="38"/>
      <c r="C363" s="8"/>
      <c r="D363" s="8"/>
      <c r="E363" s="8"/>
      <c r="F363" s="8"/>
      <c r="G363" s="8"/>
      <c r="H363" s="8"/>
      <c r="I363" s="8"/>
      <c r="J363" s="8"/>
      <c r="K363" s="8"/>
      <c r="L363" s="8"/>
      <c r="M363" s="8"/>
      <c r="N363" s="8"/>
      <c r="O363" s="8"/>
      <c r="P363" s="8"/>
      <c r="Q363" s="8"/>
      <c r="R363" s="79"/>
      <c r="S363" s="79"/>
      <c r="T363" s="79"/>
      <c r="U363" s="34"/>
      <c r="V363" s="34"/>
    </row>
    <row r="364" spans="1:22" ht="12.75" customHeight="1" x14ac:dyDescent="0.2">
      <c r="A364" s="38"/>
      <c r="B364" s="38"/>
      <c r="C364" s="8"/>
      <c r="D364" s="8"/>
      <c r="E364" s="8"/>
      <c r="F364" s="8"/>
      <c r="G364" s="8"/>
      <c r="H364" s="8"/>
      <c r="I364" s="8"/>
      <c r="J364" s="8"/>
      <c r="K364" s="8"/>
      <c r="L364" s="8"/>
      <c r="M364" s="8"/>
      <c r="N364" s="8"/>
      <c r="O364" s="8"/>
      <c r="P364" s="8"/>
      <c r="Q364" s="8"/>
      <c r="R364" s="79"/>
      <c r="S364" s="79"/>
      <c r="T364" s="79"/>
      <c r="U364" s="34"/>
      <c r="V364" s="34"/>
    </row>
    <row r="365" spans="1:22" ht="12.75" customHeight="1" x14ac:dyDescent="0.2">
      <c r="A365" s="38"/>
      <c r="B365" s="38"/>
      <c r="C365" s="8"/>
      <c r="D365" s="8"/>
      <c r="E365" s="8"/>
      <c r="F365" s="8"/>
      <c r="G365" s="8"/>
      <c r="H365" s="8"/>
      <c r="I365" s="8"/>
      <c r="J365" s="8"/>
      <c r="K365" s="8"/>
      <c r="L365" s="8"/>
      <c r="M365" s="8"/>
      <c r="N365" s="8"/>
      <c r="O365" s="8"/>
      <c r="P365" s="8"/>
      <c r="Q365" s="8"/>
      <c r="R365" s="79"/>
      <c r="S365" s="79"/>
      <c r="T365" s="79"/>
      <c r="U365" s="34"/>
      <c r="V365" s="34"/>
    </row>
    <row r="366" spans="1:22" ht="12.75" customHeight="1" x14ac:dyDescent="0.2">
      <c r="A366" s="38"/>
      <c r="B366" s="38"/>
      <c r="C366" s="8"/>
      <c r="D366" s="8"/>
      <c r="E366" s="8"/>
      <c r="F366" s="8"/>
      <c r="G366" s="8"/>
      <c r="H366" s="8"/>
      <c r="I366" s="8"/>
      <c r="J366" s="8"/>
      <c r="K366" s="8"/>
      <c r="L366" s="8"/>
      <c r="M366" s="8"/>
      <c r="N366" s="8"/>
      <c r="O366" s="8"/>
      <c r="P366" s="8"/>
      <c r="Q366" s="8"/>
      <c r="R366" s="79"/>
      <c r="S366" s="79"/>
      <c r="T366" s="79"/>
      <c r="U366" s="34"/>
      <c r="V366" s="34"/>
    </row>
    <row r="367" spans="1:22" ht="12.75" customHeight="1" x14ac:dyDescent="0.2">
      <c r="A367" s="38"/>
      <c r="B367" s="38"/>
      <c r="C367" s="8"/>
      <c r="D367" s="8"/>
      <c r="E367" s="8"/>
      <c r="F367" s="8"/>
      <c r="G367" s="8"/>
      <c r="H367" s="8"/>
      <c r="I367" s="8"/>
      <c r="J367" s="8"/>
      <c r="K367" s="8"/>
      <c r="L367" s="8"/>
      <c r="M367" s="8"/>
      <c r="N367" s="8"/>
      <c r="O367" s="8"/>
      <c r="P367" s="8"/>
      <c r="Q367" s="8"/>
      <c r="R367" s="79"/>
      <c r="S367" s="79"/>
      <c r="T367" s="79"/>
      <c r="U367" s="34"/>
      <c r="V367" s="34"/>
    </row>
    <row r="368" spans="1:22" ht="12.75" customHeight="1" x14ac:dyDescent="0.2">
      <c r="A368" s="38"/>
      <c r="B368" s="38"/>
      <c r="C368" s="8"/>
      <c r="D368" s="8"/>
      <c r="E368" s="8"/>
      <c r="F368" s="8"/>
      <c r="G368" s="8"/>
      <c r="H368" s="8"/>
      <c r="I368" s="8"/>
      <c r="J368" s="8"/>
      <c r="K368" s="8"/>
      <c r="L368" s="8"/>
      <c r="M368" s="8"/>
      <c r="N368" s="8"/>
      <c r="O368" s="8"/>
      <c r="P368" s="8"/>
      <c r="Q368" s="8"/>
      <c r="R368" s="79"/>
      <c r="S368" s="79"/>
      <c r="T368" s="79"/>
      <c r="U368" s="34"/>
      <c r="V368" s="34"/>
    </row>
    <row r="369" spans="1:22" ht="12.75" customHeight="1" x14ac:dyDescent="0.2">
      <c r="A369" s="38"/>
      <c r="B369" s="38"/>
      <c r="C369" s="8"/>
      <c r="D369" s="8"/>
      <c r="E369" s="8"/>
      <c r="F369" s="8"/>
      <c r="G369" s="8"/>
      <c r="H369" s="8"/>
      <c r="I369" s="8"/>
      <c r="J369" s="8"/>
      <c r="K369" s="8"/>
      <c r="L369" s="8"/>
      <c r="M369" s="8"/>
      <c r="N369" s="8"/>
      <c r="O369" s="8"/>
      <c r="P369" s="8"/>
      <c r="Q369" s="8"/>
      <c r="R369" s="79"/>
      <c r="S369" s="79"/>
      <c r="T369" s="79"/>
      <c r="U369" s="34"/>
      <c r="V369" s="34"/>
    </row>
    <row r="370" spans="1:22" ht="12.75" customHeight="1" x14ac:dyDescent="0.2">
      <c r="A370" s="38"/>
      <c r="B370" s="38"/>
      <c r="C370" s="8"/>
      <c r="D370" s="8"/>
      <c r="E370" s="8"/>
      <c r="F370" s="8"/>
      <c r="G370" s="8"/>
      <c r="H370" s="8"/>
      <c r="I370" s="8"/>
      <c r="J370" s="8"/>
      <c r="K370" s="8"/>
      <c r="L370" s="8"/>
      <c r="M370" s="8"/>
      <c r="N370" s="8"/>
      <c r="O370" s="8"/>
      <c r="P370" s="8"/>
      <c r="Q370" s="8"/>
      <c r="R370" s="79"/>
      <c r="S370" s="79"/>
      <c r="T370" s="79"/>
      <c r="U370" s="34"/>
      <c r="V370" s="34"/>
    </row>
    <row r="371" spans="1:22" ht="12.75" customHeight="1" x14ac:dyDescent="0.2">
      <c r="A371" s="38"/>
      <c r="B371" s="38"/>
      <c r="C371" s="8"/>
      <c r="D371" s="8"/>
      <c r="E371" s="8"/>
      <c r="F371" s="8"/>
      <c r="G371" s="8"/>
      <c r="H371" s="8"/>
      <c r="I371" s="8"/>
      <c r="J371" s="8"/>
      <c r="K371" s="8"/>
      <c r="L371" s="8"/>
      <c r="M371" s="8"/>
      <c r="N371" s="8"/>
      <c r="O371" s="8"/>
      <c r="P371" s="8"/>
      <c r="Q371" s="8"/>
      <c r="R371" s="79"/>
      <c r="S371" s="79"/>
      <c r="T371" s="79"/>
      <c r="U371" s="34"/>
      <c r="V371" s="34"/>
    </row>
    <row r="372" spans="1:22" ht="12.75" customHeight="1" x14ac:dyDescent="0.2">
      <c r="A372" s="38"/>
      <c r="B372" s="38"/>
      <c r="C372" s="8"/>
      <c r="D372" s="8"/>
      <c r="E372" s="8"/>
      <c r="F372" s="8"/>
      <c r="G372" s="8"/>
      <c r="H372" s="8"/>
      <c r="I372" s="8"/>
      <c r="J372" s="8"/>
      <c r="K372" s="8"/>
      <c r="L372" s="8"/>
      <c r="M372" s="8"/>
      <c r="N372" s="8"/>
      <c r="O372" s="8"/>
      <c r="P372" s="8"/>
      <c r="Q372" s="8"/>
      <c r="R372" s="79"/>
      <c r="S372" s="79"/>
      <c r="T372" s="79"/>
      <c r="U372" s="34"/>
      <c r="V372" s="34"/>
    </row>
    <row r="373" spans="1:22" ht="12.75" customHeight="1" x14ac:dyDescent="0.2">
      <c r="A373" s="38"/>
      <c r="B373" s="38"/>
      <c r="C373" s="8"/>
      <c r="D373" s="8"/>
      <c r="E373" s="8"/>
      <c r="F373" s="8"/>
      <c r="G373" s="8"/>
      <c r="H373" s="8"/>
      <c r="I373" s="8"/>
      <c r="J373" s="8"/>
      <c r="K373" s="8"/>
      <c r="L373" s="8"/>
      <c r="M373" s="8"/>
      <c r="N373" s="8"/>
      <c r="O373" s="8"/>
      <c r="P373" s="8"/>
      <c r="Q373" s="8"/>
      <c r="R373" s="79"/>
      <c r="S373" s="79"/>
      <c r="T373" s="79"/>
      <c r="U373" s="34"/>
      <c r="V373" s="34"/>
    </row>
    <row r="374" spans="1:22" ht="12.75" customHeight="1" x14ac:dyDescent="0.2">
      <c r="A374" s="38"/>
      <c r="B374" s="38"/>
      <c r="C374" s="8"/>
      <c r="D374" s="8"/>
      <c r="E374" s="8"/>
      <c r="F374" s="8"/>
      <c r="G374" s="8"/>
      <c r="H374" s="8"/>
      <c r="I374" s="8"/>
      <c r="J374" s="8"/>
      <c r="K374" s="8"/>
      <c r="L374" s="8"/>
      <c r="M374" s="8"/>
      <c r="N374" s="8"/>
      <c r="O374" s="8"/>
      <c r="P374" s="8"/>
      <c r="Q374" s="8"/>
      <c r="R374" s="79"/>
      <c r="S374" s="79"/>
      <c r="T374" s="79"/>
      <c r="U374" s="34"/>
      <c r="V374" s="34"/>
    </row>
    <row r="375" spans="1:22" ht="12.75" customHeight="1" x14ac:dyDescent="0.2">
      <c r="A375" s="38"/>
      <c r="B375" s="38"/>
      <c r="C375" s="8"/>
      <c r="D375" s="8"/>
      <c r="E375" s="8"/>
      <c r="F375" s="8"/>
      <c r="G375" s="8"/>
      <c r="H375" s="8"/>
      <c r="I375" s="8"/>
      <c r="J375" s="8"/>
      <c r="K375" s="8"/>
      <c r="L375" s="8"/>
      <c r="M375" s="8"/>
      <c r="N375" s="8"/>
      <c r="O375" s="8"/>
      <c r="P375" s="8"/>
      <c r="Q375" s="8"/>
      <c r="R375" s="79"/>
      <c r="S375" s="79"/>
      <c r="T375" s="79"/>
      <c r="U375" s="34"/>
      <c r="V375" s="34"/>
    </row>
    <row r="376" spans="1:22" ht="12.75" customHeight="1" x14ac:dyDescent="0.2">
      <c r="A376" s="38"/>
      <c r="B376" s="38"/>
      <c r="C376" s="8"/>
      <c r="D376" s="8"/>
      <c r="E376" s="8"/>
      <c r="F376" s="8"/>
      <c r="G376" s="8"/>
      <c r="H376" s="8"/>
      <c r="I376" s="8"/>
      <c r="J376" s="8"/>
      <c r="K376" s="8"/>
      <c r="L376" s="8"/>
      <c r="M376" s="8"/>
      <c r="N376" s="8"/>
      <c r="O376" s="8"/>
      <c r="P376" s="8"/>
      <c r="Q376" s="8"/>
      <c r="R376" s="79"/>
      <c r="S376" s="79"/>
      <c r="T376" s="79"/>
      <c r="U376" s="34"/>
      <c r="V376" s="34"/>
    </row>
    <row r="377" spans="1:22" ht="12.75" customHeight="1" x14ac:dyDescent="0.2">
      <c r="A377" s="38"/>
      <c r="B377" s="38"/>
      <c r="C377" s="8"/>
      <c r="D377" s="8"/>
      <c r="E377" s="8"/>
      <c r="F377" s="8"/>
      <c r="G377" s="8"/>
      <c r="H377" s="8"/>
      <c r="I377" s="8"/>
      <c r="J377" s="8"/>
      <c r="K377" s="8"/>
      <c r="L377" s="8"/>
      <c r="M377" s="8"/>
      <c r="N377" s="8"/>
      <c r="O377" s="8"/>
      <c r="P377" s="8"/>
      <c r="Q377" s="8"/>
      <c r="R377" s="79"/>
      <c r="S377" s="79"/>
      <c r="T377" s="79"/>
      <c r="U377" s="34"/>
      <c r="V377" s="34"/>
    </row>
    <row r="378" spans="1:22" ht="12.75" customHeight="1" x14ac:dyDescent="0.2">
      <c r="A378" s="38"/>
      <c r="B378" s="38"/>
      <c r="C378" s="8"/>
      <c r="D378" s="8"/>
      <c r="E378" s="8"/>
      <c r="F378" s="8"/>
      <c r="G378" s="8"/>
      <c r="H378" s="8"/>
      <c r="I378" s="8"/>
      <c r="J378" s="8"/>
      <c r="K378" s="8"/>
      <c r="L378" s="8"/>
      <c r="M378" s="8"/>
      <c r="N378" s="8"/>
      <c r="O378" s="8"/>
      <c r="P378" s="8"/>
      <c r="Q378" s="8"/>
      <c r="R378" s="79"/>
      <c r="S378" s="79"/>
      <c r="T378" s="79"/>
      <c r="U378" s="34"/>
      <c r="V378" s="34"/>
    </row>
    <row r="379" spans="1:22" ht="12.75" customHeight="1" x14ac:dyDescent="0.2">
      <c r="A379" s="38"/>
      <c r="B379" s="38"/>
      <c r="C379" s="8"/>
      <c r="D379" s="8"/>
      <c r="E379" s="8"/>
      <c r="F379" s="8"/>
      <c r="G379" s="8"/>
      <c r="H379" s="8"/>
      <c r="I379" s="8"/>
      <c r="J379" s="8"/>
      <c r="K379" s="8"/>
      <c r="L379" s="8"/>
      <c r="M379" s="8"/>
      <c r="N379" s="8"/>
      <c r="O379" s="8"/>
      <c r="P379" s="8"/>
      <c r="Q379" s="8"/>
      <c r="R379" s="79"/>
      <c r="S379" s="79"/>
      <c r="T379" s="79"/>
      <c r="U379" s="34"/>
      <c r="V379" s="34"/>
    </row>
    <row r="380" spans="1:22" ht="12.75" customHeight="1" x14ac:dyDescent="0.2">
      <c r="A380" s="38"/>
      <c r="B380" s="38"/>
      <c r="C380" s="8"/>
      <c r="D380" s="8"/>
      <c r="E380" s="8"/>
      <c r="F380" s="8"/>
      <c r="G380" s="8"/>
      <c r="H380" s="8"/>
      <c r="I380" s="8"/>
      <c r="J380" s="8"/>
      <c r="K380" s="8"/>
      <c r="L380" s="8"/>
      <c r="M380" s="8"/>
      <c r="N380" s="8"/>
      <c r="O380" s="8"/>
      <c r="P380" s="8"/>
      <c r="Q380" s="8"/>
      <c r="R380" s="79"/>
      <c r="S380" s="79"/>
      <c r="T380" s="79"/>
      <c r="U380" s="34"/>
      <c r="V380" s="34"/>
    </row>
    <row r="381" spans="1:22" ht="12.75" customHeight="1" x14ac:dyDescent="0.2">
      <c r="A381" s="38"/>
      <c r="B381" s="38"/>
      <c r="C381" s="8"/>
      <c r="D381" s="8"/>
      <c r="E381" s="8"/>
      <c r="F381" s="8"/>
      <c r="G381" s="8"/>
      <c r="H381" s="8"/>
      <c r="I381" s="8"/>
      <c r="J381" s="8"/>
      <c r="K381" s="8"/>
      <c r="L381" s="8"/>
      <c r="M381" s="8"/>
      <c r="N381" s="8"/>
      <c r="O381" s="8"/>
      <c r="P381" s="8"/>
      <c r="Q381" s="8"/>
      <c r="R381" s="79"/>
      <c r="S381" s="79"/>
      <c r="T381" s="79"/>
      <c r="U381" s="34"/>
      <c r="V381" s="34"/>
    </row>
    <row r="382" spans="1:22" ht="12.75" customHeight="1" x14ac:dyDescent="0.2">
      <c r="A382" s="38"/>
      <c r="B382" s="38"/>
      <c r="C382" s="8"/>
      <c r="D382" s="8"/>
      <c r="E382" s="8"/>
      <c r="F382" s="8"/>
      <c r="G382" s="8"/>
      <c r="H382" s="8"/>
      <c r="I382" s="8"/>
      <c r="J382" s="8"/>
      <c r="K382" s="8"/>
      <c r="L382" s="8"/>
      <c r="M382" s="8"/>
      <c r="N382" s="8"/>
      <c r="O382" s="8"/>
      <c r="P382" s="8"/>
      <c r="Q382" s="8"/>
      <c r="R382" s="79"/>
      <c r="S382" s="79"/>
      <c r="T382" s="79"/>
      <c r="U382" s="34"/>
      <c r="V382" s="34"/>
    </row>
    <row r="383" spans="1:22" ht="12.75" customHeight="1" x14ac:dyDescent="0.2">
      <c r="A383" s="38"/>
      <c r="B383" s="38"/>
      <c r="C383" s="8"/>
      <c r="D383" s="8"/>
      <c r="E383" s="8"/>
      <c r="F383" s="8"/>
      <c r="G383" s="8"/>
      <c r="H383" s="8"/>
      <c r="I383" s="8"/>
      <c r="J383" s="8"/>
      <c r="K383" s="8"/>
      <c r="L383" s="8"/>
      <c r="M383" s="8"/>
      <c r="N383" s="8"/>
      <c r="O383" s="8"/>
      <c r="P383" s="8"/>
      <c r="Q383" s="8"/>
      <c r="R383" s="79"/>
      <c r="S383" s="79"/>
      <c r="T383" s="79"/>
      <c r="U383" s="34"/>
      <c r="V383" s="34"/>
    </row>
    <row r="384" spans="1:22" ht="12.75" customHeight="1" x14ac:dyDescent="0.2">
      <c r="A384" s="38"/>
      <c r="B384" s="38"/>
      <c r="C384" s="8"/>
      <c r="D384" s="8"/>
      <c r="E384" s="8"/>
      <c r="F384" s="8"/>
      <c r="G384" s="8"/>
      <c r="H384" s="8"/>
      <c r="I384" s="8"/>
      <c r="J384" s="8"/>
      <c r="K384" s="8"/>
      <c r="L384" s="8"/>
      <c r="M384" s="8"/>
      <c r="N384" s="8"/>
      <c r="O384" s="8"/>
      <c r="P384" s="8"/>
      <c r="Q384" s="8"/>
      <c r="R384" s="79"/>
      <c r="S384" s="79"/>
      <c r="T384" s="79"/>
      <c r="U384" s="34"/>
      <c r="V384" s="34"/>
    </row>
    <row r="385" spans="1:22" ht="12.75" customHeight="1" x14ac:dyDescent="0.2">
      <c r="A385" s="38"/>
      <c r="B385" s="38"/>
      <c r="C385" s="8"/>
      <c r="D385" s="8"/>
      <c r="E385" s="8"/>
      <c r="F385" s="8"/>
      <c r="G385" s="8"/>
      <c r="H385" s="8"/>
      <c r="I385" s="8"/>
      <c r="J385" s="8"/>
      <c r="K385" s="8"/>
      <c r="L385" s="8"/>
      <c r="M385" s="8"/>
      <c r="N385" s="8"/>
      <c r="O385" s="8"/>
      <c r="P385" s="8"/>
      <c r="Q385" s="8"/>
      <c r="R385" s="79"/>
      <c r="S385" s="79"/>
      <c r="T385" s="79"/>
      <c r="U385" s="34"/>
      <c r="V385" s="34"/>
    </row>
    <row r="386" spans="1:22" ht="12.75" customHeight="1" x14ac:dyDescent="0.2">
      <c r="A386" s="38"/>
      <c r="B386" s="38"/>
      <c r="C386" s="8"/>
      <c r="D386" s="8"/>
      <c r="E386" s="8"/>
      <c r="F386" s="8"/>
      <c r="G386" s="8"/>
      <c r="H386" s="8"/>
      <c r="I386" s="8"/>
      <c r="J386" s="8"/>
      <c r="K386" s="8"/>
      <c r="L386" s="8"/>
      <c r="M386" s="8"/>
      <c r="N386" s="8"/>
      <c r="O386" s="8"/>
      <c r="P386" s="8"/>
      <c r="Q386" s="8"/>
      <c r="R386" s="79"/>
      <c r="S386" s="79"/>
      <c r="T386" s="79"/>
      <c r="U386" s="34"/>
      <c r="V386" s="34"/>
    </row>
    <row r="387" spans="1:22" ht="12.75" customHeight="1" x14ac:dyDescent="0.2">
      <c r="A387" s="38"/>
      <c r="B387" s="38"/>
      <c r="C387" s="8"/>
      <c r="D387" s="8"/>
      <c r="E387" s="8"/>
      <c r="F387" s="8"/>
      <c r="G387" s="8"/>
      <c r="H387" s="8"/>
      <c r="I387" s="8"/>
      <c r="J387" s="8"/>
      <c r="K387" s="8"/>
      <c r="L387" s="8"/>
      <c r="M387" s="8"/>
      <c r="N387" s="8"/>
      <c r="O387" s="8"/>
      <c r="P387" s="8"/>
      <c r="Q387" s="8"/>
      <c r="R387" s="79"/>
      <c r="S387" s="79"/>
      <c r="T387" s="79"/>
      <c r="U387" s="34"/>
      <c r="V387" s="34"/>
    </row>
    <row r="388" spans="1:22" ht="12.75" customHeight="1" x14ac:dyDescent="0.2">
      <c r="A388" s="38"/>
      <c r="B388" s="38"/>
      <c r="C388" s="8"/>
      <c r="D388" s="8"/>
      <c r="E388" s="8"/>
      <c r="F388" s="8"/>
      <c r="G388" s="8"/>
      <c r="H388" s="8"/>
      <c r="I388" s="8"/>
      <c r="J388" s="8"/>
      <c r="K388" s="8"/>
      <c r="L388" s="8"/>
      <c r="M388" s="8"/>
      <c r="N388" s="8"/>
      <c r="O388" s="8"/>
      <c r="P388" s="8"/>
      <c r="Q388" s="8"/>
      <c r="R388" s="79"/>
      <c r="S388" s="79"/>
      <c r="T388" s="79"/>
      <c r="U388" s="34"/>
      <c r="V388" s="34"/>
    </row>
    <row r="389" spans="1:22" ht="12.75" customHeight="1" x14ac:dyDescent="0.2">
      <c r="A389" s="38"/>
      <c r="B389" s="38"/>
      <c r="C389" s="8"/>
      <c r="D389" s="8"/>
      <c r="E389" s="8"/>
      <c r="F389" s="8"/>
      <c r="G389" s="8"/>
      <c r="H389" s="8"/>
      <c r="I389" s="8"/>
      <c r="J389" s="8"/>
      <c r="K389" s="8"/>
      <c r="L389" s="8"/>
      <c r="M389" s="8"/>
      <c r="N389" s="8"/>
      <c r="O389" s="8"/>
      <c r="P389" s="8"/>
      <c r="Q389" s="8"/>
      <c r="R389" s="79"/>
      <c r="S389" s="79"/>
      <c r="T389" s="79"/>
      <c r="U389" s="34"/>
      <c r="V389" s="34"/>
    </row>
    <row r="390" spans="1:22" ht="12.75" customHeight="1" x14ac:dyDescent="0.2">
      <c r="A390" s="38"/>
      <c r="B390" s="38"/>
      <c r="C390" s="8"/>
      <c r="D390" s="8"/>
      <c r="E390" s="8"/>
      <c r="F390" s="8"/>
      <c r="G390" s="8"/>
      <c r="H390" s="8"/>
      <c r="I390" s="8"/>
      <c r="J390" s="8"/>
      <c r="K390" s="8"/>
      <c r="L390" s="8"/>
      <c r="M390" s="8"/>
      <c r="N390" s="8"/>
      <c r="O390" s="8"/>
      <c r="P390" s="8"/>
      <c r="Q390" s="8"/>
      <c r="R390" s="79"/>
      <c r="S390" s="79"/>
      <c r="T390" s="79"/>
      <c r="U390" s="34"/>
      <c r="V390" s="34"/>
    </row>
    <row r="391" spans="1:22" ht="12.75" customHeight="1" x14ac:dyDescent="0.2">
      <c r="A391" s="38"/>
      <c r="B391" s="38"/>
      <c r="C391" s="8"/>
      <c r="D391" s="8"/>
      <c r="E391" s="8"/>
      <c r="F391" s="8"/>
      <c r="G391" s="8"/>
      <c r="H391" s="8"/>
      <c r="I391" s="8"/>
      <c r="J391" s="8"/>
      <c r="K391" s="8"/>
      <c r="L391" s="8"/>
      <c r="M391" s="8"/>
      <c r="N391" s="8"/>
      <c r="O391" s="8"/>
      <c r="P391" s="8"/>
      <c r="Q391" s="8"/>
      <c r="R391" s="79"/>
      <c r="S391" s="79"/>
      <c r="T391" s="79"/>
      <c r="U391" s="34"/>
      <c r="V391" s="34"/>
    </row>
    <row r="392" spans="1:22" ht="12.75" customHeight="1" x14ac:dyDescent="0.2">
      <c r="A392" s="38"/>
      <c r="B392" s="38"/>
      <c r="C392" s="8"/>
      <c r="D392" s="8"/>
      <c r="E392" s="8"/>
      <c r="F392" s="8"/>
      <c r="G392" s="8"/>
      <c r="H392" s="8"/>
      <c r="I392" s="8"/>
      <c r="J392" s="8"/>
      <c r="K392" s="8"/>
      <c r="L392" s="8"/>
      <c r="M392" s="8"/>
      <c r="N392" s="8"/>
      <c r="O392" s="8"/>
      <c r="P392" s="8"/>
      <c r="Q392" s="8"/>
      <c r="R392" s="79"/>
      <c r="S392" s="79"/>
      <c r="T392" s="79"/>
      <c r="U392" s="34"/>
      <c r="V392" s="34"/>
    </row>
    <row r="393" spans="1:22" ht="12.75" customHeight="1" x14ac:dyDescent="0.2">
      <c r="A393" s="38"/>
      <c r="B393" s="38"/>
      <c r="C393" s="8"/>
      <c r="D393" s="8"/>
      <c r="E393" s="8"/>
      <c r="F393" s="8"/>
      <c r="G393" s="8"/>
      <c r="H393" s="8"/>
      <c r="I393" s="8"/>
      <c r="J393" s="8"/>
      <c r="K393" s="8"/>
      <c r="L393" s="8"/>
      <c r="M393" s="8"/>
      <c r="N393" s="8"/>
      <c r="O393" s="8"/>
      <c r="P393" s="8"/>
      <c r="Q393" s="8"/>
      <c r="R393" s="79"/>
      <c r="S393" s="79"/>
      <c r="T393" s="79"/>
      <c r="U393" s="34"/>
      <c r="V393" s="34"/>
    </row>
    <row r="394" spans="1:22" ht="12.75" customHeight="1" x14ac:dyDescent="0.2">
      <c r="A394" s="38"/>
      <c r="B394" s="38"/>
      <c r="C394" s="8"/>
      <c r="D394" s="8"/>
      <c r="E394" s="8"/>
      <c r="F394" s="8"/>
      <c r="G394" s="8"/>
      <c r="H394" s="8"/>
      <c r="I394" s="8"/>
      <c r="J394" s="8"/>
      <c r="K394" s="8"/>
      <c r="L394" s="8"/>
      <c r="M394" s="8"/>
      <c r="N394" s="8"/>
      <c r="O394" s="8"/>
      <c r="P394" s="8"/>
      <c r="Q394" s="8"/>
      <c r="R394" s="79"/>
      <c r="S394" s="79"/>
      <c r="T394" s="79"/>
      <c r="U394" s="34"/>
      <c r="V394" s="34"/>
    </row>
    <row r="395" spans="1:22" ht="12.75" customHeight="1" x14ac:dyDescent="0.2">
      <c r="A395" s="38"/>
      <c r="B395" s="38"/>
      <c r="C395" s="8"/>
      <c r="D395" s="8"/>
      <c r="E395" s="8"/>
      <c r="F395" s="8"/>
      <c r="G395" s="8"/>
      <c r="H395" s="8"/>
      <c r="I395" s="8"/>
      <c r="J395" s="8"/>
      <c r="K395" s="8"/>
      <c r="L395" s="8"/>
      <c r="M395" s="8"/>
      <c r="N395" s="8"/>
      <c r="O395" s="8"/>
      <c r="P395" s="8"/>
      <c r="Q395" s="8"/>
      <c r="R395" s="79"/>
      <c r="S395" s="79"/>
      <c r="T395" s="79"/>
      <c r="U395" s="34"/>
      <c r="V395" s="34"/>
    </row>
    <row r="396" spans="1:22" ht="12.75" customHeight="1" x14ac:dyDescent="0.2">
      <c r="A396" s="38"/>
      <c r="B396" s="38"/>
      <c r="C396" s="8"/>
      <c r="D396" s="8"/>
      <c r="E396" s="8"/>
      <c r="F396" s="8"/>
      <c r="G396" s="8"/>
      <c r="H396" s="8"/>
      <c r="I396" s="8"/>
      <c r="J396" s="8"/>
      <c r="K396" s="8"/>
      <c r="L396" s="8"/>
      <c r="M396" s="8"/>
      <c r="N396" s="8"/>
      <c r="O396" s="8"/>
      <c r="P396" s="8"/>
      <c r="Q396" s="8"/>
      <c r="R396" s="79"/>
      <c r="S396" s="79"/>
      <c r="T396" s="79"/>
      <c r="U396" s="34"/>
      <c r="V396" s="34"/>
    </row>
    <row r="397" spans="1:22" ht="12.75" customHeight="1" x14ac:dyDescent="0.2">
      <c r="A397" s="38"/>
      <c r="B397" s="38"/>
      <c r="C397" s="8"/>
      <c r="D397" s="8"/>
      <c r="E397" s="8"/>
      <c r="F397" s="8"/>
      <c r="G397" s="8"/>
      <c r="H397" s="8"/>
      <c r="I397" s="8"/>
      <c r="J397" s="8"/>
      <c r="K397" s="8"/>
      <c r="L397" s="8"/>
      <c r="M397" s="8"/>
      <c r="N397" s="8"/>
      <c r="O397" s="8"/>
      <c r="P397" s="8"/>
      <c r="Q397" s="8"/>
      <c r="R397" s="79"/>
      <c r="S397" s="79"/>
      <c r="T397" s="79"/>
      <c r="U397" s="34"/>
      <c r="V397" s="34"/>
    </row>
    <row r="398" spans="1:22" ht="12.75" customHeight="1" x14ac:dyDescent="0.2">
      <c r="A398" s="38"/>
      <c r="B398" s="38"/>
      <c r="C398" s="8"/>
      <c r="D398" s="8"/>
      <c r="E398" s="8"/>
      <c r="F398" s="8"/>
      <c r="G398" s="8"/>
      <c r="H398" s="8"/>
      <c r="I398" s="8"/>
      <c r="J398" s="8"/>
      <c r="K398" s="8"/>
      <c r="L398" s="8"/>
      <c r="M398" s="8"/>
      <c r="N398" s="8"/>
      <c r="O398" s="8"/>
      <c r="P398" s="8"/>
      <c r="Q398" s="8"/>
      <c r="R398" s="79"/>
      <c r="S398" s="79"/>
      <c r="T398" s="79"/>
      <c r="U398" s="34"/>
      <c r="V398" s="34"/>
    </row>
    <row r="399" spans="1:22" ht="12.75" customHeight="1" x14ac:dyDescent="0.2">
      <c r="A399" s="38"/>
      <c r="B399" s="38"/>
      <c r="C399" s="8"/>
      <c r="D399" s="8"/>
      <c r="E399" s="8"/>
      <c r="F399" s="8"/>
      <c r="G399" s="8"/>
      <c r="H399" s="8"/>
      <c r="I399" s="8"/>
      <c r="J399" s="8"/>
      <c r="K399" s="8"/>
      <c r="L399" s="8"/>
      <c r="M399" s="8"/>
      <c r="N399" s="8"/>
      <c r="O399" s="8"/>
      <c r="P399" s="8"/>
      <c r="Q399" s="8"/>
      <c r="R399" s="79"/>
      <c r="S399" s="79"/>
      <c r="T399" s="79"/>
      <c r="U399" s="34"/>
      <c r="V399" s="34"/>
    </row>
    <row r="400" spans="1:22" ht="12.75" customHeight="1" x14ac:dyDescent="0.2">
      <c r="A400" s="38"/>
      <c r="B400" s="38"/>
      <c r="C400" s="8"/>
      <c r="D400" s="8"/>
      <c r="E400" s="8"/>
      <c r="F400" s="8"/>
      <c r="G400" s="8"/>
      <c r="H400" s="8"/>
      <c r="I400" s="8"/>
      <c r="J400" s="8"/>
      <c r="K400" s="8"/>
      <c r="L400" s="8"/>
      <c r="M400" s="8"/>
      <c r="N400" s="8"/>
      <c r="O400" s="8"/>
      <c r="P400" s="8"/>
      <c r="Q400" s="8"/>
      <c r="R400" s="79"/>
      <c r="S400" s="79"/>
      <c r="T400" s="79"/>
      <c r="U400" s="34"/>
      <c r="V400" s="34"/>
    </row>
    <row r="401" spans="1:22" ht="12.75" customHeight="1" x14ac:dyDescent="0.2">
      <c r="A401" s="38"/>
      <c r="B401" s="38"/>
      <c r="C401" s="8"/>
      <c r="D401" s="8"/>
      <c r="E401" s="8"/>
      <c r="F401" s="8"/>
      <c r="G401" s="8"/>
      <c r="H401" s="8"/>
      <c r="I401" s="8"/>
      <c r="J401" s="8"/>
      <c r="K401" s="8"/>
      <c r="L401" s="8"/>
      <c r="M401" s="8"/>
      <c r="N401" s="8"/>
      <c r="O401" s="8"/>
      <c r="P401" s="8"/>
      <c r="Q401" s="8"/>
      <c r="R401" s="79"/>
      <c r="S401" s="79"/>
      <c r="T401" s="79"/>
      <c r="U401" s="34"/>
      <c r="V401" s="34"/>
    </row>
    <row r="402" spans="1:22" ht="12.75" customHeight="1" x14ac:dyDescent="0.2">
      <c r="A402" s="38"/>
      <c r="B402" s="38"/>
      <c r="C402" s="8"/>
      <c r="D402" s="8"/>
      <c r="E402" s="8"/>
      <c r="F402" s="8"/>
      <c r="G402" s="8"/>
      <c r="H402" s="8"/>
      <c r="I402" s="8"/>
      <c r="J402" s="8"/>
      <c r="K402" s="8"/>
      <c r="L402" s="8"/>
      <c r="M402" s="8"/>
      <c r="N402" s="8"/>
      <c r="O402" s="8"/>
      <c r="P402" s="8"/>
      <c r="Q402" s="8"/>
      <c r="R402" s="79"/>
      <c r="S402" s="79"/>
      <c r="T402" s="79"/>
      <c r="U402" s="34"/>
      <c r="V402" s="34"/>
    </row>
    <row r="403" spans="1:22" ht="12.75" customHeight="1" x14ac:dyDescent="0.2">
      <c r="A403" s="38"/>
      <c r="B403" s="38"/>
      <c r="C403" s="8"/>
      <c r="D403" s="8"/>
      <c r="E403" s="8"/>
      <c r="F403" s="8"/>
      <c r="G403" s="8"/>
      <c r="H403" s="8"/>
      <c r="I403" s="8"/>
      <c r="J403" s="8"/>
      <c r="K403" s="8"/>
      <c r="L403" s="8"/>
      <c r="M403" s="8"/>
      <c r="N403" s="8"/>
      <c r="O403" s="8"/>
      <c r="P403" s="8"/>
      <c r="Q403" s="8"/>
      <c r="R403" s="79"/>
      <c r="S403" s="79"/>
      <c r="T403" s="79"/>
      <c r="U403" s="34"/>
      <c r="V403" s="34"/>
    </row>
    <row r="404" spans="1:22" ht="12.75" customHeight="1" x14ac:dyDescent="0.2">
      <c r="A404" s="38"/>
      <c r="B404" s="38"/>
      <c r="C404" s="8"/>
      <c r="D404" s="8"/>
      <c r="E404" s="8"/>
      <c r="F404" s="8"/>
      <c r="G404" s="8"/>
      <c r="H404" s="8"/>
      <c r="I404" s="8"/>
      <c r="J404" s="8"/>
      <c r="K404" s="8"/>
      <c r="L404" s="8"/>
      <c r="M404" s="8"/>
      <c r="N404" s="8"/>
      <c r="O404" s="8"/>
      <c r="P404" s="8"/>
      <c r="Q404" s="8"/>
      <c r="R404" s="79"/>
      <c r="S404" s="79"/>
      <c r="T404" s="79"/>
      <c r="U404" s="34"/>
      <c r="V404" s="34"/>
    </row>
    <row r="405" spans="1:22" ht="12.75" customHeight="1" x14ac:dyDescent="0.2">
      <c r="A405" s="38"/>
      <c r="B405" s="38"/>
      <c r="C405" s="8"/>
      <c r="D405" s="8"/>
      <c r="E405" s="8"/>
      <c r="F405" s="8"/>
      <c r="G405" s="8"/>
      <c r="H405" s="8"/>
      <c r="I405" s="8"/>
      <c r="J405" s="8"/>
      <c r="K405" s="8"/>
      <c r="L405" s="8"/>
      <c r="M405" s="8"/>
      <c r="N405" s="8"/>
      <c r="O405" s="8"/>
      <c r="P405" s="8"/>
      <c r="Q405" s="8"/>
      <c r="R405" s="79"/>
      <c r="S405" s="79"/>
      <c r="T405" s="79"/>
      <c r="U405" s="34"/>
      <c r="V405" s="34"/>
    </row>
    <row r="406" spans="1:22" ht="12.75" customHeight="1" x14ac:dyDescent="0.2">
      <c r="A406" s="38"/>
      <c r="B406" s="38"/>
      <c r="C406" s="8"/>
      <c r="D406" s="8"/>
      <c r="E406" s="8"/>
      <c r="F406" s="8"/>
      <c r="G406" s="8"/>
      <c r="H406" s="8"/>
      <c r="I406" s="8"/>
      <c r="J406" s="8"/>
      <c r="K406" s="8"/>
      <c r="L406" s="8"/>
      <c r="M406" s="8"/>
      <c r="N406" s="8"/>
      <c r="O406" s="8"/>
      <c r="P406" s="8"/>
      <c r="Q406" s="8"/>
      <c r="R406" s="79"/>
      <c r="S406" s="79"/>
      <c r="T406" s="79"/>
      <c r="U406" s="34"/>
      <c r="V406" s="34"/>
    </row>
    <row r="407" spans="1:22" ht="12.75" customHeight="1" x14ac:dyDescent="0.2">
      <c r="A407" s="38"/>
      <c r="B407" s="38"/>
      <c r="C407" s="8"/>
      <c r="D407" s="8"/>
      <c r="E407" s="8"/>
      <c r="F407" s="8"/>
      <c r="G407" s="8"/>
      <c r="H407" s="8"/>
      <c r="I407" s="8"/>
      <c r="J407" s="8"/>
      <c r="K407" s="8"/>
      <c r="L407" s="8"/>
      <c r="M407" s="8"/>
      <c r="N407" s="8"/>
      <c r="O407" s="8"/>
      <c r="P407" s="8"/>
      <c r="Q407" s="8"/>
      <c r="R407" s="79"/>
      <c r="S407" s="79"/>
      <c r="T407" s="79"/>
      <c r="U407" s="34"/>
      <c r="V407" s="34"/>
    </row>
    <row r="408" spans="1:22" ht="12.75" customHeight="1" x14ac:dyDescent="0.2">
      <c r="A408" s="38"/>
      <c r="B408" s="38"/>
      <c r="C408" s="8"/>
      <c r="D408" s="8"/>
      <c r="E408" s="8"/>
      <c r="F408" s="8"/>
      <c r="G408" s="8"/>
      <c r="H408" s="8"/>
      <c r="I408" s="8"/>
      <c r="J408" s="8"/>
      <c r="K408" s="8"/>
      <c r="L408" s="8"/>
      <c r="M408" s="8"/>
      <c r="N408" s="8"/>
      <c r="O408" s="8"/>
      <c r="P408" s="8"/>
      <c r="Q408" s="8"/>
      <c r="R408" s="79"/>
      <c r="S408" s="79"/>
      <c r="T408" s="79"/>
      <c r="U408" s="34"/>
      <c r="V408" s="34"/>
    </row>
    <row r="409" spans="1:22" ht="12.75" customHeight="1" x14ac:dyDescent="0.2">
      <c r="A409" s="38"/>
      <c r="B409" s="38"/>
      <c r="C409" s="8"/>
      <c r="D409" s="8"/>
      <c r="E409" s="8"/>
      <c r="F409" s="8"/>
      <c r="G409" s="8"/>
      <c r="H409" s="8"/>
      <c r="I409" s="8"/>
      <c r="J409" s="8"/>
      <c r="K409" s="8"/>
      <c r="L409" s="8"/>
      <c r="M409" s="8"/>
      <c r="N409" s="8"/>
      <c r="O409" s="8"/>
      <c r="P409" s="8"/>
      <c r="Q409" s="8"/>
      <c r="R409" s="79"/>
      <c r="S409" s="79"/>
      <c r="T409" s="79"/>
      <c r="U409" s="34"/>
      <c r="V409" s="34"/>
    </row>
    <row r="410" spans="1:22" ht="12.75" customHeight="1" x14ac:dyDescent="0.2">
      <c r="A410" s="38"/>
      <c r="B410" s="38"/>
      <c r="C410" s="8"/>
      <c r="D410" s="8"/>
      <c r="E410" s="8"/>
      <c r="F410" s="8"/>
      <c r="G410" s="8"/>
      <c r="H410" s="8"/>
      <c r="I410" s="8"/>
      <c r="J410" s="8"/>
      <c r="K410" s="8"/>
      <c r="L410" s="8"/>
      <c r="M410" s="8"/>
      <c r="N410" s="8"/>
      <c r="O410" s="8"/>
      <c r="P410" s="8"/>
      <c r="Q410" s="8"/>
      <c r="R410" s="79"/>
      <c r="S410" s="79"/>
      <c r="T410" s="79"/>
      <c r="U410" s="34"/>
      <c r="V410" s="34"/>
    </row>
    <row r="411" spans="1:22" ht="12.75" customHeight="1" x14ac:dyDescent="0.2">
      <c r="A411" s="38"/>
      <c r="B411" s="38"/>
      <c r="C411" s="8"/>
      <c r="D411" s="8"/>
      <c r="E411" s="8"/>
      <c r="F411" s="8"/>
      <c r="G411" s="8"/>
      <c r="H411" s="8"/>
      <c r="I411" s="8"/>
      <c r="J411" s="8"/>
      <c r="K411" s="8"/>
      <c r="L411" s="8"/>
      <c r="M411" s="8"/>
      <c r="N411" s="8"/>
      <c r="O411" s="8"/>
      <c r="P411" s="8"/>
      <c r="Q411" s="8"/>
      <c r="R411" s="79"/>
      <c r="S411" s="79"/>
      <c r="T411" s="79"/>
      <c r="U411" s="34"/>
      <c r="V411" s="34"/>
    </row>
    <row r="412" spans="1:22" ht="12.75" customHeight="1" x14ac:dyDescent="0.2">
      <c r="A412" s="38"/>
      <c r="B412" s="38"/>
      <c r="C412" s="8"/>
      <c r="D412" s="8"/>
      <c r="E412" s="8"/>
      <c r="F412" s="8"/>
      <c r="G412" s="8"/>
      <c r="H412" s="8"/>
      <c r="I412" s="8"/>
      <c r="J412" s="8"/>
      <c r="K412" s="8"/>
      <c r="L412" s="8"/>
      <c r="M412" s="8"/>
      <c r="N412" s="8"/>
      <c r="O412" s="8"/>
      <c r="P412" s="8"/>
      <c r="Q412" s="8"/>
      <c r="R412" s="79"/>
      <c r="S412" s="79"/>
      <c r="T412" s="79"/>
      <c r="U412" s="34"/>
      <c r="V412" s="34"/>
    </row>
    <row r="413" spans="1:22" ht="12.75" customHeight="1" x14ac:dyDescent="0.2">
      <c r="A413" s="38"/>
      <c r="B413" s="38"/>
      <c r="C413" s="8"/>
      <c r="D413" s="8"/>
      <c r="E413" s="8"/>
      <c r="F413" s="8"/>
      <c r="G413" s="8"/>
      <c r="H413" s="8"/>
      <c r="I413" s="8"/>
      <c r="J413" s="8"/>
      <c r="K413" s="8"/>
      <c r="L413" s="8"/>
      <c r="M413" s="8"/>
      <c r="N413" s="8"/>
      <c r="O413" s="8"/>
      <c r="P413" s="8"/>
      <c r="Q413" s="8"/>
      <c r="R413" s="79"/>
      <c r="S413" s="79"/>
      <c r="T413" s="79"/>
      <c r="U413" s="34"/>
      <c r="V413" s="34"/>
    </row>
    <row r="414" spans="1:22" ht="12.75" customHeight="1" x14ac:dyDescent="0.2">
      <c r="A414" s="38"/>
      <c r="B414" s="38"/>
      <c r="C414" s="8"/>
      <c r="D414" s="8"/>
      <c r="E414" s="8"/>
      <c r="F414" s="8"/>
      <c r="G414" s="8"/>
      <c r="H414" s="8"/>
      <c r="I414" s="8"/>
      <c r="J414" s="8"/>
      <c r="K414" s="8"/>
      <c r="L414" s="8"/>
      <c r="M414" s="8"/>
      <c r="N414" s="8"/>
      <c r="O414" s="8"/>
      <c r="P414" s="8"/>
      <c r="Q414" s="8"/>
      <c r="R414" s="79"/>
      <c r="S414" s="79"/>
      <c r="T414" s="79"/>
      <c r="U414" s="34"/>
      <c r="V414" s="34"/>
    </row>
    <row r="415" spans="1:22" ht="12.75" customHeight="1" x14ac:dyDescent="0.2">
      <c r="A415" s="38"/>
      <c r="B415" s="38"/>
      <c r="C415" s="8"/>
      <c r="D415" s="8"/>
      <c r="E415" s="8"/>
      <c r="F415" s="8"/>
      <c r="G415" s="8"/>
      <c r="H415" s="8"/>
      <c r="I415" s="8"/>
      <c r="J415" s="8"/>
      <c r="K415" s="8"/>
      <c r="L415" s="8"/>
      <c r="M415" s="8"/>
      <c r="N415" s="8"/>
      <c r="O415" s="8"/>
      <c r="P415" s="8"/>
      <c r="Q415" s="8"/>
      <c r="R415" s="79"/>
      <c r="S415" s="79"/>
      <c r="T415" s="79"/>
      <c r="U415" s="34"/>
      <c r="V415" s="34"/>
    </row>
    <row r="416" spans="1:22" ht="12.75" customHeight="1" x14ac:dyDescent="0.2">
      <c r="A416" s="38"/>
      <c r="B416" s="38"/>
      <c r="C416" s="8"/>
      <c r="D416" s="8"/>
      <c r="E416" s="8"/>
      <c r="F416" s="8"/>
      <c r="G416" s="8"/>
      <c r="H416" s="8"/>
      <c r="I416" s="8"/>
      <c r="J416" s="8"/>
      <c r="K416" s="8"/>
      <c r="L416" s="8"/>
      <c r="M416" s="8"/>
      <c r="N416" s="8"/>
      <c r="O416" s="8"/>
      <c r="P416" s="8"/>
      <c r="Q416" s="8"/>
      <c r="R416" s="79"/>
      <c r="S416" s="79"/>
      <c r="T416" s="79"/>
      <c r="U416" s="34"/>
      <c r="V416" s="34"/>
    </row>
    <row r="417" spans="1:22" ht="12.75" customHeight="1" x14ac:dyDescent="0.2">
      <c r="A417" s="38"/>
      <c r="B417" s="38"/>
      <c r="C417" s="8"/>
      <c r="D417" s="8"/>
      <c r="E417" s="8"/>
      <c r="F417" s="8"/>
      <c r="G417" s="8"/>
      <c r="H417" s="8"/>
      <c r="I417" s="8"/>
      <c r="J417" s="8"/>
      <c r="K417" s="8"/>
      <c r="L417" s="8"/>
      <c r="M417" s="8"/>
      <c r="N417" s="8"/>
      <c r="O417" s="8"/>
      <c r="P417" s="8"/>
      <c r="Q417" s="8"/>
      <c r="R417" s="79"/>
      <c r="S417" s="79"/>
      <c r="T417" s="79"/>
      <c r="U417" s="34"/>
      <c r="V417" s="34"/>
    </row>
    <row r="418" spans="1:22" ht="12.75" customHeight="1" x14ac:dyDescent="0.2">
      <c r="A418" s="38"/>
      <c r="B418" s="38"/>
      <c r="C418" s="8"/>
      <c r="D418" s="8"/>
      <c r="E418" s="8"/>
      <c r="F418" s="8"/>
      <c r="G418" s="8"/>
      <c r="H418" s="8"/>
      <c r="I418" s="8"/>
      <c r="J418" s="8"/>
      <c r="K418" s="8"/>
      <c r="L418" s="8"/>
      <c r="M418" s="8"/>
      <c r="N418" s="8"/>
      <c r="O418" s="8"/>
      <c r="P418" s="8"/>
      <c r="Q418" s="8"/>
      <c r="R418" s="79"/>
      <c r="S418" s="79"/>
      <c r="T418" s="79"/>
      <c r="U418" s="34"/>
      <c r="V418" s="34"/>
    </row>
    <row r="419" spans="1:22" ht="12.75" customHeight="1" x14ac:dyDescent="0.2">
      <c r="A419" s="38"/>
      <c r="B419" s="38"/>
      <c r="C419" s="8"/>
      <c r="D419" s="8"/>
      <c r="E419" s="8"/>
      <c r="F419" s="8"/>
      <c r="G419" s="8"/>
      <c r="H419" s="8"/>
      <c r="I419" s="8"/>
      <c r="J419" s="8"/>
      <c r="K419" s="8"/>
      <c r="L419" s="8"/>
      <c r="M419" s="8"/>
      <c r="N419" s="8"/>
      <c r="O419" s="8"/>
      <c r="P419" s="8"/>
      <c r="Q419" s="8"/>
      <c r="R419" s="79"/>
      <c r="S419" s="79"/>
      <c r="T419" s="79"/>
      <c r="U419" s="34"/>
      <c r="V419" s="34"/>
    </row>
    <row r="420" spans="1:22" ht="12.75" customHeight="1" x14ac:dyDescent="0.2">
      <c r="A420" s="38"/>
      <c r="B420" s="38"/>
      <c r="C420" s="8"/>
      <c r="D420" s="8"/>
      <c r="E420" s="8"/>
      <c r="F420" s="8"/>
      <c r="G420" s="8"/>
      <c r="H420" s="8"/>
      <c r="I420" s="8"/>
      <c r="J420" s="8"/>
      <c r="K420" s="8"/>
      <c r="L420" s="8"/>
      <c r="M420" s="8"/>
      <c r="N420" s="8"/>
      <c r="O420" s="8"/>
      <c r="P420" s="8"/>
      <c r="Q420" s="8"/>
      <c r="R420" s="79"/>
      <c r="S420" s="79"/>
      <c r="T420" s="79"/>
      <c r="U420" s="34"/>
      <c r="V420" s="34"/>
    </row>
    <row r="421" spans="1:22" ht="12.75" customHeight="1" x14ac:dyDescent="0.2">
      <c r="A421" s="38"/>
      <c r="B421" s="38"/>
      <c r="C421" s="8"/>
      <c r="D421" s="8"/>
      <c r="E421" s="8"/>
      <c r="F421" s="8"/>
      <c r="G421" s="8"/>
      <c r="H421" s="8"/>
      <c r="I421" s="8"/>
      <c r="J421" s="8"/>
      <c r="K421" s="8"/>
      <c r="L421" s="8"/>
      <c r="M421" s="8"/>
      <c r="N421" s="8"/>
      <c r="O421" s="8"/>
      <c r="P421" s="8"/>
      <c r="Q421" s="8"/>
      <c r="R421" s="79"/>
      <c r="S421" s="79"/>
      <c r="T421" s="79"/>
      <c r="U421" s="34"/>
      <c r="V421" s="34"/>
    </row>
    <row r="422" spans="1:22" ht="12.75" customHeight="1" x14ac:dyDescent="0.2">
      <c r="A422" s="38"/>
      <c r="B422" s="38"/>
      <c r="C422" s="8"/>
      <c r="D422" s="8"/>
      <c r="E422" s="8"/>
      <c r="F422" s="8"/>
      <c r="G422" s="8"/>
      <c r="H422" s="8"/>
      <c r="I422" s="8"/>
      <c r="J422" s="8"/>
      <c r="K422" s="8"/>
      <c r="L422" s="8"/>
      <c r="M422" s="8"/>
      <c r="N422" s="8"/>
      <c r="O422" s="8"/>
      <c r="P422" s="8"/>
      <c r="Q422" s="8"/>
      <c r="R422" s="79"/>
      <c r="S422" s="79"/>
      <c r="T422" s="79"/>
      <c r="U422" s="34"/>
      <c r="V422" s="34"/>
    </row>
    <row r="423" spans="1:22" ht="12.75" customHeight="1" x14ac:dyDescent="0.2">
      <c r="A423" s="38"/>
      <c r="B423" s="38"/>
      <c r="C423" s="8"/>
      <c r="D423" s="8"/>
      <c r="E423" s="8"/>
      <c r="F423" s="8"/>
      <c r="G423" s="8"/>
      <c r="H423" s="8"/>
      <c r="I423" s="8"/>
      <c r="J423" s="8"/>
      <c r="K423" s="8"/>
      <c r="L423" s="8"/>
      <c r="M423" s="8"/>
      <c r="N423" s="8"/>
      <c r="O423" s="8"/>
      <c r="P423" s="8"/>
      <c r="Q423" s="8"/>
      <c r="R423" s="79"/>
      <c r="S423" s="79"/>
      <c r="T423" s="79"/>
      <c r="U423" s="34"/>
      <c r="V423" s="34"/>
    </row>
    <row r="424" spans="1:22" ht="12.75" customHeight="1" x14ac:dyDescent="0.2">
      <c r="A424" s="38"/>
      <c r="B424" s="38"/>
      <c r="C424" s="8"/>
      <c r="D424" s="8"/>
      <c r="E424" s="8"/>
      <c r="F424" s="8"/>
      <c r="G424" s="8"/>
      <c r="H424" s="8"/>
      <c r="I424" s="8"/>
      <c r="J424" s="8"/>
      <c r="K424" s="8"/>
      <c r="L424" s="8"/>
      <c r="M424" s="8"/>
      <c r="N424" s="8"/>
      <c r="O424" s="8"/>
      <c r="P424" s="8"/>
      <c r="Q424" s="8"/>
      <c r="R424" s="79"/>
      <c r="S424" s="79"/>
      <c r="T424" s="79"/>
      <c r="U424" s="34"/>
      <c r="V424" s="34"/>
    </row>
    <row r="425" spans="1:22" ht="12.75" customHeight="1" x14ac:dyDescent="0.2">
      <c r="A425" s="38"/>
      <c r="B425" s="38"/>
      <c r="C425" s="8"/>
      <c r="D425" s="8"/>
      <c r="E425" s="8"/>
      <c r="F425" s="8"/>
      <c r="G425" s="8"/>
      <c r="H425" s="8"/>
      <c r="I425" s="8"/>
      <c r="J425" s="8"/>
      <c r="K425" s="8"/>
      <c r="L425" s="8"/>
      <c r="M425" s="8"/>
      <c r="N425" s="8"/>
      <c r="O425" s="8"/>
      <c r="P425" s="8"/>
      <c r="Q425" s="8"/>
      <c r="R425" s="79"/>
      <c r="S425" s="79"/>
      <c r="T425" s="79"/>
      <c r="U425" s="34"/>
      <c r="V425" s="34"/>
    </row>
    <row r="426" spans="1:22" ht="12.75" customHeight="1" x14ac:dyDescent="0.2">
      <c r="A426" s="38"/>
      <c r="B426" s="38"/>
      <c r="C426" s="8"/>
      <c r="D426" s="8"/>
      <c r="E426" s="8"/>
      <c r="F426" s="8"/>
      <c r="G426" s="8"/>
      <c r="H426" s="8"/>
      <c r="I426" s="8"/>
      <c r="J426" s="8"/>
      <c r="K426" s="8"/>
      <c r="L426" s="8"/>
      <c r="M426" s="8"/>
      <c r="N426" s="8"/>
      <c r="O426" s="8"/>
      <c r="P426" s="8"/>
      <c r="Q426" s="8"/>
      <c r="R426" s="79"/>
      <c r="S426" s="79"/>
      <c r="T426" s="79"/>
      <c r="U426" s="34"/>
      <c r="V426" s="34"/>
    </row>
    <row r="427" spans="1:22" ht="12.75" customHeight="1" x14ac:dyDescent="0.2">
      <c r="A427" s="38"/>
      <c r="B427" s="38"/>
      <c r="C427" s="8"/>
      <c r="D427" s="8"/>
      <c r="E427" s="8"/>
      <c r="F427" s="8"/>
      <c r="G427" s="8"/>
      <c r="H427" s="8"/>
      <c r="I427" s="8"/>
      <c r="J427" s="8"/>
      <c r="K427" s="8"/>
      <c r="L427" s="8"/>
      <c r="M427" s="8"/>
      <c r="N427" s="8"/>
      <c r="O427" s="8"/>
      <c r="P427" s="8"/>
      <c r="Q427" s="8"/>
      <c r="R427" s="79"/>
      <c r="S427" s="79"/>
      <c r="T427" s="79"/>
      <c r="U427" s="34"/>
      <c r="V427" s="34"/>
    </row>
    <row r="428" spans="1:22" ht="12.75" customHeight="1" x14ac:dyDescent="0.2">
      <c r="A428" s="38"/>
      <c r="B428" s="38"/>
      <c r="C428" s="8"/>
      <c r="D428" s="8"/>
      <c r="E428" s="8"/>
      <c r="F428" s="8"/>
      <c r="G428" s="8"/>
      <c r="H428" s="8"/>
      <c r="I428" s="8"/>
      <c r="J428" s="8"/>
      <c r="K428" s="8"/>
      <c r="L428" s="8"/>
      <c r="M428" s="8"/>
      <c r="N428" s="8"/>
      <c r="O428" s="8"/>
      <c r="P428" s="8"/>
      <c r="Q428" s="8"/>
      <c r="R428" s="79"/>
      <c r="S428" s="79"/>
      <c r="T428" s="79"/>
      <c r="U428" s="34"/>
      <c r="V428" s="34"/>
    </row>
    <row r="429" spans="1:22" ht="12.75" customHeight="1" x14ac:dyDescent="0.2">
      <c r="A429" s="38"/>
      <c r="B429" s="38"/>
      <c r="C429" s="8"/>
      <c r="D429" s="8"/>
      <c r="E429" s="8"/>
      <c r="F429" s="8"/>
      <c r="G429" s="8"/>
      <c r="H429" s="8"/>
      <c r="I429" s="8"/>
      <c r="J429" s="8"/>
      <c r="K429" s="8"/>
      <c r="L429" s="8"/>
      <c r="M429" s="8"/>
      <c r="N429" s="8"/>
      <c r="O429" s="8"/>
      <c r="P429" s="8"/>
      <c r="Q429" s="8"/>
      <c r="R429" s="79"/>
      <c r="S429" s="79"/>
      <c r="T429" s="79"/>
      <c r="U429" s="34"/>
      <c r="V429" s="34"/>
    </row>
    <row r="430" spans="1:22" ht="12.75" customHeight="1" x14ac:dyDescent="0.2">
      <c r="A430" s="38"/>
      <c r="B430" s="38"/>
      <c r="C430" s="8"/>
      <c r="D430" s="8"/>
      <c r="E430" s="8"/>
      <c r="F430" s="8"/>
      <c r="G430" s="8"/>
      <c r="H430" s="8"/>
      <c r="I430" s="8"/>
      <c r="J430" s="8"/>
      <c r="K430" s="8"/>
      <c r="L430" s="8"/>
      <c r="M430" s="8"/>
      <c r="N430" s="8"/>
      <c r="O430" s="8"/>
      <c r="P430" s="8"/>
      <c r="Q430" s="8"/>
      <c r="R430" s="79"/>
      <c r="S430" s="79"/>
      <c r="T430" s="79"/>
      <c r="U430" s="34"/>
      <c r="V430" s="34"/>
    </row>
    <row r="431" spans="1:22" ht="12.75" customHeight="1" x14ac:dyDescent="0.2">
      <c r="A431" s="38"/>
      <c r="B431" s="38"/>
      <c r="C431" s="8"/>
      <c r="D431" s="8"/>
      <c r="E431" s="8"/>
      <c r="F431" s="8"/>
      <c r="G431" s="8"/>
      <c r="H431" s="8"/>
      <c r="I431" s="8"/>
      <c r="J431" s="8"/>
      <c r="K431" s="8"/>
      <c r="L431" s="8"/>
      <c r="M431" s="8"/>
      <c r="N431" s="8"/>
      <c r="O431" s="8"/>
      <c r="P431" s="8"/>
      <c r="Q431" s="8"/>
      <c r="R431" s="79"/>
      <c r="S431" s="79"/>
      <c r="T431" s="79"/>
      <c r="U431" s="34"/>
      <c r="V431" s="34"/>
    </row>
    <row r="432" spans="1:22" ht="12.75" customHeight="1" x14ac:dyDescent="0.2">
      <c r="A432" s="38"/>
      <c r="B432" s="38"/>
      <c r="C432" s="8"/>
      <c r="D432" s="8"/>
      <c r="E432" s="8"/>
      <c r="F432" s="8"/>
      <c r="G432" s="8"/>
      <c r="H432" s="8"/>
      <c r="I432" s="8"/>
      <c r="J432" s="8"/>
      <c r="K432" s="8"/>
      <c r="L432" s="8"/>
      <c r="M432" s="8"/>
      <c r="N432" s="8"/>
      <c r="O432" s="8"/>
      <c r="P432" s="8"/>
      <c r="Q432" s="8"/>
      <c r="R432" s="79"/>
      <c r="S432" s="79"/>
      <c r="T432" s="79"/>
      <c r="U432" s="34"/>
      <c r="V432" s="34"/>
    </row>
    <row r="433" spans="1:22" ht="12.75" customHeight="1" x14ac:dyDescent="0.2">
      <c r="A433" s="38"/>
      <c r="B433" s="38"/>
      <c r="C433" s="8"/>
      <c r="D433" s="8"/>
      <c r="E433" s="8"/>
      <c r="F433" s="8"/>
      <c r="G433" s="8"/>
      <c r="H433" s="8"/>
      <c r="I433" s="8"/>
      <c r="J433" s="8"/>
      <c r="K433" s="8"/>
      <c r="L433" s="8"/>
      <c r="M433" s="8"/>
      <c r="N433" s="8"/>
      <c r="O433" s="8"/>
      <c r="P433" s="8"/>
      <c r="Q433" s="8"/>
      <c r="R433" s="79"/>
      <c r="S433" s="79"/>
      <c r="T433" s="79"/>
      <c r="U433" s="34"/>
      <c r="V433" s="34"/>
    </row>
    <row r="434" spans="1:22" ht="12.75" customHeight="1" x14ac:dyDescent="0.2">
      <c r="A434" s="38"/>
      <c r="B434" s="38"/>
      <c r="C434" s="8"/>
      <c r="D434" s="8"/>
      <c r="E434" s="8"/>
      <c r="F434" s="8"/>
      <c r="G434" s="8"/>
      <c r="H434" s="8"/>
      <c r="I434" s="8"/>
      <c r="J434" s="8"/>
      <c r="K434" s="8"/>
      <c r="L434" s="8"/>
      <c r="M434" s="8"/>
      <c r="N434" s="8"/>
      <c r="O434" s="8"/>
      <c r="P434" s="8"/>
      <c r="Q434" s="8"/>
      <c r="R434" s="79"/>
      <c r="S434" s="79"/>
      <c r="T434" s="79"/>
      <c r="U434" s="34"/>
      <c r="V434" s="34"/>
    </row>
    <row r="435" spans="1:22" ht="12.75" customHeight="1" x14ac:dyDescent="0.2">
      <c r="A435" s="38"/>
      <c r="B435" s="38"/>
      <c r="C435" s="8"/>
      <c r="D435" s="8"/>
      <c r="E435" s="8"/>
      <c r="F435" s="8"/>
      <c r="G435" s="8"/>
      <c r="H435" s="8"/>
      <c r="I435" s="8"/>
      <c r="J435" s="8"/>
      <c r="K435" s="8"/>
      <c r="L435" s="8"/>
      <c r="M435" s="8"/>
      <c r="N435" s="8"/>
      <c r="O435" s="8"/>
      <c r="P435" s="8"/>
      <c r="Q435" s="8"/>
      <c r="R435" s="79"/>
      <c r="S435" s="79"/>
      <c r="T435" s="79"/>
      <c r="U435" s="34"/>
      <c r="V435" s="34"/>
    </row>
    <row r="436" spans="1:22" ht="12.75" customHeight="1" x14ac:dyDescent="0.2">
      <c r="A436" s="38"/>
      <c r="B436" s="38"/>
      <c r="C436" s="8"/>
      <c r="D436" s="8"/>
      <c r="E436" s="8"/>
      <c r="F436" s="8"/>
      <c r="G436" s="8"/>
      <c r="H436" s="8"/>
      <c r="I436" s="8"/>
      <c r="J436" s="8"/>
      <c r="K436" s="8"/>
      <c r="L436" s="8"/>
      <c r="M436" s="8"/>
      <c r="N436" s="8"/>
      <c r="O436" s="8"/>
      <c r="P436" s="8"/>
      <c r="Q436" s="8"/>
      <c r="R436" s="79"/>
      <c r="S436" s="79"/>
      <c r="T436" s="79"/>
      <c r="U436" s="34"/>
      <c r="V436" s="34"/>
    </row>
    <row r="437" spans="1:22" ht="12.75" customHeight="1" x14ac:dyDescent="0.2">
      <c r="A437" s="38"/>
      <c r="B437" s="38"/>
      <c r="C437" s="8"/>
      <c r="D437" s="8"/>
      <c r="E437" s="8"/>
      <c r="F437" s="8"/>
      <c r="G437" s="8"/>
      <c r="H437" s="8"/>
      <c r="I437" s="8"/>
      <c r="J437" s="8"/>
      <c r="K437" s="8"/>
      <c r="L437" s="8"/>
      <c r="M437" s="8"/>
      <c r="N437" s="8"/>
      <c r="O437" s="8"/>
      <c r="P437" s="8"/>
      <c r="Q437" s="8"/>
      <c r="R437" s="79"/>
      <c r="S437" s="79"/>
      <c r="T437" s="79"/>
      <c r="U437" s="34"/>
      <c r="V437" s="34"/>
    </row>
    <row r="438" spans="1:22" ht="12.75" customHeight="1" x14ac:dyDescent="0.2">
      <c r="A438" s="38"/>
      <c r="B438" s="38"/>
      <c r="C438" s="8"/>
      <c r="D438" s="8"/>
      <c r="E438" s="8"/>
      <c r="F438" s="8"/>
      <c r="G438" s="8"/>
      <c r="H438" s="8"/>
      <c r="I438" s="8"/>
      <c r="J438" s="8"/>
      <c r="K438" s="8"/>
      <c r="L438" s="8"/>
      <c r="M438" s="8"/>
      <c r="N438" s="8"/>
      <c r="O438" s="8"/>
      <c r="P438" s="8"/>
      <c r="Q438" s="8"/>
      <c r="R438" s="79"/>
      <c r="S438" s="79"/>
      <c r="T438" s="79"/>
      <c r="U438" s="34"/>
      <c r="V438" s="34"/>
    </row>
    <row r="439" spans="1:22" ht="12.75" customHeight="1" x14ac:dyDescent="0.2">
      <c r="A439" s="38"/>
      <c r="B439" s="38"/>
      <c r="C439" s="8"/>
      <c r="D439" s="8"/>
      <c r="E439" s="8"/>
      <c r="F439" s="8"/>
      <c r="G439" s="8"/>
      <c r="H439" s="8"/>
      <c r="I439" s="8"/>
      <c r="J439" s="8"/>
      <c r="K439" s="8"/>
      <c r="L439" s="8"/>
      <c r="M439" s="8"/>
      <c r="N439" s="8"/>
      <c r="O439" s="8"/>
      <c r="P439" s="8"/>
      <c r="Q439" s="8"/>
      <c r="R439" s="79"/>
      <c r="S439" s="79"/>
      <c r="T439" s="79"/>
      <c r="U439" s="34"/>
      <c r="V439" s="34"/>
    </row>
    <row r="440" spans="1:22" ht="12.75" customHeight="1" x14ac:dyDescent="0.2">
      <c r="A440" s="38"/>
      <c r="B440" s="38"/>
      <c r="C440" s="8"/>
      <c r="D440" s="8"/>
      <c r="E440" s="8"/>
      <c r="F440" s="8"/>
      <c r="G440" s="8"/>
      <c r="H440" s="8"/>
      <c r="I440" s="8"/>
      <c r="J440" s="8"/>
      <c r="K440" s="8"/>
      <c r="L440" s="8"/>
      <c r="M440" s="8"/>
      <c r="N440" s="8"/>
      <c r="O440" s="8"/>
      <c r="P440" s="8"/>
      <c r="Q440" s="8"/>
      <c r="R440" s="79"/>
      <c r="S440" s="79"/>
      <c r="T440" s="79"/>
      <c r="U440" s="34"/>
      <c r="V440" s="34"/>
    </row>
    <row r="441" spans="1:22" ht="12.75" customHeight="1" x14ac:dyDescent="0.2">
      <c r="A441" s="38"/>
      <c r="B441" s="38"/>
      <c r="C441" s="8"/>
      <c r="D441" s="8"/>
      <c r="E441" s="8"/>
      <c r="F441" s="8"/>
      <c r="G441" s="8"/>
      <c r="H441" s="8"/>
      <c r="I441" s="8"/>
      <c r="J441" s="8"/>
      <c r="K441" s="8"/>
      <c r="L441" s="8"/>
      <c r="M441" s="8"/>
      <c r="N441" s="8"/>
      <c r="O441" s="8"/>
      <c r="P441" s="8"/>
      <c r="Q441" s="8"/>
      <c r="R441" s="79"/>
      <c r="S441" s="79"/>
      <c r="T441" s="79"/>
      <c r="U441" s="34"/>
      <c r="V441" s="34"/>
    </row>
    <row r="442" spans="1:22" ht="12.75" customHeight="1" x14ac:dyDescent="0.2">
      <c r="A442" s="38"/>
      <c r="B442" s="38"/>
      <c r="C442" s="8"/>
      <c r="D442" s="8"/>
      <c r="E442" s="8"/>
      <c r="F442" s="8"/>
      <c r="G442" s="8"/>
      <c r="H442" s="8"/>
      <c r="I442" s="8"/>
      <c r="J442" s="8"/>
      <c r="K442" s="8"/>
      <c r="L442" s="8"/>
      <c r="M442" s="8"/>
      <c r="N442" s="8"/>
      <c r="O442" s="8"/>
      <c r="P442" s="8"/>
      <c r="Q442" s="8"/>
      <c r="R442" s="79"/>
      <c r="S442" s="79"/>
      <c r="T442" s="79"/>
      <c r="U442" s="34"/>
      <c r="V442" s="34"/>
    </row>
    <row r="443" spans="1:22" ht="12.75" customHeight="1" x14ac:dyDescent="0.2">
      <c r="A443" s="38"/>
      <c r="B443" s="38"/>
      <c r="C443" s="8"/>
      <c r="D443" s="8"/>
      <c r="E443" s="8"/>
      <c r="F443" s="8"/>
      <c r="G443" s="8"/>
      <c r="H443" s="8"/>
      <c r="I443" s="8"/>
      <c r="J443" s="8"/>
      <c r="K443" s="8"/>
      <c r="L443" s="8"/>
      <c r="M443" s="8"/>
      <c r="N443" s="8"/>
      <c r="O443" s="8"/>
      <c r="P443" s="8"/>
      <c r="Q443" s="8"/>
      <c r="R443" s="79"/>
      <c r="S443" s="79"/>
      <c r="T443" s="79"/>
      <c r="U443" s="34"/>
      <c r="V443" s="34"/>
    </row>
    <row r="444" spans="1:22" ht="12.75" customHeight="1" x14ac:dyDescent="0.2">
      <c r="A444" s="38"/>
      <c r="B444" s="38"/>
      <c r="C444" s="8"/>
      <c r="D444" s="8"/>
      <c r="E444" s="8"/>
      <c r="F444" s="8"/>
      <c r="G444" s="8"/>
      <c r="H444" s="8"/>
      <c r="I444" s="8"/>
      <c r="J444" s="8"/>
      <c r="K444" s="8"/>
      <c r="L444" s="8"/>
      <c r="M444" s="8"/>
      <c r="N444" s="8"/>
      <c r="O444" s="8"/>
      <c r="P444" s="8"/>
      <c r="Q444" s="8"/>
      <c r="R444" s="79"/>
      <c r="S444" s="79"/>
      <c r="T444" s="79"/>
      <c r="U444" s="34"/>
      <c r="V444" s="34"/>
    </row>
    <row r="445" spans="1:22" ht="12.75" customHeight="1" x14ac:dyDescent="0.2">
      <c r="A445" s="38"/>
      <c r="B445" s="38"/>
      <c r="C445" s="8"/>
      <c r="D445" s="8"/>
      <c r="E445" s="8"/>
      <c r="F445" s="8"/>
      <c r="G445" s="8"/>
      <c r="H445" s="8"/>
      <c r="I445" s="8"/>
      <c r="J445" s="8"/>
      <c r="K445" s="8"/>
      <c r="L445" s="8"/>
      <c r="M445" s="8"/>
      <c r="N445" s="8"/>
      <c r="O445" s="8"/>
      <c r="P445" s="8"/>
      <c r="Q445" s="8"/>
      <c r="R445" s="79"/>
      <c r="S445" s="79"/>
      <c r="T445" s="79"/>
      <c r="U445" s="34"/>
      <c r="V445" s="34"/>
    </row>
    <row r="446" spans="1:22" ht="12.75" customHeight="1" x14ac:dyDescent="0.2">
      <c r="A446" s="38"/>
      <c r="B446" s="38"/>
      <c r="C446" s="8"/>
      <c r="D446" s="8"/>
      <c r="E446" s="8"/>
      <c r="F446" s="8"/>
      <c r="G446" s="8"/>
      <c r="H446" s="8"/>
      <c r="I446" s="8"/>
      <c r="J446" s="8"/>
      <c r="K446" s="8"/>
      <c r="L446" s="8"/>
      <c r="M446" s="8"/>
      <c r="N446" s="8"/>
      <c r="O446" s="8"/>
      <c r="P446" s="8"/>
      <c r="Q446" s="8"/>
      <c r="R446" s="79"/>
      <c r="S446" s="79"/>
      <c r="T446" s="79"/>
      <c r="U446" s="34"/>
      <c r="V446" s="34"/>
    </row>
    <row r="447" spans="1:22" ht="12.75" customHeight="1" x14ac:dyDescent="0.2">
      <c r="A447" s="38"/>
      <c r="B447" s="38"/>
      <c r="C447" s="8"/>
      <c r="D447" s="8"/>
      <c r="E447" s="8"/>
      <c r="F447" s="8"/>
      <c r="G447" s="8"/>
      <c r="H447" s="8"/>
      <c r="I447" s="8"/>
      <c r="J447" s="8"/>
      <c r="K447" s="8"/>
      <c r="L447" s="8"/>
      <c r="M447" s="8"/>
      <c r="N447" s="8"/>
      <c r="O447" s="8"/>
      <c r="P447" s="8"/>
      <c r="Q447" s="8"/>
      <c r="R447" s="79"/>
      <c r="S447" s="79"/>
      <c r="T447" s="79"/>
      <c r="U447" s="34"/>
      <c r="V447" s="34"/>
    </row>
    <row r="448" spans="1:22" ht="12.75" customHeight="1" x14ac:dyDescent="0.2">
      <c r="A448" s="38"/>
      <c r="B448" s="38"/>
      <c r="C448" s="8"/>
      <c r="D448" s="8"/>
      <c r="E448" s="8"/>
      <c r="F448" s="8"/>
      <c r="G448" s="8"/>
      <c r="H448" s="8"/>
      <c r="I448" s="8"/>
      <c r="J448" s="8"/>
      <c r="K448" s="8"/>
      <c r="L448" s="8"/>
      <c r="M448" s="8"/>
      <c r="N448" s="8"/>
      <c r="O448" s="8"/>
      <c r="P448" s="8"/>
      <c r="Q448" s="8"/>
      <c r="R448" s="79"/>
      <c r="S448" s="79"/>
      <c r="T448" s="79"/>
      <c r="U448" s="34"/>
      <c r="V448" s="34"/>
    </row>
    <row r="449" spans="1:22" ht="12.75" customHeight="1" x14ac:dyDescent="0.2">
      <c r="A449" s="38"/>
      <c r="B449" s="38"/>
      <c r="C449" s="8"/>
      <c r="D449" s="8"/>
      <c r="E449" s="8"/>
      <c r="F449" s="8"/>
      <c r="G449" s="8"/>
      <c r="H449" s="8"/>
      <c r="I449" s="8"/>
      <c r="J449" s="8"/>
      <c r="K449" s="8"/>
      <c r="L449" s="8"/>
      <c r="M449" s="8"/>
      <c r="N449" s="8"/>
      <c r="O449" s="8"/>
      <c r="P449" s="8"/>
      <c r="Q449" s="8"/>
      <c r="R449" s="79"/>
      <c r="S449" s="79"/>
      <c r="T449" s="79"/>
      <c r="U449" s="34"/>
      <c r="V449" s="34"/>
    </row>
    <row r="450" spans="1:22" ht="12.75" customHeight="1" x14ac:dyDescent="0.2">
      <c r="A450" s="38"/>
      <c r="B450" s="38"/>
      <c r="C450" s="8"/>
      <c r="D450" s="8"/>
      <c r="E450" s="8"/>
      <c r="F450" s="8"/>
      <c r="G450" s="8"/>
      <c r="H450" s="8"/>
      <c r="I450" s="8"/>
      <c r="J450" s="8"/>
      <c r="K450" s="8"/>
      <c r="L450" s="8"/>
      <c r="M450" s="8"/>
      <c r="N450" s="8"/>
      <c r="O450" s="8"/>
      <c r="P450" s="8"/>
      <c r="Q450" s="8"/>
      <c r="R450" s="79"/>
      <c r="S450" s="79"/>
      <c r="T450" s="79"/>
      <c r="U450" s="34"/>
      <c r="V450" s="34"/>
    </row>
    <row r="451" spans="1:22" ht="12.75" customHeight="1" x14ac:dyDescent="0.2">
      <c r="A451" s="38"/>
      <c r="B451" s="38"/>
      <c r="C451" s="8"/>
      <c r="D451" s="8"/>
      <c r="E451" s="8"/>
      <c r="F451" s="8"/>
      <c r="G451" s="8"/>
      <c r="H451" s="8"/>
      <c r="I451" s="8"/>
      <c r="J451" s="8"/>
      <c r="K451" s="8"/>
      <c r="L451" s="8"/>
      <c r="M451" s="8"/>
      <c r="N451" s="8"/>
      <c r="O451" s="8"/>
      <c r="P451" s="8"/>
      <c r="Q451" s="8"/>
      <c r="R451" s="79"/>
      <c r="S451" s="79"/>
      <c r="T451" s="79"/>
      <c r="U451" s="34"/>
      <c r="V451" s="34"/>
    </row>
    <row r="452" spans="1:22" ht="12.75" customHeight="1" x14ac:dyDescent="0.2">
      <c r="A452" s="38"/>
      <c r="B452" s="38"/>
      <c r="C452" s="8"/>
      <c r="D452" s="8"/>
      <c r="E452" s="8"/>
      <c r="F452" s="8"/>
      <c r="G452" s="8"/>
      <c r="H452" s="8"/>
      <c r="I452" s="8"/>
      <c r="J452" s="8"/>
      <c r="K452" s="8"/>
      <c r="L452" s="8"/>
      <c r="M452" s="8"/>
      <c r="N452" s="8"/>
      <c r="O452" s="8"/>
      <c r="P452" s="8"/>
      <c r="Q452" s="8"/>
      <c r="R452" s="79"/>
      <c r="S452" s="79"/>
      <c r="T452" s="79"/>
      <c r="U452" s="34"/>
      <c r="V452" s="34"/>
    </row>
    <row r="453" spans="1:22" ht="12.75" customHeight="1" x14ac:dyDescent="0.2">
      <c r="A453" s="38"/>
      <c r="B453" s="38"/>
      <c r="C453" s="8"/>
      <c r="D453" s="8"/>
      <c r="E453" s="8"/>
      <c r="F453" s="8"/>
      <c r="G453" s="8"/>
      <c r="H453" s="8"/>
      <c r="I453" s="8"/>
      <c r="J453" s="8"/>
      <c r="K453" s="8"/>
      <c r="L453" s="8"/>
      <c r="M453" s="8"/>
      <c r="N453" s="8"/>
      <c r="O453" s="8"/>
      <c r="P453" s="8"/>
      <c r="Q453" s="8"/>
      <c r="R453" s="79"/>
      <c r="S453" s="79"/>
      <c r="T453" s="79"/>
      <c r="U453" s="34"/>
      <c r="V453" s="34"/>
    </row>
    <row r="454" spans="1:22" ht="12.75" customHeight="1" x14ac:dyDescent="0.2">
      <c r="A454" s="38"/>
      <c r="B454" s="38"/>
      <c r="C454" s="8"/>
      <c r="D454" s="8"/>
      <c r="E454" s="8"/>
      <c r="F454" s="8"/>
      <c r="G454" s="8"/>
      <c r="H454" s="8"/>
      <c r="I454" s="8"/>
      <c r="J454" s="8"/>
      <c r="K454" s="8"/>
      <c r="L454" s="8"/>
      <c r="M454" s="8"/>
      <c r="N454" s="8"/>
      <c r="O454" s="8"/>
      <c r="P454" s="8"/>
      <c r="Q454" s="8"/>
      <c r="R454" s="79"/>
      <c r="S454" s="79"/>
      <c r="T454" s="79"/>
      <c r="U454" s="34"/>
      <c r="V454" s="34"/>
    </row>
    <row r="455" spans="1:22" ht="12.75" customHeight="1" x14ac:dyDescent="0.2">
      <c r="A455" s="38"/>
      <c r="B455" s="38"/>
      <c r="C455" s="8"/>
      <c r="D455" s="8"/>
      <c r="E455" s="8"/>
      <c r="F455" s="8"/>
      <c r="G455" s="8"/>
      <c r="H455" s="8"/>
      <c r="I455" s="8"/>
      <c r="J455" s="8"/>
      <c r="K455" s="8"/>
      <c r="L455" s="8"/>
      <c r="M455" s="8"/>
      <c r="N455" s="8"/>
      <c r="O455" s="8"/>
      <c r="P455" s="8"/>
      <c r="Q455" s="8"/>
      <c r="R455" s="79"/>
      <c r="S455" s="79"/>
      <c r="T455" s="79"/>
      <c r="U455" s="34"/>
      <c r="V455" s="34"/>
    </row>
    <row r="456" spans="1:22" ht="12.75" customHeight="1" x14ac:dyDescent="0.2">
      <c r="A456" s="38"/>
      <c r="B456" s="38"/>
      <c r="C456" s="8"/>
      <c r="D456" s="8"/>
      <c r="E456" s="8"/>
      <c r="F456" s="8"/>
      <c r="G456" s="8"/>
      <c r="H456" s="8"/>
      <c r="I456" s="8"/>
      <c r="J456" s="8"/>
      <c r="K456" s="8"/>
      <c r="L456" s="8"/>
      <c r="M456" s="8"/>
      <c r="N456" s="8"/>
      <c r="O456" s="8"/>
      <c r="P456" s="8"/>
      <c r="Q456" s="8"/>
      <c r="R456" s="79"/>
      <c r="S456" s="79"/>
      <c r="T456" s="79"/>
      <c r="U456" s="34"/>
      <c r="V456" s="34"/>
    </row>
    <row r="457" spans="1:22" ht="12.75" customHeight="1" x14ac:dyDescent="0.2">
      <c r="A457" s="38"/>
      <c r="B457" s="38"/>
      <c r="C457" s="8"/>
      <c r="D457" s="8"/>
      <c r="E457" s="8"/>
      <c r="F457" s="8"/>
      <c r="G457" s="8"/>
      <c r="H457" s="8"/>
      <c r="I457" s="8"/>
      <c r="J457" s="8"/>
      <c r="K457" s="8"/>
      <c r="L457" s="8"/>
      <c r="M457" s="8"/>
      <c r="N457" s="8"/>
      <c r="O457" s="8"/>
      <c r="P457" s="8"/>
      <c r="Q457" s="8"/>
      <c r="R457" s="79"/>
      <c r="S457" s="79"/>
      <c r="T457" s="79"/>
      <c r="U457" s="34"/>
      <c r="V457" s="34"/>
    </row>
    <row r="458" spans="1:22" ht="12.75" customHeight="1" x14ac:dyDescent="0.2">
      <c r="A458" s="38"/>
      <c r="B458" s="38"/>
      <c r="C458" s="8"/>
      <c r="D458" s="8"/>
      <c r="E458" s="8"/>
      <c r="F458" s="8"/>
      <c r="G458" s="8"/>
      <c r="H458" s="8"/>
      <c r="I458" s="8"/>
      <c r="J458" s="8"/>
      <c r="K458" s="8"/>
      <c r="L458" s="8"/>
      <c r="M458" s="8"/>
      <c r="N458" s="8"/>
      <c r="O458" s="8"/>
      <c r="P458" s="8"/>
      <c r="Q458" s="8"/>
      <c r="R458" s="79"/>
      <c r="S458" s="79"/>
      <c r="T458" s="79"/>
      <c r="U458" s="34"/>
      <c r="V458" s="34"/>
    </row>
    <row r="459" spans="1:22" ht="12.75" customHeight="1" x14ac:dyDescent="0.2">
      <c r="A459" s="38"/>
      <c r="B459" s="38"/>
      <c r="C459" s="8"/>
      <c r="D459" s="8"/>
      <c r="E459" s="8"/>
      <c r="F459" s="8"/>
      <c r="G459" s="8"/>
      <c r="H459" s="8"/>
      <c r="I459" s="8"/>
      <c r="J459" s="8"/>
      <c r="K459" s="8"/>
      <c r="L459" s="8"/>
      <c r="M459" s="8"/>
      <c r="N459" s="8"/>
      <c r="O459" s="8"/>
      <c r="P459" s="8"/>
      <c r="Q459" s="8"/>
      <c r="R459" s="79"/>
      <c r="S459" s="79"/>
      <c r="T459" s="79"/>
      <c r="U459" s="34"/>
      <c r="V459" s="34"/>
    </row>
    <row r="460" spans="1:22" ht="12.75" customHeight="1" x14ac:dyDescent="0.2">
      <c r="A460" s="38"/>
      <c r="B460" s="38"/>
      <c r="C460" s="8"/>
      <c r="D460" s="8"/>
      <c r="E460" s="8"/>
      <c r="F460" s="8"/>
      <c r="G460" s="8"/>
      <c r="H460" s="8"/>
      <c r="I460" s="8"/>
      <c r="J460" s="8"/>
      <c r="K460" s="8"/>
      <c r="L460" s="8"/>
      <c r="M460" s="8"/>
      <c r="N460" s="8"/>
      <c r="O460" s="8"/>
      <c r="P460" s="8"/>
      <c r="Q460" s="8"/>
      <c r="R460" s="79"/>
      <c r="S460" s="79"/>
      <c r="T460" s="79"/>
      <c r="U460" s="34"/>
      <c r="V460" s="34"/>
    </row>
    <row r="461" spans="1:22" ht="12.75" customHeight="1" x14ac:dyDescent="0.2">
      <c r="A461" s="38"/>
      <c r="B461" s="38"/>
      <c r="C461" s="8"/>
      <c r="D461" s="8"/>
      <c r="E461" s="8"/>
      <c r="F461" s="8"/>
      <c r="G461" s="8"/>
      <c r="H461" s="8"/>
      <c r="I461" s="8"/>
      <c r="J461" s="8"/>
      <c r="K461" s="8"/>
      <c r="L461" s="8"/>
      <c r="M461" s="8"/>
      <c r="N461" s="8"/>
      <c r="O461" s="8"/>
      <c r="P461" s="8"/>
      <c r="Q461" s="8"/>
      <c r="R461" s="79"/>
      <c r="S461" s="79"/>
      <c r="T461" s="79"/>
      <c r="U461" s="34"/>
      <c r="V461" s="34"/>
    </row>
    <row r="462" spans="1:22" ht="12.75" customHeight="1" x14ac:dyDescent="0.2">
      <c r="A462" s="38"/>
      <c r="B462" s="38"/>
      <c r="C462" s="8"/>
      <c r="D462" s="8"/>
      <c r="E462" s="8"/>
      <c r="F462" s="8"/>
      <c r="G462" s="8"/>
      <c r="H462" s="8"/>
      <c r="I462" s="8"/>
      <c r="J462" s="8"/>
      <c r="K462" s="8"/>
      <c r="L462" s="8"/>
      <c r="M462" s="8"/>
      <c r="N462" s="8"/>
      <c r="O462" s="8"/>
      <c r="P462" s="8"/>
      <c r="Q462" s="8"/>
      <c r="R462" s="79"/>
      <c r="S462" s="79"/>
      <c r="T462" s="79"/>
      <c r="U462" s="34"/>
      <c r="V462" s="34"/>
    </row>
    <row r="463" spans="1:22" ht="12.75" customHeight="1" x14ac:dyDescent="0.2">
      <c r="A463" s="38"/>
      <c r="B463" s="38"/>
      <c r="C463" s="8"/>
      <c r="D463" s="8"/>
      <c r="E463" s="8"/>
      <c r="F463" s="8"/>
      <c r="G463" s="8"/>
      <c r="H463" s="8"/>
      <c r="I463" s="8"/>
      <c r="J463" s="8"/>
      <c r="K463" s="8"/>
      <c r="L463" s="8"/>
      <c r="M463" s="8"/>
      <c r="N463" s="8"/>
      <c r="O463" s="8"/>
      <c r="P463" s="8"/>
      <c r="Q463" s="8"/>
      <c r="R463" s="79"/>
      <c r="S463" s="79"/>
      <c r="T463" s="79"/>
      <c r="U463" s="34"/>
      <c r="V463" s="34"/>
    </row>
    <row r="464" spans="1:22" ht="12.75" customHeight="1" x14ac:dyDescent="0.2">
      <c r="A464" s="38"/>
      <c r="B464" s="38"/>
      <c r="C464" s="8"/>
      <c r="D464" s="8"/>
      <c r="E464" s="8"/>
      <c r="F464" s="8"/>
      <c r="G464" s="8"/>
      <c r="H464" s="8"/>
      <c r="I464" s="8"/>
      <c r="J464" s="8"/>
      <c r="K464" s="8"/>
      <c r="L464" s="8"/>
      <c r="M464" s="8"/>
      <c r="N464" s="8"/>
      <c r="O464" s="8"/>
      <c r="P464" s="8"/>
      <c r="Q464" s="8"/>
      <c r="R464" s="79"/>
      <c r="S464" s="79"/>
      <c r="T464" s="79"/>
      <c r="U464" s="34"/>
      <c r="V464" s="34"/>
    </row>
    <row r="465" spans="1:22" ht="12.75" customHeight="1" x14ac:dyDescent="0.2">
      <c r="A465" s="38"/>
      <c r="B465" s="38"/>
      <c r="C465" s="8"/>
      <c r="D465" s="8"/>
      <c r="E465" s="8"/>
      <c r="F465" s="8"/>
      <c r="G465" s="8"/>
      <c r="H465" s="8"/>
      <c r="I465" s="8"/>
      <c r="J465" s="8"/>
      <c r="K465" s="8"/>
      <c r="L465" s="8"/>
      <c r="M465" s="8"/>
      <c r="N465" s="8"/>
      <c r="O465" s="8"/>
      <c r="P465" s="8"/>
      <c r="Q465" s="8"/>
      <c r="R465" s="79"/>
      <c r="S465" s="79"/>
      <c r="T465" s="79"/>
      <c r="U465" s="34"/>
      <c r="V465" s="34"/>
    </row>
    <row r="466" spans="1:22" ht="12.75" customHeight="1" x14ac:dyDescent="0.2">
      <c r="A466" s="38"/>
      <c r="B466" s="38"/>
      <c r="C466" s="8"/>
      <c r="D466" s="8"/>
      <c r="E466" s="8"/>
      <c r="F466" s="8"/>
      <c r="G466" s="8"/>
      <c r="H466" s="8"/>
      <c r="I466" s="8"/>
      <c r="J466" s="8"/>
      <c r="K466" s="8"/>
      <c r="L466" s="8"/>
      <c r="M466" s="8"/>
      <c r="N466" s="8"/>
      <c r="O466" s="8"/>
      <c r="P466" s="8"/>
      <c r="Q466" s="8"/>
      <c r="R466" s="79"/>
      <c r="S466" s="79"/>
      <c r="T466" s="79"/>
      <c r="U466" s="34"/>
      <c r="V466" s="34"/>
    </row>
    <row r="467" spans="1:22" ht="12.75" customHeight="1" x14ac:dyDescent="0.2">
      <c r="A467" s="38"/>
      <c r="B467" s="38"/>
      <c r="C467" s="8"/>
      <c r="D467" s="8"/>
      <c r="E467" s="8"/>
      <c r="F467" s="8"/>
      <c r="G467" s="8"/>
      <c r="H467" s="8"/>
      <c r="I467" s="8"/>
      <c r="J467" s="8"/>
      <c r="K467" s="8"/>
      <c r="L467" s="8"/>
      <c r="M467" s="8"/>
      <c r="N467" s="8"/>
      <c r="O467" s="8"/>
      <c r="P467" s="8"/>
      <c r="Q467" s="8"/>
      <c r="R467" s="79"/>
      <c r="S467" s="79"/>
      <c r="T467" s="79"/>
      <c r="U467" s="34"/>
      <c r="V467" s="34"/>
    </row>
    <row r="468" spans="1:22" ht="12.75" customHeight="1" x14ac:dyDescent="0.2">
      <c r="A468" s="38"/>
      <c r="B468" s="38"/>
      <c r="C468" s="8"/>
      <c r="D468" s="8"/>
      <c r="E468" s="8"/>
      <c r="F468" s="8"/>
      <c r="G468" s="8"/>
      <c r="H468" s="8"/>
      <c r="I468" s="8"/>
      <c r="J468" s="8"/>
      <c r="K468" s="8"/>
      <c r="L468" s="8"/>
      <c r="M468" s="8"/>
      <c r="N468" s="8"/>
      <c r="O468" s="8"/>
      <c r="P468" s="8"/>
      <c r="Q468" s="8"/>
      <c r="R468" s="79"/>
      <c r="S468" s="79"/>
      <c r="T468" s="79"/>
      <c r="U468" s="34"/>
      <c r="V468" s="34"/>
    </row>
    <row r="469" spans="1:22" ht="12.75" customHeight="1" x14ac:dyDescent="0.2">
      <c r="A469" s="38"/>
      <c r="B469" s="38"/>
      <c r="C469" s="8"/>
      <c r="D469" s="8"/>
      <c r="E469" s="8"/>
      <c r="F469" s="8"/>
      <c r="G469" s="8"/>
      <c r="H469" s="8"/>
      <c r="I469" s="8"/>
      <c r="J469" s="8"/>
      <c r="K469" s="8"/>
      <c r="L469" s="8"/>
      <c r="M469" s="8"/>
      <c r="N469" s="8"/>
      <c r="O469" s="8"/>
      <c r="P469" s="8"/>
      <c r="Q469" s="8"/>
      <c r="R469" s="79"/>
      <c r="S469" s="79"/>
      <c r="T469" s="79"/>
      <c r="U469" s="34"/>
      <c r="V469" s="34"/>
    </row>
    <row r="470" spans="1:22" ht="12.75" customHeight="1" x14ac:dyDescent="0.2">
      <c r="A470" s="38"/>
      <c r="B470" s="38"/>
      <c r="C470" s="8"/>
      <c r="D470" s="8"/>
      <c r="E470" s="8"/>
      <c r="F470" s="8"/>
      <c r="G470" s="8"/>
      <c r="H470" s="8"/>
      <c r="I470" s="8"/>
      <c r="J470" s="8"/>
      <c r="K470" s="8"/>
      <c r="L470" s="8"/>
      <c r="M470" s="8"/>
      <c r="N470" s="8"/>
      <c r="O470" s="8"/>
      <c r="P470" s="8"/>
      <c r="Q470" s="8"/>
      <c r="R470" s="79"/>
      <c r="S470" s="79"/>
      <c r="T470" s="79"/>
      <c r="U470" s="34"/>
      <c r="V470" s="34"/>
    </row>
    <row r="471" spans="1:22" ht="12.75" customHeight="1" x14ac:dyDescent="0.2">
      <c r="A471" s="38"/>
      <c r="B471" s="38"/>
      <c r="C471" s="8"/>
      <c r="D471" s="8"/>
      <c r="E471" s="8"/>
      <c r="F471" s="8"/>
      <c r="G471" s="8"/>
      <c r="H471" s="8"/>
      <c r="I471" s="8"/>
      <c r="J471" s="8"/>
      <c r="K471" s="8"/>
      <c r="L471" s="8"/>
      <c r="M471" s="8"/>
      <c r="N471" s="8"/>
      <c r="O471" s="8"/>
      <c r="P471" s="8"/>
      <c r="Q471" s="8"/>
      <c r="R471" s="79"/>
      <c r="S471" s="79"/>
      <c r="T471" s="79"/>
      <c r="U471" s="34"/>
      <c r="V471" s="34"/>
    </row>
    <row r="472" spans="1:22" ht="12.75" customHeight="1" x14ac:dyDescent="0.2">
      <c r="A472" s="38"/>
      <c r="B472" s="38"/>
      <c r="C472" s="8"/>
      <c r="D472" s="8"/>
      <c r="E472" s="8"/>
      <c r="F472" s="8"/>
      <c r="G472" s="8"/>
      <c r="H472" s="8"/>
      <c r="I472" s="8"/>
      <c r="J472" s="8"/>
      <c r="K472" s="8"/>
      <c r="L472" s="8"/>
      <c r="M472" s="8"/>
      <c r="N472" s="8"/>
      <c r="O472" s="8"/>
      <c r="P472" s="8"/>
      <c r="Q472" s="8"/>
      <c r="R472" s="79"/>
      <c r="S472" s="79"/>
      <c r="T472" s="79"/>
      <c r="U472" s="34"/>
      <c r="V472" s="34"/>
    </row>
    <row r="473" spans="1:22" ht="12.75" customHeight="1" x14ac:dyDescent="0.2">
      <c r="A473" s="38"/>
      <c r="B473" s="38"/>
      <c r="C473" s="8"/>
      <c r="D473" s="8"/>
      <c r="E473" s="8"/>
      <c r="F473" s="8"/>
      <c r="G473" s="8"/>
      <c r="H473" s="8"/>
      <c r="I473" s="8"/>
      <c r="J473" s="8"/>
      <c r="K473" s="8"/>
      <c r="L473" s="8"/>
      <c r="M473" s="8"/>
      <c r="N473" s="8"/>
      <c r="O473" s="8"/>
      <c r="P473" s="8"/>
      <c r="Q473" s="8"/>
      <c r="R473" s="79"/>
      <c r="S473" s="79"/>
      <c r="T473" s="79"/>
      <c r="U473" s="34"/>
      <c r="V473" s="34"/>
    </row>
    <row r="474" spans="1:22" ht="12.75" customHeight="1" x14ac:dyDescent="0.2">
      <c r="A474" s="38"/>
      <c r="B474" s="38"/>
      <c r="C474" s="8"/>
      <c r="D474" s="8"/>
      <c r="E474" s="8"/>
      <c r="F474" s="8"/>
      <c r="G474" s="8"/>
      <c r="H474" s="8"/>
      <c r="I474" s="8"/>
      <c r="J474" s="8"/>
      <c r="K474" s="8"/>
      <c r="L474" s="8"/>
      <c r="M474" s="8"/>
      <c r="N474" s="8"/>
      <c r="O474" s="8"/>
      <c r="P474" s="8"/>
      <c r="Q474" s="8"/>
      <c r="R474" s="79"/>
      <c r="S474" s="79"/>
      <c r="T474" s="79"/>
      <c r="U474" s="34"/>
      <c r="V474" s="34"/>
    </row>
    <row r="475" spans="1:22" ht="12.75" customHeight="1" x14ac:dyDescent="0.2">
      <c r="A475" s="38"/>
      <c r="B475" s="38"/>
      <c r="C475" s="8"/>
      <c r="D475" s="8"/>
      <c r="E475" s="8"/>
      <c r="F475" s="8"/>
      <c r="G475" s="8"/>
      <c r="H475" s="8"/>
      <c r="I475" s="8"/>
      <c r="J475" s="8"/>
      <c r="K475" s="8"/>
      <c r="L475" s="8"/>
      <c r="M475" s="8"/>
      <c r="N475" s="8"/>
      <c r="O475" s="8"/>
      <c r="P475" s="8"/>
      <c r="Q475" s="8"/>
      <c r="R475" s="79"/>
      <c r="S475" s="79"/>
      <c r="T475" s="79"/>
      <c r="U475" s="34"/>
      <c r="V475" s="34"/>
    </row>
    <row r="476" spans="1:22" ht="12.75" customHeight="1" x14ac:dyDescent="0.2">
      <c r="A476" s="38"/>
      <c r="B476" s="38"/>
      <c r="C476" s="8"/>
      <c r="D476" s="8"/>
      <c r="E476" s="8"/>
      <c r="F476" s="8"/>
      <c r="G476" s="8"/>
      <c r="H476" s="8"/>
      <c r="I476" s="8"/>
      <c r="J476" s="8"/>
      <c r="K476" s="8"/>
      <c r="L476" s="8"/>
      <c r="M476" s="8"/>
      <c r="N476" s="8"/>
      <c r="O476" s="8"/>
      <c r="P476" s="8"/>
      <c r="Q476" s="8"/>
      <c r="R476" s="79"/>
      <c r="S476" s="79"/>
      <c r="T476" s="79"/>
      <c r="U476" s="34"/>
      <c r="V476" s="34"/>
    </row>
    <row r="477" spans="1:22" ht="12.75" customHeight="1" x14ac:dyDescent="0.2">
      <c r="A477" s="38"/>
      <c r="B477" s="38"/>
      <c r="C477" s="8"/>
      <c r="D477" s="8"/>
      <c r="E477" s="8"/>
      <c r="F477" s="8"/>
      <c r="G477" s="8"/>
      <c r="H477" s="8"/>
      <c r="I477" s="8"/>
      <c r="J477" s="8"/>
      <c r="K477" s="8"/>
      <c r="L477" s="8"/>
      <c r="M477" s="8"/>
      <c r="N477" s="8"/>
      <c r="O477" s="8"/>
      <c r="P477" s="8"/>
      <c r="Q477" s="8"/>
      <c r="R477" s="79"/>
      <c r="S477" s="79"/>
      <c r="T477" s="79"/>
      <c r="U477" s="34"/>
      <c r="V477" s="34"/>
    </row>
    <row r="478" spans="1:22" ht="12.75" customHeight="1" x14ac:dyDescent="0.2">
      <c r="A478" s="38"/>
      <c r="B478" s="38"/>
      <c r="C478" s="8"/>
      <c r="D478" s="8"/>
      <c r="E478" s="8"/>
      <c r="F478" s="8"/>
      <c r="G478" s="8"/>
      <c r="H478" s="8"/>
      <c r="I478" s="8"/>
      <c r="J478" s="8"/>
      <c r="K478" s="8"/>
      <c r="L478" s="8"/>
      <c r="M478" s="8"/>
      <c r="N478" s="8"/>
      <c r="O478" s="8"/>
      <c r="P478" s="8"/>
      <c r="Q478" s="8"/>
      <c r="R478" s="79"/>
      <c r="S478" s="79"/>
      <c r="T478" s="79"/>
      <c r="U478" s="34"/>
      <c r="V478" s="34"/>
    </row>
    <row r="479" spans="1:22" ht="12.75" customHeight="1" x14ac:dyDescent="0.2">
      <c r="A479" s="38"/>
      <c r="B479" s="38"/>
      <c r="C479" s="8"/>
      <c r="D479" s="8"/>
      <c r="E479" s="8"/>
      <c r="F479" s="8"/>
      <c r="G479" s="8"/>
      <c r="H479" s="8"/>
      <c r="I479" s="8"/>
      <c r="J479" s="8"/>
      <c r="K479" s="8"/>
      <c r="L479" s="8"/>
      <c r="M479" s="8"/>
      <c r="N479" s="8"/>
      <c r="O479" s="8"/>
      <c r="P479" s="8"/>
      <c r="Q479" s="8"/>
      <c r="R479" s="79"/>
      <c r="S479" s="79"/>
      <c r="T479" s="79"/>
      <c r="U479" s="34"/>
      <c r="V479" s="34"/>
    </row>
    <row r="480" spans="1:22" ht="12.75" customHeight="1" x14ac:dyDescent="0.2">
      <c r="A480" s="38"/>
      <c r="B480" s="38"/>
      <c r="C480" s="8"/>
      <c r="D480" s="8"/>
      <c r="E480" s="8"/>
      <c r="F480" s="8"/>
      <c r="G480" s="8"/>
      <c r="H480" s="8"/>
      <c r="I480" s="8"/>
      <c r="J480" s="8"/>
      <c r="K480" s="8"/>
      <c r="L480" s="8"/>
      <c r="M480" s="8"/>
      <c r="N480" s="8"/>
      <c r="O480" s="8"/>
      <c r="P480" s="8"/>
      <c r="Q480" s="8"/>
      <c r="R480" s="79"/>
      <c r="S480" s="79"/>
      <c r="T480" s="79"/>
      <c r="U480" s="34"/>
      <c r="V480" s="34"/>
    </row>
    <row r="481" spans="1:22" ht="12.75" customHeight="1" x14ac:dyDescent="0.2">
      <c r="A481" s="38"/>
      <c r="B481" s="38"/>
      <c r="C481" s="8"/>
      <c r="D481" s="8"/>
      <c r="E481" s="8"/>
      <c r="F481" s="8"/>
      <c r="G481" s="8"/>
      <c r="H481" s="8"/>
      <c r="I481" s="8"/>
      <c r="J481" s="8"/>
      <c r="K481" s="8"/>
      <c r="L481" s="8"/>
      <c r="M481" s="8"/>
      <c r="N481" s="8"/>
      <c r="O481" s="8"/>
      <c r="P481" s="8"/>
      <c r="Q481" s="8"/>
      <c r="R481" s="79"/>
      <c r="S481" s="79"/>
      <c r="T481" s="79"/>
      <c r="U481" s="34"/>
      <c r="V481" s="34"/>
    </row>
    <row r="482" spans="1:22" ht="12.75" customHeight="1" x14ac:dyDescent="0.2">
      <c r="A482" s="38"/>
      <c r="B482" s="38"/>
      <c r="C482" s="8"/>
      <c r="D482" s="8"/>
      <c r="E482" s="8"/>
      <c r="F482" s="8"/>
      <c r="G482" s="8"/>
      <c r="H482" s="8"/>
      <c r="I482" s="8"/>
      <c r="J482" s="8"/>
      <c r="K482" s="8"/>
      <c r="L482" s="8"/>
      <c r="M482" s="8"/>
      <c r="N482" s="8"/>
      <c r="O482" s="8"/>
      <c r="P482" s="8"/>
      <c r="Q482" s="8"/>
      <c r="R482" s="79"/>
      <c r="S482" s="79"/>
      <c r="T482" s="79"/>
      <c r="U482" s="34"/>
      <c r="V482" s="34"/>
    </row>
    <row r="483" spans="1:22" ht="12.75" customHeight="1" x14ac:dyDescent="0.2">
      <c r="A483" s="38"/>
      <c r="B483" s="38"/>
      <c r="C483" s="8"/>
      <c r="D483" s="8"/>
      <c r="E483" s="8"/>
      <c r="F483" s="8"/>
      <c r="G483" s="8"/>
      <c r="H483" s="8"/>
      <c r="I483" s="8"/>
      <c r="J483" s="8"/>
      <c r="K483" s="8"/>
      <c r="L483" s="8"/>
      <c r="M483" s="8"/>
      <c r="N483" s="8"/>
      <c r="O483" s="8"/>
      <c r="P483" s="8"/>
      <c r="Q483" s="8"/>
      <c r="R483" s="79"/>
      <c r="S483" s="79"/>
      <c r="T483" s="79"/>
      <c r="U483" s="34"/>
      <c r="V483" s="34"/>
    </row>
    <row r="484" spans="1:22" ht="12.75" customHeight="1" x14ac:dyDescent="0.2">
      <c r="A484" s="38"/>
      <c r="B484" s="38"/>
      <c r="C484" s="8"/>
      <c r="D484" s="8"/>
      <c r="E484" s="8"/>
      <c r="F484" s="8"/>
      <c r="G484" s="8"/>
      <c r="H484" s="8"/>
      <c r="I484" s="8"/>
      <c r="J484" s="8"/>
      <c r="K484" s="8"/>
      <c r="L484" s="8"/>
      <c r="M484" s="8"/>
      <c r="N484" s="8"/>
      <c r="O484" s="8"/>
      <c r="P484" s="8"/>
      <c r="Q484" s="8"/>
      <c r="R484" s="79"/>
      <c r="S484" s="79"/>
      <c r="T484" s="79"/>
      <c r="U484" s="34"/>
      <c r="V484" s="34"/>
    </row>
    <row r="485" spans="1:22" ht="12.75" customHeight="1" x14ac:dyDescent="0.2">
      <c r="A485" s="38"/>
      <c r="B485" s="38"/>
      <c r="C485" s="8"/>
      <c r="D485" s="8"/>
      <c r="E485" s="8"/>
      <c r="F485" s="8"/>
      <c r="G485" s="8"/>
      <c r="H485" s="8"/>
      <c r="I485" s="8"/>
      <c r="J485" s="8"/>
      <c r="K485" s="8"/>
      <c r="L485" s="8"/>
      <c r="M485" s="8"/>
      <c r="N485" s="8"/>
      <c r="O485" s="8"/>
      <c r="P485" s="8"/>
      <c r="Q485" s="8"/>
      <c r="R485" s="79"/>
      <c r="S485" s="79"/>
      <c r="T485" s="79"/>
      <c r="U485" s="34"/>
      <c r="V485" s="34"/>
    </row>
    <row r="486" spans="1:22" ht="12.75" customHeight="1" x14ac:dyDescent="0.2">
      <c r="A486" s="38"/>
      <c r="B486" s="38"/>
      <c r="C486" s="8"/>
      <c r="D486" s="8"/>
      <c r="E486" s="8"/>
      <c r="F486" s="8"/>
      <c r="G486" s="8"/>
      <c r="H486" s="8"/>
      <c r="I486" s="8"/>
      <c r="J486" s="8"/>
      <c r="K486" s="8"/>
      <c r="L486" s="8"/>
      <c r="M486" s="8"/>
      <c r="N486" s="8"/>
      <c r="O486" s="8"/>
      <c r="P486" s="8"/>
      <c r="Q486" s="8"/>
      <c r="R486" s="79"/>
      <c r="S486" s="79"/>
      <c r="T486" s="79"/>
      <c r="U486" s="34"/>
      <c r="V486" s="34"/>
    </row>
    <row r="487" spans="1:22" ht="12.75" customHeight="1" x14ac:dyDescent="0.2">
      <c r="A487" s="38"/>
      <c r="B487" s="38"/>
      <c r="C487" s="8"/>
      <c r="D487" s="8"/>
      <c r="E487" s="8"/>
      <c r="F487" s="8"/>
      <c r="G487" s="8"/>
      <c r="H487" s="8"/>
      <c r="I487" s="8"/>
      <c r="J487" s="8"/>
      <c r="K487" s="8"/>
      <c r="L487" s="8"/>
      <c r="M487" s="8"/>
      <c r="N487" s="8"/>
      <c r="O487" s="8"/>
      <c r="P487" s="8"/>
      <c r="Q487" s="8"/>
      <c r="R487" s="79"/>
      <c r="S487" s="79"/>
      <c r="T487" s="79"/>
      <c r="U487" s="34"/>
      <c r="V487" s="34"/>
    </row>
    <row r="488" spans="1:22" ht="12.75" customHeight="1" x14ac:dyDescent="0.2">
      <c r="A488" s="38"/>
      <c r="B488" s="38"/>
      <c r="C488" s="8"/>
      <c r="D488" s="8"/>
      <c r="E488" s="8"/>
      <c r="F488" s="8"/>
      <c r="G488" s="8"/>
      <c r="H488" s="8"/>
      <c r="I488" s="8"/>
      <c r="J488" s="8"/>
      <c r="K488" s="8"/>
      <c r="L488" s="8"/>
      <c r="M488" s="8"/>
      <c r="N488" s="8"/>
      <c r="O488" s="8"/>
      <c r="P488" s="8"/>
      <c r="Q488" s="8"/>
      <c r="R488" s="79"/>
      <c r="S488" s="79"/>
      <c r="T488" s="79"/>
      <c r="U488" s="34"/>
      <c r="V488" s="34"/>
    </row>
    <row r="489" spans="1:22" ht="12.75" customHeight="1" x14ac:dyDescent="0.2">
      <c r="A489" s="38"/>
      <c r="B489" s="38"/>
      <c r="C489" s="8"/>
      <c r="D489" s="8"/>
      <c r="E489" s="8"/>
      <c r="F489" s="8"/>
      <c r="G489" s="8"/>
      <c r="H489" s="8"/>
      <c r="I489" s="8"/>
      <c r="J489" s="8"/>
      <c r="K489" s="8"/>
      <c r="L489" s="8"/>
      <c r="M489" s="8"/>
      <c r="N489" s="8"/>
      <c r="O489" s="8"/>
      <c r="P489" s="8"/>
      <c r="Q489" s="8"/>
      <c r="R489" s="79"/>
      <c r="S489" s="79"/>
      <c r="T489" s="79"/>
      <c r="U489" s="34"/>
      <c r="V489" s="34"/>
    </row>
    <row r="490" spans="1:22" ht="12.75" customHeight="1" x14ac:dyDescent="0.2">
      <c r="A490" s="38"/>
      <c r="B490" s="38"/>
      <c r="C490" s="8"/>
      <c r="D490" s="8"/>
      <c r="E490" s="8"/>
      <c r="F490" s="8"/>
      <c r="G490" s="8"/>
      <c r="H490" s="8"/>
      <c r="I490" s="8"/>
      <c r="J490" s="8"/>
      <c r="K490" s="8"/>
      <c r="L490" s="8"/>
      <c r="M490" s="8"/>
      <c r="N490" s="8"/>
      <c r="O490" s="8"/>
      <c r="P490" s="8"/>
      <c r="Q490" s="8"/>
      <c r="R490" s="79"/>
      <c r="S490" s="79"/>
      <c r="T490" s="79"/>
      <c r="U490" s="34"/>
      <c r="V490" s="34"/>
    </row>
    <row r="491" spans="1:22" ht="12.75" customHeight="1" x14ac:dyDescent="0.2">
      <c r="A491" s="38"/>
      <c r="B491" s="38"/>
      <c r="C491" s="8"/>
      <c r="D491" s="8"/>
      <c r="E491" s="8"/>
      <c r="F491" s="8"/>
      <c r="G491" s="8"/>
      <c r="H491" s="8"/>
      <c r="I491" s="8"/>
      <c r="J491" s="8"/>
      <c r="K491" s="8"/>
      <c r="L491" s="8"/>
      <c r="M491" s="8"/>
      <c r="N491" s="8"/>
      <c r="O491" s="8"/>
      <c r="P491" s="8"/>
      <c r="Q491" s="8"/>
      <c r="R491" s="79"/>
      <c r="S491" s="79"/>
      <c r="T491" s="79"/>
      <c r="U491" s="34"/>
      <c r="V491" s="34"/>
    </row>
    <row r="492" spans="1:22" ht="12.75" customHeight="1" x14ac:dyDescent="0.2">
      <c r="A492" s="38"/>
      <c r="B492" s="38"/>
      <c r="C492" s="8"/>
      <c r="D492" s="8"/>
      <c r="E492" s="8"/>
      <c r="F492" s="8"/>
      <c r="G492" s="8"/>
      <c r="H492" s="8"/>
      <c r="I492" s="8"/>
      <c r="J492" s="8"/>
      <c r="K492" s="8"/>
      <c r="L492" s="8"/>
      <c r="M492" s="8"/>
      <c r="N492" s="8"/>
      <c r="O492" s="8"/>
      <c r="P492" s="8"/>
      <c r="Q492" s="8"/>
      <c r="R492" s="79"/>
      <c r="S492" s="79"/>
      <c r="T492" s="79"/>
      <c r="U492" s="34"/>
      <c r="V492" s="34"/>
    </row>
    <row r="493" spans="1:22" ht="12.75" customHeight="1" x14ac:dyDescent="0.2">
      <c r="A493" s="38"/>
      <c r="B493" s="38"/>
      <c r="C493" s="8"/>
      <c r="D493" s="8"/>
      <c r="E493" s="8"/>
      <c r="F493" s="8"/>
      <c r="G493" s="8"/>
      <c r="H493" s="8"/>
      <c r="I493" s="8"/>
      <c r="J493" s="8"/>
      <c r="K493" s="8"/>
      <c r="L493" s="8"/>
      <c r="M493" s="8"/>
      <c r="N493" s="8"/>
      <c r="O493" s="8"/>
      <c r="P493" s="8"/>
      <c r="Q493" s="8"/>
      <c r="R493" s="79"/>
      <c r="S493" s="79"/>
      <c r="T493" s="79"/>
      <c r="U493" s="34"/>
      <c r="V493" s="34"/>
    </row>
    <row r="494" spans="1:22" ht="12.75" customHeight="1" x14ac:dyDescent="0.2">
      <c r="A494" s="38"/>
      <c r="B494" s="38"/>
      <c r="C494" s="8"/>
      <c r="D494" s="8"/>
      <c r="E494" s="8"/>
      <c r="F494" s="8"/>
      <c r="G494" s="8"/>
      <c r="H494" s="8"/>
      <c r="I494" s="8"/>
      <c r="J494" s="8"/>
      <c r="K494" s="8"/>
      <c r="L494" s="8"/>
      <c r="M494" s="8"/>
      <c r="N494" s="8"/>
      <c r="O494" s="8"/>
      <c r="P494" s="8"/>
      <c r="Q494" s="8"/>
      <c r="R494" s="79"/>
      <c r="S494" s="79"/>
      <c r="T494" s="79"/>
      <c r="U494" s="34"/>
      <c r="V494" s="34"/>
    </row>
    <row r="495" spans="1:22" ht="12.75" customHeight="1" x14ac:dyDescent="0.2">
      <c r="A495" s="38"/>
      <c r="B495" s="38"/>
      <c r="C495" s="8"/>
      <c r="D495" s="8"/>
      <c r="E495" s="8"/>
      <c r="F495" s="8"/>
      <c r="G495" s="8"/>
      <c r="H495" s="8"/>
      <c r="I495" s="8"/>
      <c r="J495" s="8"/>
      <c r="K495" s="8"/>
      <c r="L495" s="8"/>
      <c r="M495" s="8"/>
      <c r="N495" s="8"/>
      <c r="O495" s="8"/>
      <c r="P495" s="8"/>
      <c r="Q495" s="8"/>
      <c r="R495" s="79"/>
      <c r="S495" s="79"/>
      <c r="T495" s="79"/>
      <c r="U495" s="34"/>
      <c r="V495" s="34"/>
    </row>
    <row r="496" spans="1:22" ht="12.75" customHeight="1" x14ac:dyDescent="0.2">
      <c r="A496" s="38"/>
      <c r="B496" s="38"/>
      <c r="C496" s="8"/>
      <c r="D496" s="8"/>
      <c r="E496" s="8"/>
      <c r="F496" s="8"/>
      <c r="G496" s="8"/>
      <c r="H496" s="8"/>
      <c r="I496" s="8"/>
      <c r="J496" s="8"/>
      <c r="K496" s="8"/>
      <c r="L496" s="8"/>
      <c r="M496" s="8"/>
      <c r="N496" s="8"/>
      <c r="O496" s="8"/>
      <c r="P496" s="8"/>
      <c r="Q496" s="8"/>
      <c r="R496" s="79"/>
      <c r="S496" s="79"/>
      <c r="T496" s="79"/>
      <c r="U496" s="34"/>
      <c r="V496" s="34"/>
    </row>
    <row r="497" spans="1:22" ht="12.75" customHeight="1" x14ac:dyDescent="0.2">
      <c r="A497" s="38"/>
      <c r="B497" s="38"/>
      <c r="C497" s="8"/>
      <c r="D497" s="8"/>
      <c r="E497" s="8"/>
      <c r="F497" s="8"/>
      <c r="G497" s="8"/>
      <c r="H497" s="8"/>
      <c r="I497" s="8"/>
      <c r="J497" s="8"/>
      <c r="K497" s="8"/>
      <c r="L497" s="8"/>
      <c r="M497" s="8"/>
      <c r="N497" s="8"/>
      <c r="O497" s="8"/>
      <c r="P497" s="8"/>
      <c r="Q497" s="8"/>
      <c r="R497" s="79"/>
      <c r="S497" s="79"/>
      <c r="T497" s="79"/>
      <c r="U497" s="34"/>
      <c r="V497" s="34"/>
    </row>
    <row r="498" spans="1:22" ht="12.75" customHeight="1" x14ac:dyDescent="0.2">
      <c r="A498" s="38"/>
      <c r="B498" s="38"/>
      <c r="C498" s="8"/>
      <c r="D498" s="8"/>
      <c r="E498" s="8"/>
      <c r="F498" s="8"/>
      <c r="G498" s="8"/>
      <c r="H498" s="8"/>
      <c r="I498" s="8"/>
      <c r="J498" s="8"/>
      <c r="K498" s="8"/>
      <c r="L498" s="8"/>
      <c r="M498" s="8"/>
      <c r="N498" s="8"/>
      <c r="O498" s="8"/>
      <c r="P498" s="8"/>
      <c r="Q498" s="8"/>
      <c r="R498" s="79"/>
      <c r="S498" s="79"/>
      <c r="T498" s="79"/>
      <c r="U498" s="34"/>
      <c r="V498" s="34"/>
    </row>
    <row r="499" spans="1:22" ht="12.75" customHeight="1" x14ac:dyDescent="0.2">
      <c r="A499" s="38"/>
      <c r="B499" s="38"/>
      <c r="C499" s="8"/>
      <c r="D499" s="8"/>
      <c r="E499" s="8"/>
      <c r="F499" s="8"/>
      <c r="G499" s="8"/>
      <c r="H499" s="8"/>
      <c r="I499" s="8"/>
      <c r="J499" s="8"/>
      <c r="K499" s="8"/>
      <c r="L499" s="8"/>
      <c r="M499" s="8"/>
      <c r="N499" s="8"/>
      <c r="O499" s="8"/>
      <c r="P499" s="8"/>
      <c r="Q499" s="8"/>
      <c r="R499" s="79"/>
      <c r="S499" s="79"/>
      <c r="T499" s="79"/>
      <c r="U499" s="34"/>
      <c r="V499" s="34"/>
    </row>
    <row r="500" spans="1:22" ht="12.75" customHeight="1" x14ac:dyDescent="0.2">
      <c r="A500" s="38"/>
      <c r="B500" s="38"/>
      <c r="C500" s="8"/>
      <c r="D500" s="8"/>
      <c r="E500" s="8"/>
      <c r="F500" s="8"/>
      <c r="G500" s="8"/>
      <c r="H500" s="8"/>
      <c r="I500" s="8"/>
      <c r="J500" s="8"/>
      <c r="K500" s="8"/>
      <c r="L500" s="8"/>
      <c r="M500" s="8"/>
      <c r="N500" s="8"/>
      <c r="O500" s="8"/>
      <c r="P500" s="8"/>
      <c r="Q500" s="8"/>
      <c r="R500" s="79"/>
      <c r="S500" s="79"/>
      <c r="T500" s="79"/>
      <c r="U500" s="34"/>
      <c r="V500" s="34"/>
    </row>
    <row r="501" spans="1:22" ht="12.75" customHeight="1" x14ac:dyDescent="0.2">
      <c r="A501" s="38"/>
      <c r="B501" s="38"/>
      <c r="C501" s="8"/>
      <c r="D501" s="8"/>
      <c r="E501" s="8"/>
      <c r="F501" s="8"/>
      <c r="G501" s="8"/>
      <c r="H501" s="8"/>
      <c r="I501" s="8"/>
      <c r="J501" s="8"/>
      <c r="K501" s="8"/>
      <c r="L501" s="8"/>
      <c r="M501" s="8"/>
      <c r="N501" s="8"/>
      <c r="O501" s="8"/>
      <c r="P501" s="8"/>
      <c r="Q501" s="8"/>
      <c r="R501" s="79"/>
      <c r="S501" s="79"/>
      <c r="T501" s="79"/>
      <c r="U501" s="34"/>
      <c r="V501" s="34"/>
    </row>
    <row r="502" spans="1:22" ht="12.75" customHeight="1" x14ac:dyDescent="0.2">
      <c r="A502" s="38"/>
      <c r="B502" s="38"/>
      <c r="C502" s="8"/>
      <c r="D502" s="8"/>
      <c r="E502" s="8"/>
      <c r="F502" s="8"/>
      <c r="G502" s="8"/>
      <c r="H502" s="8"/>
      <c r="I502" s="8"/>
      <c r="J502" s="8"/>
      <c r="K502" s="8"/>
      <c r="L502" s="8"/>
      <c r="M502" s="8"/>
      <c r="N502" s="8"/>
      <c r="O502" s="8"/>
      <c r="P502" s="8"/>
      <c r="Q502" s="8"/>
      <c r="R502" s="79"/>
      <c r="S502" s="79"/>
      <c r="T502" s="79"/>
      <c r="U502" s="34"/>
      <c r="V502" s="34"/>
    </row>
    <row r="503" spans="1:22" ht="12.75" customHeight="1" x14ac:dyDescent="0.2">
      <c r="A503" s="38"/>
      <c r="B503" s="38"/>
      <c r="C503" s="8"/>
      <c r="D503" s="8"/>
      <c r="E503" s="8"/>
      <c r="F503" s="8"/>
      <c r="G503" s="8"/>
      <c r="H503" s="8"/>
      <c r="I503" s="8"/>
      <c r="J503" s="8"/>
      <c r="K503" s="8"/>
      <c r="L503" s="8"/>
      <c r="M503" s="8"/>
      <c r="N503" s="8"/>
      <c r="O503" s="8"/>
      <c r="P503" s="8"/>
      <c r="Q503" s="8"/>
      <c r="R503" s="79"/>
      <c r="S503" s="79"/>
      <c r="T503" s="79"/>
      <c r="U503" s="34"/>
      <c r="V503" s="34"/>
    </row>
    <row r="504" spans="1:22" ht="12.75" customHeight="1" x14ac:dyDescent="0.2">
      <c r="A504" s="38"/>
      <c r="B504" s="38"/>
      <c r="C504" s="8"/>
      <c r="D504" s="8"/>
      <c r="E504" s="8"/>
      <c r="F504" s="8"/>
      <c r="G504" s="8"/>
      <c r="H504" s="8"/>
      <c r="I504" s="8"/>
      <c r="J504" s="8"/>
      <c r="K504" s="8"/>
      <c r="L504" s="8"/>
      <c r="M504" s="8"/>
      <c r="N504" s="8"/>
      <c r="O504" s="8"/>
      <c r="P504" s="8"/>
      <c r="Q504" s="8"/>
      <c r="R504" s="79"/>
      <c r="S504" s="79"/>
      <c r="T504" s="79"/>
      <c r="U504" s="34"/>
      <c r="V504" s="34"/>
    </row>
    <row r="505" spans="1:22" ht="12.75" customHeight="1" x14ac:dyDescent="0.2">
      <c r="A505" s="38"/>
      <c r="B505" s="38"/>
      <c r="C505" s="8"/>
      <c r="D505" s="8"/>
      <c r="E505" s="8"/>
      <c r="F505" s="8"/>
      <c r="G505" s="8"/>
      <c r="H505" s="8"/>
      <c r="I505" s="8"/>
      <c r="J505" s="8"/>
      <c r="K505" s="8"/>
      <c r="L505" s="8"/>
      <c r="M505" s="8"/>
      <c r="N505" s="8"/>
      <c r="O505" s="8"/>
      <c r="P505" s="8"/>
      <c r="Q505" s="8"/>
      <c r="R505" s="79"/>
      <c r="S505" s="79"/>
      <c r="T505" s="79"/>
      <c r="U505" s="34"/>
      <c r="V505" s="34"/>
    </row>
    <row r="506" spans="1:22" ht="12.75" customHeight="1" x14ac:dyDescent="0.2">
      <c r="A506" s="38"/>
      <c r="B506" s="38"/>
      <c r="C506" s="8"/>
      <c r="D506" s="8"/>
      <c r="E506" s="8"/>
      <c r="F506" s="8"/>
      <c r="G506" s="8"/>
      <c r="H506" s="8"/>
      <c r="I506" s="8"/>
      <c r="J506" s="8"/>
      <c r="K506" s="8"/>
      <c r="L506" s="8"/>
      <c r="M506" s="8"/>
      <c r="N506" s="8"/>
      <c r="O506" s="8"/>
      <c r="P506" s="8"/>
      <c r="Q506" s="8"/>
      <c r="R506" s="79"/>
      <c r="S506" s="79"/>
      <c r="T506" s="79"/>
      <c r="U506" s="34"/>
      <c r="V506" s="34"/>
    </row>
    <row r="507" spans="1:22" ht="12.75" customHeight="1" x14ac:dyDescent="0.2">
      <c r="A507" s="38"/>
      <c r="B507" s="38"/>
      <c r="C507" s="8"/>
      <c r="D507" s="8"/>
      <c r="E507" s="8"/>
      <c r="F507" s="8"/>
      <c r="G507" s="8"/>
      <c r="H507" s="8"/>
      <c r="I507" s="8"/>
      <c r="J507" s="8"/>
      <c r="K507" s="8"/>
      <c r="L507" s="8"/>
      <c r="M507" s="8"/>
      <c r="N507" s="8"/>
      <c r="O507" s="8"/>
      <c r="P507" s="8"/>
      <c r="Q507" s="8"/>
      <c r="R507" s="79"/>
      <c r="S507" s="79"/>
      <c r="T507" s="79"/>
      <c r="U507" s="34"/>
      <c r="V507" s="34"/>
    </row>
    <row r="508" spans="1:22" ht="12.75" customHeight="1" x14ac:dyDescent="0.2">
      <c r="A508" s="38"/>
      <c r="B508" s="38"/>
      <c r="C508" s="8"/>
      <c r="D508" s="8"/>
      <c r="E508" s="8"/>
      <c r="F508" s="8"/>
      <c r="G508" s="8"/>
      <c r="H508" s="8"/>
      <c r="I508" s="8"/>
      <c r="J508" s="8"/>
      <c r="K508" s="8"/>
      <c r="L508" s="8"/>
      <c r="M508" s="8"/>
      <c r="N508" s="8"/>
      <c r="O508" s="8"/>
      <c r="P508" s="8"/>
      <c r="Q508" s="8"/>
      <c r="R508" s="79"/>
      <c r="S508" s="79"/>
      <c r="T508" s="79"/>
      <c r="U508" s="34"/>
      <c r="V508" s="34"/>
    </row>
    <row r="509" spans="1:22" ht="12.75" customHeight="1" x14ac:dyDescent="0.2">
      <c r="A509" s="38"/>
      <c r="B509" s="38"/>
      <c r="C509" s="8"/>
      <c r="D509" s="8"/>
      <c r="E509" s="8"/>
      <c r="F509" s="8"/>
      <c r="G509" s="8"/>
      <c r="H509" s="8"/>
      <c r="I509" s="8"/>
      <c r="J509" s="8"/>
      <c r="K509" s="8"/>
      <c r="L509" s="8"/>
      <c r="M509" s="8"/>
      <c r="N509" s="8"/>
      <c r="O509" s="8"/>
      <c r="P509" s="8"/>
      <c r="Q509" s="8"/>
      <c r="R509" s="79"/>
      <c r="S509" s="79"/>
      <c r="T509" s="79"/>
      <c r="U509" s="34"/>
      <c r="V509" s="34"/>
    </row>
    <row r="510" spans="1:22" ht="12.75" customHeight="1" x14ac:dyDescent="0.2">
      <c r="A510" s="38"/>
      <c r="B510" s="38"/>
      <c r="C510" s="8"/>
      <c r="D510" s="8"/>
      <c r="E510" s="8"/>
      <c r="F510" s="8"/>
      <c r="G510" s="8"/>
      <c r="H510" s="8"/>
      <c r="I510" s="8"/>
      <c r="J510" s="8"/>
      <c r="K510" s="8"/>
      <c r="L510" s="8"/>
      <c r="M510" s="8"/>
      <c r="N510" s="8"/>
      <c r="O510" s="8"/>
      <c r="P510" s="8"/>
      <c r="Q510" s="8"/>
      <c r="R510" s="79"/>
      <c r="S510" s="79"/>
      <c r="T510" s="79"/>
      <c r="U510" s="34"/>
      <c r="V510" s="34"/>
    </row>
    <row r="511" spans="1:22" ht="12.75" customHeight="1" x14ac:dyDescent="0.2">
      <c r="A511" s="38"/>
      <c r="B511" s="38"/>
      <c r="C511" s="8"/>
      <c r="D511" s="8"/>
      <c r="E511" s="8"/>
      <c r="F511" s="8"/>
      <c r="G511" s="8"/>
      <c r="H511" s="8"/>
      <c r="I511" s="8"/>
      <c r="J511" s="8"/>
      <c r="K511" s="8"/>
      <c r="L511" s="8"/>
      <c r="M511" s="8"/>
      <c r="N511" s="8"/>
      <c r="O511" s="8"/>
      <c r="P511" s="8"/>
      <c r="Q511" s="8"/>
      <c r="R511" s="79"/>
      <c r="S511" s="79"/>
      <c r="T511" s="79"/>
      <c r="U511" s="34"/>
      <c r="V511" s="34"/>
    </row>
    <row r="512" spans="1:22" ht="12.75" customHeight="1" x14ac:dyDescent="0.2">
      <c r="A512" s="38"/>
      <c r="B512" s="38"/>
      <c r="C512" s="8"/>
      <c r="D512" s="8"/>
      <c r="E512" s="8"/>
      <c r="F512" s="8"/>
      <c r="G512" s="8"/>
      <c r="H512" s="8"/>
      <c r="I512" s="8"/>
      <c r="J512" s="8"/>
      <c r="K512" s="8"/>
      <c r="L512" s="8"/>
      <c r="M512" s="8"/>
      <c r="N512" s="8"/>
      <c r="O512" s="8"/>
      <c r="P512" s="8"/>
      <c r="Q512" s="8"/>
      <c r="R512" s="79"/>
      <c r="S512" s="79"/>
      <c r="T512" s="79"/>
      <c r="U512" s="34"/>
      <c r="V512" s="34"/>
    </row>
    <row r="513" spans="1:22" ht="12.75" customHeight="1" x14ac:dyDescent="0.2">
      <c r="A513" s="38"/>
      <c r="B513" s="38"/>
      <c r="C513" s="8"/>
      <c r="D513" s="8"/>
      <c r="E513" s="8"/>
      <c r="F513" s="8"/>
      <c r="G513" s="8"/>
      <c r="H513" s="8"/>
      <c r="I513" s="8"/>
      <c r="J513" s="8"/>
      <c r="K513" s="8"/>
      <c r="L513" s="8"/>
      <c r="M513" s="8"/>
      <c r="N513" s="8"/>
      <c r="O513" s="8"/>
      <c r="P513" s="8"/>
      <c r="Q513" s="8"/>
      <c r="R513" s="79"/>
      <c r="S513" s="79"/>
      <c r="T513" s="79"/>
      <c r="U513" s="34"/>
      <c r="V513" s="34"/>
    </row>
    <row r="514" spans="1:22" ht="12.75" customHeight="1" x14ac:dyDescent="0.2">
      <c r="A514" s="38"/>
      <c r="B514" s="38"/>
      <c r="C514" s="8"/>
      <c r="D514" s="8"/>
      <c r="E514" s="8"/>
      <c r="F514" s="8"/>
      <c r="G514" s="8"/>
      <c r="H514" s="8"/>
      <c r="I514" s="8"/>
      <c r="J514" s="8"/>
      <c r="K514" s="8"/>
      <c r="L514" s="8"/>
      <c r="M514" s="8"/>
      <c r="N514" s="8"/>
      <c r="O514" s="8"/>
      <c r="P514" s="8"/>
      <c r="Q514" s="8"/>
      <c r="R514" s="79"/>
      <c r="S514" s="79"/>
      <c r="T514" s="79"/>
      <c r="U514" s="34"/>
      <c r="V514" s="34"/>
    </row>
    <row r="515" spans="1:22" ht="12.75" customHeight="1" x14ac:dyDescent="0.2">
      <c r="A515" s="38"/>
      <c r="B515" s="38"/>
      <c r="C515" s="8"/>
      <c r="D515" s="8"/>
      <c r="E515" s="8"/>
      <c r="F515" s="8"/>
      <c r="G515" s="8"/>
      <c r="H515" s="8"/>
      <c r="I515" s="8"/>
      <c r="J515" s="8"/>
      <c r="K515" s="8"/>
      <c r="L515" s="8"/>
      <c r="M515" s="8"/>
      <c r="N515" s="8"/>
      <c r="O515" s="8"/>
      <c r="P515" s="8"/>
      <c r="Q515" s="8"/>
      <c r="R515" s="79"/>
      <c r="S515" s="79"/>
      <c r="T515" s="79"/>
      <c r="U515" s="34"/>
      <c r="V515" s="34"/>
    </row>
    <row r="516" spans="1:22" ht="12.75" customHeight="1" x14ac:dyDescent="0.2">
      <c r="A516" s="38"/>
      <c r="B516" s="38"/>
      <c r="C516" s="8"/>
      <c r="D516" s="8"/>
      <c r="E516" s="8"/>
      <c r="F516" s="8"/>
      <c r="G516" s="8"/>
      <c r="H516" s="8"/>
      <c r="I516" s="8"/>
      <c r="J516" s="8"/>
      <c r="K516" s="8"/>
      <c r="L516" s="8"/>
      <c r="M516" s="8"/>
      <c r="N516" s="8"/>
      <c r="O516" s="8"/>
      <c r="P516" s="8"/>
      <c r="Q516" s="8"/>
      <c r="R516" s="79"/>
      <c r="S516" s="79"/>
      <c r="T516" s="79"/>
      <c r="U516" s="34"/>
      <c r="V516" s="34"/>
    </row>
    <row r="517" spans="1:22" ht="12.75" customHeight="1" x14ac:dyDescent="0.2">
      <c r="A517" s="38"/>
      <c r="B517" s="38"/>
      <c r="C517" s="8"/>
      <c r="D517" s="8"/>
      <c r="E517" s="8"/>
      <c r="F517" s="8"/>
      <c r="G517" s="8"/>
      <c r="H517" s="8"/>
      <c r="I517" s="8"/>
      <c r="J517" s="8"/>
      <c r="K517" s="8"/>
      <c r="L517" s="8"/>
      <c r="M517" s="8"/>
      <c r="N517" s="8"/>
      <c r="O517" s="8"/>
      <c r="P517" s="8"/>
      <c r="Q517" s="8"/>
      <c r="R517" s="79"/>
      <c r="S517" s="79"/>
      <c r="T517" s="79"/>
      <c r="U517" s="34"/>
      <c r="V517" s="34"/>
    </row>
    <row r="518" spans="1:22" ht="12.75" customHeight="1" x14ac:dyDescent="0.2">
      <c r="A518" s="38"/>
      <c r="B518" s="38"/>
      <c r="C518" s="8"/>
      <c r="D518" s="8"/>
      <c r="E518" s="8"/>
      <c r="F518" s="8"/>
      <c r="G518" s="8"/>
      <c r="H518" s="8"/>
      <c r="I518" s="8"/>
      <c r="J518" s="8"/>
      <c r="K518" s="8"/>
      <c r="L518" s="8"/>
      <c r="M518" s="8"/>
      <c r="N518" s="8"/>
      <c r="O518" s="8"/>
      <c r="P518" s="8"/>
      <c r="Q518" s="8"/>
      <c r="R518" s="79"/>
      <c r="S518" s="79"/>
      <c r="T518" s="79"/>
      <c r="U518" s="34"/>
      <c r="V518" s="34"/>
    </row>
    <row r="519" spans="1:22" ht="12.75" customHeight="1" x14ac:dyDescent="0.2">
      <c r="A519" s="38"/>
      <c r="B519" s="38"/>
      <c r="C519" s="8"/>
      <c r="D519" s="8"/>
      <c r="E519" s="8"/>
      <c r="F519" s="8"/>
      <c r="G519" s="8"/>
      <c r="H519" s="8"/>
      <c r="I519" s="8"/>
      <c r="J519" s="8"/>
      <c r="K519" s="8"/>
      <c r="L519" s="8"/>
      <c r="M519" s="8"/>
      <c r="N519" s="8"/>
      <c r="O519" s="8"/>
      <c r="P519" s="8"/>
      <c r="Q519" s="8"/>
      <c r="R519" s="79"/>
      <c r="S519" s="79"/>
      <c r="T519" s="79"/>
      <c r="U519" s="34"/>
      <c r="V519" s="34"/>
    </row>
    <row r="520" spans="1:22" ht="12.75" customHeight="1" x14ac:dyDescent="0.2">
      <c r="A520" s="38"/>
      <c r="B520" s="38"/>
      <c r="C520" s="8"/>
      <c r="D520" s="8"/>
      <c r="E520" s="8"/>
      <c r="F520" s="8"/>
      <c r="G520" s="8"/>
      <c r="H520" s="8"/>
      <c r="I520" s="8"/>
      <c r="J520" s="8"/>
      <c r="K520" s="8"/>
      <c r="L520" s="8"/>
      <c r="M520" s="8"/>
      <c r="N520" s="8"/>
      <c r="O520" s="8"/>
      <c r="P520" s="8"/>
      <c r="Q520" s="8"/>
      <c r="R520" s="79"/>
      <c r="S520" s="79"/>
      <c r="T520" s="79"/>
      <c r="U520" s="34"/>
      <c r="V520" s="34"/>
    </row>
    <row r="521" spans="1:22" ht="12.75" customHeight="1" x14ac:dyDescent="0.2">
      <c r="A521" s="38"/>
      <c r="B521" s="38"/>
      <c r="C521" s="8"/>
      <c r="D521" s="8"/>
      <c r="E521" s="8"/>
      <c r="F521" s="8"/>
      <c r="G521" s="8"/>
      <c r="H521" s="8"/>
      <c r="I521" s="8"/>
      <c r="J521" s="8"/>
      <c r="K521" s="8"/>
      <c r="L521" s="8"/>
      <c r="M521" s="8"/>
      <c r="N521" s="8"/>
      <c r="O521" s="8"/>
      <c r="P521" s="8"/>
      <c r="Q521" s="8"/>
      <c r="R521" s="79"/>
      <c r="S521" s="79"/>
      <c r="T521" s="79"/>
      <c r="U521" s="34"/>
      <c r="V521" s="34"/>
    </row>
    <row r="522" spans="1:22" ht="12.75" customHeight="1" x14ac:dyDescent="0.2">
      <c r="A522" s="38"/>
      <c r="B522" s="38"/>
      <c r="C522" s="8"/>
      <c r="D522" s="8"/>
      <c r="E522" s="8"/>
      <c r="F522" s="8"/>
      <c r="G522" s="8"/>
      <c r="H522" s="8"/>
      <c r="I522" s="8"/>
      <c r="J522" s="8"/>
      <c r="K522" s="8"/>
      <c r="L522" s="8"/>
      <c r="M522" s="8"/>
      <c r="N522" s="8"/>
      <c r="O522" s="8"/>
      <c r="P522" s="8"/>
      <c r="Q522" s="8"/>
      <c r="R522" s="79"/>
      <c r="S522" s="79"/>
      <c r="T522" s="79"/>
      <c r="U522" s="34"/>
      <c r="V522" s="34"/>
    </row>
    <row r="523" spans="1:22" ht="12.75" customHeight="1" x14ac:dyDescent="0.2">
      <c r="A523" s="38"/>
      <c r="B523" s="38"/>
      <c r="C523" s="8"/>
      <c r="D523" s="8"/>
      <c r="E523" s="8"/>
      <c r="F523" s="8"/>
      <c r="G523" s="8"/>
      <c r="H523" s="8"/>
      <c r="I523" s="8"/>
      <c r="J523" s="8"/>
      <c r="K523" s="8"/>
      <c r="L523" s="8"/>
      <c r="M523" s="8"/>
      <c r="N523" s="8"/>
      <c r="O523" s="8"/>
      <c r="P523" s="8"/>
      <c r="Q523" s="8"/>
      <c r="R523" s="79"/>
      <c r="S523" s="79"/>
      <c r="T523" s="79"/>
      <c r="U523" s="34"/>
      <c r="V523" s="34"/>
    </row>
    <row r="524" spans="1:22" ht="12.75" customHeight="1" x14ac:dyDescent="0.2">
      <c r="A524" s="38"/>
      <c r="B524" s="38"/>
      <c r="C524" s="8"/>
      <c r="D524" s="8"/>
      <c r="E524" s="8"/>
      <c r="F524" s="8"/>
      <c r="G524" s="8"/>
      <c r="H524" s="8"/>
      <c r="I524" s="8"/>
      <c r="J524" s="8"/>
      <c r="K524" s="8"/>
      <c r="L524" s="8"/>
      <c r="M524" s="8"/>
      <c r="N524" s="8"/>
      <c r="O524" s="8"/>
      <c r="P524" s="8"/>
      <c r="Q524" s="8"/>
      <c r="R524" s="79"/>
      <c r="S524" s="79"/>
      <c r="T524" s="79"/>
      <c r="U524" s="34"/>
      <c r="V524" s="34"/>
    </row>
    <row r="525" spans="1:22" ht="12.75" customHeight="1" x14ac:dyDescent="0.2">
      <c r="A525" s="38"/>
      <c r="B525" s="38"/>
      <c r="C525" s="8"/>
      <c r="D525" s="8"/>
      <c r="E525" s="8"/>
      <c r="F525" s="8"/>
      <c r="G525" s="8"/>
      <c r="H525" s="8"/>
      <c r="I525" s="8"/>
      <c r="J525" s="8"/>
      <c r="K525" s="8"/>
      <c r="L525" s="8"/>
      <c r="M525" s="8"/>
      <c r="N525" s="8"/>
      <c r="O525" s="8"/>
      <c r="P525" s="8"/>
      <c r="Q525" s="8"/>
      <c r="R525" s="79"/>
      <c r="S525" s="79"/>
      <c r="T525" s="79"/>
      <c r="U525" s="34"/>
      <c r="V525" s="34"/>
    </row>
    <row r="526" spans="1:22" ht="12.75" customHeight="1" x14ac:dyDescent="0.2">
      <c r="A526" s="38"/>
      <c r="B526" s="38"/>
      <c r="C526" s="8"/>
      <c r="D526" s="8"/>
      <c r="E526" s="8"/>
      <c r="F526" s="8"/>
      <c r="G526" s="8"/>
      <c r="H526" s="8"/>
      <c r="I526" s="8"/>
      <c r="J526" s="8"/>
      <c r="K526" s="8"/>
      <c r="L526" s="8"/>
      <c r="M526" s="8"/>
      <c r="N526" s="8"/>
      <c r="O526" s="8"/>
      <c r="P526" s="8"/>
      <c r="Q526" s="8"/>
      <c r="R526" s="79"/>
      <c r="S526" s="79"/>
      <c r="T526" s="79"/>
      <c r="U526" s="34"/>
      <c r="V526" s="34"/>
    </row>
    <row r="527" spans="1:22" ht="12.75" customHeight="1" x14ac:dyDescent="0.2">
      <c r="A527" s="38"/>
      <c r="B527" s="38"/>
      <c r="C527" s="8"/>
      <c r="D527" s="8"/>
      <c r="E527" s="8"/>
      <c r="F527" s="8"/>
      <c r="G527" s="8"/>
      <c r="H527" s="8"/>
      <c r="I527" s="8"/>
      <c r="J527" s="8"/>
      <c r="K527" s="8"/>
      <c r="L527" s="8"/>
      <c r="M527" s="8"/>
      <c r="N527" s="8"/>
      <c r="O527" s="8"/>
      <c r="P527" s="8"/>
      <c r="Q527" s="8"/>
      <c r="R527" s="79"/>
      <c r="S527" s="79"/>
      <c r="T527" s="79"/>
      <c r="U527" s="34"/>
      <c r="V527" s="34"/>
    </row>
    <row r="528" spans="1:22" ht="12.75" customHeight="1" x14ac:dyDescent="0.2">
      <c r="A528" s="38"/>
      <c r="B528" s="38"/>
      <c r="C528" s="8"/>
      <c r="D528" s="8"/>
      <c r="E528" s="8"/>
      <c r="F528" s="8"/>
      <c r="G528" s="8"/>
      <c r="H528" s="8"/>
      <c r="I528" s="8"/>
      <c r="J528" s="8"/>
      <c r="K528" s="8"/>
      <c r="L528" s="8"/>
      <c r="M528" s="8"/>
      <c r="N528" s="8"/>
      <c r="O528" s="8"/>
      <c r="P528" s="8"/>
      <c r="Q528" s="8"/>
      <c r="R528" s="79"/>
      <c r="S528" s="79"/>
      <c r="T528" s="79"/>
      <c r="U528" s="34"/>
      <c r="V528" s="34"/>
    </row>
    <row r="529" spans="1:22" ht="12.75" customHeight="1" x14ac:dyDescent="0.2">
      <c r="A529" s="38"/>
      <c r="B529" s="38"/>
      <c r="C529" s="8"/>
      <c r="D529" s="8"/>
      <c r="E529" s="8"/>
      <c r="F529" s="8"/>
      <c r="G529" s="8"/>
      <c r="H529" s="8"/>
      <c r="I529" s="8"/>
      <c r="J529" s="8"/>
      <c r="K529" s="8"/>
      <c r="L529" s="8"/>
      <c r="M529" s="8"/>
      <c r="N529" s="8"/>
      <c r="O529" s="8"/>
      <c r="P529" s="8"/>
      <c r="Q529" s="8"/>
      <c r="R529" s="79"/>
      <c r="S529" s="79"/>
      <c r="T529" s="79"/>
      <c r="U529" s="34"/>
      <c r="V529" s="34"/>
    </row>
    <row r="530" spans="1:22" ht="12.75" customHeight="1" x14ac:dyDescent="0.2">
      <c r="A530" s="38"/>
      <c r="B530" s="38"/>
      <c r="C530" s="8"/>
      <c r="D530" s="8"/>
      <c r="E530" s="8"/>
      <c r="F530" s="8"/>
      <c r="G530" s="8"/>
      <c r="H530" s="8"/>
      <c r="I530" s="8"/>
      <c r="J530" s="8"/>
      <c r="K530" s="8"/>
      <c r="L530" s="8"/>
      <c r="M530" s="8"/>
      <c r="N530" s="8"/>
      <c r="O530" s="8"/>
      <c r="P530" s="8"/>
      <c r="Q530" s="8"/>
      <c r="R530" s="79"/>
      <c r="S530" s="79"/>
      <c r="T530" s="79"/>
      <c r="U530" s="34"/>
      <c r="V530" s="34"/>
    </row>
    <row r="531" spans="1:22" ht="12.75" customHeight="1" x14ac:dyDescent="0.2">
      <c r="A531" s="38"/>
      <c r="B531" s="38"/>
      <c r="C531" s="8"/>
      <c r="D531" s="8"/>
      <c r="E531" s="8"/>
      <c r="F531" s="8"/>
      <c r="G531" s="8"/>
      <c r="H531" s="8"/>
      <c r="I531" s="8"/>
      <c r="J531" s="8"/>
      <c r="K531" s="8"/>
      <c r="L531" s="8"/>
      <c r="M531" s="8"/>
      <c r="N531" s="8"/>
      <c r="O531" s="8"/>
      <c r="P531" s="8"/>
      <c r="Q531" s="8"/>
      <c r="R531" s="79"/>
      <c r="S531" s="79"/>
      <c r="T531" s="79"/>
      <c r="U531" s="34"/>
      <c r="V531" s="34"/>
    </row>
    <row r="532" spans="1:22" ht="12.75" customHeight="1" x14ac:dyDescent="0.2">
      <c r="A532" s="38"/>
      <c r="B532" s="38"/>
      <c r="C532" s="8"/>
      <c r="D532" s="8"/>
      <c r="E532" s="8"/>
      <c r="F532" s="8"/>
      <c r="G532" s="8"/>
      <c r="H532" s="8"/>
      <c r="I532" s="8"/>
      <c r="J532" s="8"/>
      <c r="K532" s="8"/>
      <c r="L532" s="8"/>
      <c r="M532" s="8"/>
      <c r="N532" s="8"/>
      <c r="O532" s="8"/>
      <c r="P532" s="8"/>
      <c r="Q532" s="8"/>
      <c r="R532" s="79"/>
      <c r="S532" s="79"/>
      <c r="T532" s="79"/>
      <c r="U532" s="34"/>
      <c r="V532" s="34"/>
    </row>
    <row r="533" spans="1:22" ht="12.75" customHeight="1" x14ac:dyDescent="0.2">
      <c r="A533" s="38"/>
      <c r="B533" s="38"/>
      <c r="C533" s="8"/>
      <c r="D533" s="8"/>
      <c r="E533" s="8"/>
      <c r="F533" s="8"/>
      <c r="G533" s="8"/>
      <c r="H533" s="8"/>
      <c r="I533" s="8"/>
      <c r="J533" s="8"/>
      <c r="K533" s="8"/>
      <c r="L533" s="8"/>
      <c r="M533" s="8"/>
      <c r="N533" s="8"/>
      <c r="O533" s="8"/>
      <c r="P533" s="8"/>
      <c r="Q533" s="8"/>
      <c r="R533" s="79"/>
      <c r="S533" s="79"/>
      <c r="T533" s="79"/>
      <c r="U533" s="34"/>
      <c r="V533" s="34"/>
    </row>
    <row r="534" spans="1:22" ht="12.75" customHeight="1" x14ac:dyDescent="0.2">
      <c r="A534" s="38"/>
      <c r="B534" s="38"/>
      <c r="C534" s="8"/>
      <c r="D534" s="8"/>
      <c r="E534" s="8"/>
      <c r="F534" s="8"/>
      <c r="G534" s="8"/>
      <c r="H534" s="8"/>
      <c r="I534" s="8"/>
      <c r="J534" s="8"/>
      <c r="K534" s="8"/>
      <c r="L534" s="8"/>
      <c r="M534" s="8"/>
      <c r="N534" s="8"/>
      <c r="O534" s="8"/>
      <c r="P534" s="8"/>
      <c r="Q534" s="8"/>
      <c r="R534" s="79"/>
      <c r="S534" s="79"/>
      <c r="T534" s="79"/>
      <c r="U534" s="34"/>
      <c r="V534" s="34"/>
    </row>
    <row r="535" spans="1:22" ht="12.75" customHeight="1" x14ac:dyDescent="0.2">
      <c r="A535" s="38"/>
      <c r="B535" s="38"/>
      <c r="C535" s="8"/>
      <c r="D535" s="8"/>
      <c r="E535" s="8"/>
      <c r="F535" s="8"/>
      <c r="G535" s="8"/>
      <c r="H535" s="8"/>
      <c r="I535" s="8"/>
      <c r="J535" s="8"/>
      <c r="K535" s="8"/>
      <c r="L535" s="8"/>
      <c r="M535" s="8"/>
      <c r="N535" s="8"/>
      <c r="O535" s="8"/>
      <c r="P535" s="8"/>
      <c r="Q535" s="8"/>
      <c r="R535" s="79"/>
      <c r="S535" s="79"/>
      <c r="T535" s="79"/>
      <c r="U535" s="34"/>
      <c r="V535" s="34"/>
    </row>
    <row r="536" spans="1:22" ht="12.75" customHeight="1" x14ac:dyDescent="0.2">
      <c r="A536" s="38"/>
      <c r="B536" s="38"/>
      <c r="C536" s="8"/>
      <c r="D536" s="8"/>
      <c r="E536" s="8"/>
      <c r="F536" s="8"/>
      <c r="G536" s="8"/>
      <c r="H536" s="8"/>
      <c r="I536" s="8"/>
      <c r="J536" s="8"/>
      <c r="K536" s="8"/>
      <c r="L536" s="8"/>
      <c r="M536" s="8"/>
      <c r="N536" s="8"/>
      <c r="O536" s="8"/>
      <c r="P536" s="8"/>
      <c r="Q536" s="8"/>
      <c r="R536" s="79"/>
      <c r="S536" s="79"/>
      <c r="T536" s="79"/>
      <c r="U536" s="34"/>
      <c r="V536" s="34"/>
    </row>
    <row r="537" spans="1:22" ht="12.75" customHeight="1" x14ac:dyDescent="0.2">
      <c r="A537" s="38"/>
      <c r="B537" s="38"/>
      <c r="C537" s="8"/>
      <c r="D537" s="8"/>
      <c r="E537" s="8"/>
      <c r="F537" s="8"/>
      <c r="G537" s="8"/>
      <c r="H537" s="8"/>
      <c r="I537" s="8"/>
      <c r="J537" s="8"/>
      <c r="K537" s="8"/>
      <c r="L537" s="8"/>
      <c r="M537" s="8"/>
      <c r="N537" s="8"/>
      <c r="O537" s="8"/>
      <c r="P537" s="8"/>
      <c r="Q537" s="8"/>
      <c r="R537" s="79"/>
      <c r="S537" s="79"/>
      <c r="T537" s="79"/>
      <c r="U537" s="34"/>
      <c r="V537" s="34"/>
    </row>
    <row r="538" spans="1:22" ht="12.75" customHeight="1" x14ac:dyDescent="0.2">
      <c r="A538" s="38"/>
      <c r="B538" s="38"/>
      <c r="C538" s="8"/>
      <c r="D538" s="8"/>
      <c r="E538" s="8"/>
      <c r="F538" s="8"/>
      <c r="G538" s="8"/>
      <c r="H538" s="8"/>
      <c r="I538" s="8"/>
      <c r="J538" s="8"/>
      <c r="K538" s="8"/>
      <c r="L538" s="8"/>
      <c r="M538" s="8"/>
      <c r="N538" s="8"/>
      <c r="O538" s="8"/>
      <c r="P538" s="8"/>
      <c r="Q538" s="8"/>
      <c r="R538" s="79"/>
      <c r="S538" s="79"/>
      <c r="T538" s="79"/>
      <c r="U538" s="34"/>
      <c r="V538" s="34"/>
    </row>
    <row r="539" spans="1:22" ht="12.75" customHeight="1" x14ac:dyDescent="0.2">
      <c r="A539" s="38"/>
      <c r="B539" s="38"/>
      <c r="C539" s="8"/>
      <c r="D539" s="8"/>
      <c r="E539" s="8"/>
      <c r="F539" s="8"/>
      <c r="G539" s="8"/>
      <c r="H539" s="8"/>
      <c r="I539" s="8"/>
      <c r="J539" s="8"/>
      <c r="K539" s="8"/>
      <c r="L539" s="8"/>
      <c r="M539" s="8"/>
      <c r="N539" s="8"/>
      <c r="O539" s="8"/>
      <c r="P539" s="8"/>
      <c r="Q539" s="8"/>
      <c r="R539" s="79"/>
      <c r="S539" s="79"/>
      <c r="T539" s="79"/>
      <c r="U539" s="34"/>
      <c r="V539" s="34"/>
    </row>
    <row r="540" spans="1:22" ht="12.75" customHeight="1" x14ac:dyDescent="0.2">
      <c r="A540" s="38"/>
      <c r="B540" s="38"/>
      <c r="C540" s="8"/>
      <c r="D540" s="8"/>
      <c r="E540" s="8"/>
      <c r="F540" s="8"/>
      <c r="G540" s="8"/>
      <c r="H540" s="8"/>
      <c r="I540" s="8"/>
      <c r="J540" s="8"/>
      <c r="K540" s="8"/>
      <c r="L540" s="8"/>
      <c r="M540" s="8"/>
      <c r="N540" s="8"/>
      <c r="O540" s="8"/>
      <c r="P540" s="8"/>
      <c r="Q540" s="8"/>
      <c r="R540" s="79"/>
      <c r="S540" s="79"/>
      <c r="T540" s="79"/>
      <c r="U540" s="34"/>
      <c r="V540" s="34"/>
    </row>
    <row r="541" spans="1:22" ht="12.75" customHeight="1" x14ac:dyDescent="0.2">
      <c r="A541" s="38"/>
      <c r="B541" s="38"/>
      <c r="C541" s="8"/>
      <c r="D541" s="8"/>
      <c r="E541" s="8"/>
      <c r="F541" s="8"/>
      <c r="G541" s="8"/>
      <c r="H541" s="8"/>
      <c r="I541" s="8"/>
      <c r="J541" s="8"/>
      <c r="K541" s="8"/>
      <c r="L541" s="8"/>
      <c r="M541" s="8"/>
      <c r="N541" s="8"/>
      <c r="O541" s="8"/>
      <c r="P541" s="8"/>
      <c r="Q541" s="8"/>
      <c r="R541" s="79"/>
      <c r="S541" s="79"/>
      <c r="T541" s="79"/>
      <c r="U541" s="34"/>
      <c r="V541" s="34"/>
    </row>
    <row r="542" spans="1:22" ht="12.75" customHeight="1" x14ac:dyDescent="0.2">
      <c r="A542" s="38"/>
      <c r="B542" s="38"/>
      <c r="C542" s="8"/>
      <c r="D542" s="8"/>
      <c r="E542" s="8"/>
      <c r="F542" s="8"/>
      <c r="G542" s="8"/>
      <c r="H542" s="8"/>
      <c r="I542" s="8"/>
      <c r="J542" s="8"/>
      <c r="K542" s="8"/>
      <c r="L542" s="8"/>
      <c r="M542" s="8"/>
      <c r="N542" s="8"/>
      <c r="O542" s="8"/>
      <c r="P542" s="8"/>
      <c r="Q542" s="8"/>
      <c r="R542" s="79"/>
      <c r="S542" s="79"/>
      <c r="T542" s="79"/>
      <c r="U542" s="34"/>
      <c r="V542" s="34"/>
    </row>
    <row r="543" spans="1:22" ht="12.75" customHeight="1" x14ac:dyDescent="0.2">
      <c r="A543" s="38"/>
      <c r="B543" s="38"/>
      <c r="C543" s="8"/>
      <c r="D543" s="8"/>
      <c r="E543" s="8"/>
      <c r="F543" s="8"/>
      <c r="G543" s="8"/>
      <c r="H543" s="8"/>
      <c r="I543" s="8"/>
      <c r="J543" s="8"/>
      <c r="K543" s="8"/>
      <c r="L543" s="8"/>
      <c r="M543" s="8"/>
      <c r="N543" s="8"/>
      <c r="O543" s="8"/>
      <c r="P543" s="8"/>
      <c r="Q543" s="8"/>
      <c r="R543" s="79"/>
      <c r="S543" s="79"/>
      <c r="T543" s="79"/>
      <c r="U543" s="34"/>
      <c r="V543" s="34"/>
    </row>
    <row r="544" spans="1:22" ht="12.75" customHeight="1" x14ac:dyDescent="0.2">
      <c r="A544" s="38"/>
      <c r="B544" s="38"/>
      <c r="C544" s="8"/>
      <c r="D544" s="8"/>
      <c r="E544" s="8"/>
      <c r="F544" s="8"/>
      <c r="G544" s="8"/>
      <c r="H544" s="8"/>
      <c r="I544" s="8"/>
      <c r="J544" s="8"/>
      <c r="K544" s="8"/>
      <c r="L544" s="8"/>
      <c r="M544" s="8"/>
      <c r="N544" s="8"/>
      <c r="O544" s="8"/>
      <c r="P544" s="8"/>
      <c r="Q544" s="8"/>
      <c r="R544" s="79"/>
      <c r="S544" s="79"/>
      <c r="T544" s="79"/>
      <c r="U544" s="34"/>
      <c r="V544" s="34"/>
    </row>
    <row r="545" spans="1:22" ht="12.75" customHeight="1" x14ac:dyDescent="0.2">
      <c r="A545" s="38"/>
      <c r="B545" s="38"/>
      <c r="C545" s="8"/>
      <c r="D545" s="8"/>
      <c r="E545" s="8"/>
      <c r="F545" s="8"/>
      <c r="G545" s="8"/>
      <c r="H545" s="8"/>
      <c r="I545" s="8"/>
      <c r="J545" s="8"/>
      <c r="K545" s="8"/>
      <c r="L545" s="8"/>
      <c r="M545" s="8"/>
      <c r="N545" s="8"/>
      <c r="O545" s="8"/>
      <c r="P545" s="8"/>
      <c r="Q545" s="8"/>
      <c r="R545" s="79"/>
      <c r="S545" s="79"/>
      <c r="T545" s="79"/>
      <c r="U545" s="34"/>
      <c r="V545" s="34"/>
    </row>
    <row r="546" spans="1:22" ht="12.75" customHeight="1" x14ac:dyDescent="0.2">
      <c r="A546" s="38"/>
      <c r="B546" s="38"/>
      <c r="C546" s="8"/>
      <c r="D546" s="8"/>
      <c r="E546" s="8"/>
      <c r="F546" s="8"/>
      <c r="G546" s="8"/>
      <c r="H546" s="8"/>
      <c r="I546" s="8"/>
      <c r="J546" s="8"/>
      <c r="K546" s="8"/>
      <c r="L546" s="8"/>
      <c r="M546" s="8"/>
      <c r="N546" s="8"/>
      <c r="O546" s="8"/>
      <c r="P546" s="8"/>
      <c r="Q546" s="8"/>
      <c r="R546" s="79"/>
      <c r="S546" s="79"/>
      <c r="T546" s="79"/>
      <c r="U546" s="34"/>
      <c r="V546" s="34"/>
    </row>
    <row r="547" spans="1:22" ht="12.75" customHeight="1" x14ac:dyDescent="0.2">
      <c r="A547" s="38"/>
      <c r="B547" s="38"/>
      <c r="C547" s="8"/>
      <c r="D547" s="8"/>
      <c r="E547" s="8"/>
      <c r="F547" s="8"/>
      <c r="G547" s="8"/>
      <c r="H547" s="8"/>
      <c r="I547" s="8"/>
      <c r="J547" s="8"/>
      <c r="K547" s="8"/>
      <c r="L547" s="8"/>
      <c r="M547" s="8"/>
      <c r="N547" s="8"/>
      <c r="O547" s="8"/>
      <c r="P547" s="8"/>
      <c r="Q547" s="8"/>
      <c r="R547" s="79"/>
      <c r="S547" s="79"/>
      <c r="T547" s="79"/>
      <c r="U547" s="34"/>
      <c r="V547" s="34"/>
    </row>
    <row r="548" spans="1:22" ht="12.75" customHeight="1" x14ac:dyDescent="0.2">
      <c r="A548" s="38"/>
      <c r="B548" s="38"/>
      <c r="C548" s="8"/>
      <c r="D548" s="8"/>
      <c r="E548" s="8"/>
      <c r="F548" s="8"/>
      <c r="G548" s="8"/>
      <c r="H548" s="8"/>
      <c r="I548" s="8"/>
      <c r="J548" s="8"/>
      <c r="K548" s="8"/>
      <c r="L548" s="8"/>
      <c r="M548" s="8"/>
      <c r="N548" s="8"/>
      <c r="O548" s="8"/>
      <c r="P548" s="8"/>
      <c r="Q548" s="8"/>
      <c r="R548" s="79"/>
      <c r="S548" s="79"/>
      <c r="T548" s="79"/>
      <c r="U548" s="34"/>
      <c r="V548" s="34"/>
    </row>
    <row r="549" spans="1:22" ht="12.75" customHeight="1" x14ac:dyDescent="0.2">
      <c r="A549" s="38"/>
      <c r="B549" s="38"/>
      <c r="C549" s="8"/>
      <c r="D549" s="8"/>
      <c r="E549" s="8"/>
      <c r="F549" s="8"/>
      <c r="G549" s="8"/>
      <c r="H549" s="8"/>
      <c r="I549" s="8"/>
      <c r="J549" s="8"/>
      <c r="K549" s="8"/>
      <c r="L549" s="8"/>
      <c r="M549" s="8"/>
      <c r="N549" s="8"/>
      <c r="O549" s="8"/>
      <c r="P549" s="8"/>
      <c r="Q549" s="8"/>
      <c r="R549" s="79"/>
      <c r="S549" s="79"/>
      <c r="T549" s="79"/>
      <c r="U549" s="34"/>
      <c r="V549" s="34"/>
    </row>
    <row r="550" spans="1:22" ht="12.75" customHeight="1" x14ac:dyDescent="0.2">
      <c r="A550" s="38"/>
      <c r="B550" s="38"/>
      <c r="C550" s="8"/>
      <c r="D550" s="8"/>
      <c r="E550" s="8"/>
      <c r="F550" s="8"/>
      <c r="G550" s="8"/>
      <c r="H550" s="8"/>
      <c r="I550" s="8"/>
      <c r="J550" s="8"/>
      <c r="K550" s="8"/>
      <c r="L550" s="8"/>
      <c r="M550" s="8"/>
      <c r="N550" s="8"/>
      <c r="O550" s="8"/>
      <c r="P550" s="8"/>
      <c r="Q550" s="8"/>
      <c r="R550" s="79"/>
      <c r="S550" s="79"/>
      <c r="T550" s="79"/>
      <c r="U550" s="34"/>
      <c r="V550" s="34"/>
    </row>
    <row r="551" spans="1:22" ht="12.75" customHeight="1" x14ac:dyDescent="0.2">
      <c r="A551" s="38"/>
      <c r="B551" s="38"/>
      <c r="C551" s="8"/>
      <c r="D551" s="8"/>
      <c r="E551" s="8"/>
      <c r="F551" s="8"/>
      <c r="G551" s="8"/>
      <c r="H551" s="8"/>
      <c r="I551" s="8"/>
      <c r="J551" s="8"/>
      <c r="K551" s="8"/>
      <c r="L551" s="8"/>
      <c r="M551" s="8"/>
      <c r="N551" s="8"/>
      <c r="O551" s="8"/>
      <c r="P551" s="8"/>
      <c r="Q551" s="8"/>
      <c r="R551" s="79"/>
      <c r="S551" s="79"/>
      <c r="T551" s="79"/>
      <c r="U551" s="34"/>
      <c r="V551" s="34"/>
    </row>
    <row r="552" spans="1:22" ht="12.75" customHeight="1" x14ac:dyDescent="0.2">
      <c r="A552" s="38"/>
      <c r="B552" s="38"/>
      <c r="C552" s="8"/>
      <c r="D552" s="8"/>
      <c r="E552" s="8"/>
      <c r="F552" s="8"/>
      <c r="G552" s="8"/>
      <c r="H552" s="8"/>
      <c r="I552" s="8"/>
      <c r="J552" s="8"/>
      <c r="K552" s="8"/>
      <c r="L552" s="8"/>
      <c r="M552" s="8"/>
      <c r="N552" s="8"/>
      <c r="O552" s="8"/>
      <c r="P552" s="8"/>
      <c r="Q552" s="8"/>
      <c r="R552" s="79"/>
      <c r="S552" s="79"/>
      <c r="T552" s="79"/>
      <c r="U552" s="34"/>
      <c r="V552" s="34"/>
    </row>
    <row r="553" spans="1:22" ht="12.75" customHeight="1" x14ac:dyDescent="0.2">
      <c r="A553" s="38"/>
      <c r="B553" s="38"/>
      <c r="C553" s="8"/>
      <c r="D553" s="8"/>
      <c r="E553" s="8"/>
      <c r="F553" s="8"/>
      <c r="G553" s="8"/>
      <c r="H553" s="8"/>
      <c r="I553" s="8"/>
      <c r="J553" s="8"/>
      <c r="K553" s="8"/>
      <c r="L553" s="8"/>
      <c r="M553" s="8"/>
      <c r="N553" s="8"/>
      <c r="O553" s="8"/>
      <c r="P553" s="8"/>
      <c r="Q553" s="8"/>
      <c r="R553" s="79"/>
      <c r="S553" s="79"/>
      <c r="T553" s="79"/>
      <c r="U553" s="34"/>
      <c r="V553" s="34"/>
    </row>
    <row r="554" spans="1:22" ht="12.75" customHeight="1" x14ac:dyDescent="0.2">
      <c r="A554" s="38"/>
      <c r="B554" s="38"/>
      <c r="C554" s="8"/>
      <c r="D554" s="8"/>
      <c r="E554" s="8"/>
      <c r="F554" s="8"/>
      <c r="G554" s="8"/>
      <c r="H554" s="8"/>
      <c r="I554" s="8"/>
      <c r="J554" s="8"/>
      <c r="K554" s="8"/>
      <c r="L554" s="8"/>
      <c r="M554" s="8"/>
      <c r="N554" s="8"/>
      <c r="O554" s="8"/>
      <c r="P554" s="8"/>
      <c r="Q554" s="8"/>
      <c r="R554" s="79"/>
      <c r="S554" s="79"/>
      <c r="T554" s="79"/>
      <c r="U554" s="34"/>
      <c r="V554" s="34"/>
    </row>
    <row r="555" spans="1:22" ht="12.75" customHeight="1" x14ac:dyDescent="0.2">
      <c r="A555" s="38"/>
      <c r="B555" s="38"/>
      <c r="C555" s="8"/>
      <c r="D555" s="8"/>
      <c r="E555" s="8"/>
      <c r="F555" s="8"/>
      <c r="G555" s="8"/>
      <c r="H555" s="8"/>
      <c r="I555" s="8"/>
      <c r="J555" s="8"/>
      <c r="K555" s="8"/>
      <c r="L555" s="8"/>
      <c r="M555" s="8"/>
      <c r="N555" s="8"/>
      <c r="O555" s="8"/>
      <c r="P555" s="8"/>
      <c r="Q555" s="8"/>
      <c r="R555" s="79"/>
      <c r="S555" s="79"/>
      <c r="T555" s="79"/>
      <c r="U555" s="34"/>
      <c r="V555" s="34"/>
    </row>
    <row r="556" spans="1:22" ht="12.75" customHeight="1" x14ac:dyDescent="0.2">
      <c r="A556" s="38"/>
      <c r="B556" s="38"/>
      <c r="C556" s="8"/>
      <c r="D556" s="8"/>
      <c r="E556" s="8"/>
      <c r="F556" s="8"/>
      <c r="G556" s="8"/>
      <c r="H556" s="8"/>
      <c r="I556" s="8"/>
      <c r="J556" s="8"/>
      <c r="K556" s="8"/>
      <c r="L556" s="8"/>
      <c r="M556" s="8"/>
      <c r="N556" s="8"/>
      <c r="O556" s="8"/>
      <c r="P556" s="8"/>
      <c r="Q556" s="8"/>
      <c r="R556" s="79"/>
      <c r="S556" s="79"/>
      <c r="T556" s="79"/>
      <c r="U556" s="34"/>
      <c r="V556" s="34"/>
    </row>
    <row r="557" spans="1:22" ht="12.75" customHeight="1" x14ac:dyDescent="0.2">
      <c r="A557" s="38"/>
      <c r="B557" s="38"/>
      <c r="C557" s="8"/>
      <c r="D557" s="8"/>
      <c r="E557" s="8"/>
      <c r="F557" s="8"/>
      <c r="G557" s="8"/>
      <c r="H557" s="8"/>
      <c r="I557" s="8"/>
      <c r="J557" s="8"/>
      <c r="K557" s="8"/>
      <c r="L557" s="8"/>
      <c r="M557" s="8"/>
      <c r="N557" s="8"/>
      <c r="O557" s="8"/>
      <c r="P557" s="8"/>
      <c r="Q557" s="8"/>
      <c r="R557" s="79"/>
      <c r="S557" s="79"/>
      <c r="T557" s="79"/>
      <c r="U557" s="34"/>
      <c r="V557" s="34"/>
    </row>
    <row r="558" spans="1:22" ht="12.75" customHeight="1" x14ac:dyDescent="0.2">
      <c r="A558" s="38"/>
      <c r="B558" s="38"/>
      <c r="C558" s="8"/>
      <c r="D558" s="8"/>
      <c r="E558" s="8"/>
      <c r="F558" s="8"/>
      <c r="G558" s="8"/>
      <c r="H558" s="8"/>
      <c r="I558" s="8"/>
      <c r="J558" s="8"/>
      <c r="K558" s="8"/>
      <c r="L558" s="8"/>
      <c r="M558" s="8"/>
      <c r="N558" s="8"/>
      <c r="O558" s="8"/>
      <c r="P558" s="8"/>
      <c r="Q558" s="8"/>
      <c r="R558" s="79"/>
      <c r="S558" s="79"/>
      <c r="T558" s="79"/>
      <c r="U558" s="34"/>
      <c r="V558" s="34"/>
    </row>
    <row r="559" spans="1:22" ht="12.75" customHeight="1" x14ac:dyDescent="0.2">
      <c r="A559" s="38"/>
      <c r="B559" s="38"/>
      <c r="C559" s="8"/>
      <c r="D559" s="8"/>
      <c r="E559" s="8"/>
      <c r="F559" s="8"/>
      <c r="G559" s="8"/>
      <c r="H559" s="8"/>
      <c r="I559" s="8"/>
      <c r="J559" s="8"/>
      <c r="K559" s="8"/>
      <c r="L559" s="8"/>
      <c r="M559" s="8"/>
      <c r="N559" s="8"/>
      <c r="O559" s="8"/>
      <c r="P559" s="8"/>
      <c r="Q559" s="8"/>
      <c r="R559" s="79"/>
      <c r="S559" s="79"/>
      <c r="T559" s="79"/>
      <c r="U559" s="34"/>
      <c r="V559" s="34"/>
    </row>
    <row r="560" spans="1:22" ht="12.75" customHeight="1" x14ac:dyDescent="0.2">
      <c r="A560" s="38"/>
      <c r="B560" s="38"/>
      <c r="C560" s="8"/>
      <c r="D560" s="8"/>
      <c r="E560" s="8"/>
      <c r="F560" s="8"/>
      <c r="G560" s="8"/>
      <c r="H560" s="8"/>
      <c r="I560" s="8"/>
      <c r="J560" s="8"/>
      <c r="K560" s="8"/>
      <c r="L560" s="8"/>
      <c r="M560" s="8"/>
      <c r="N560" s="8"/>
      <c r="O560" s="8"/>
      <c r="P560" s="8"/>
      <c r="Q560" s="8"/>
      <c r="R560" s="79"/>
      <c r="S560" s="79"/>
      <c r="T560" s="79"/>
      <c r="U560" s="34"/>
      <c r="V560" s="34"/>
    </row>
    <row r="561" spans="1:22" ht="12.75" customHeight="1" x14ac:dyDescent="0.2">
      <c r="A561" s="38"/>
      <c r="B561" s="38"/>
      <c r="C561" s="8"/>
      <c r="D561" s="8"/>
      <c r="E561" s="8"/>
      <c r="F561" s="8"/>
      <c r="G561" s="8"/>
      <c r="H561" s="8"/>
      <c r="I561" s="8"/>
      <c r="J561" s="8"/>
      <c r="K561" s="8"/>
      <c r="L561" s="8"/>
      <c r="M561" s="8"/>
      <c r="N561" s="8"/>
      <c r="O561" s="8"/>
      <c r="P561" s="8"/>
      <c r="Q561" s="8"/>
      <c r="R561" s="79"/>
      <c r="S561" s="79"/>
      <c r="T561" s="79"/>
      <c r="U561" s="34"/>
      <c r="V561" s="34"/>
    </row>
    <row r="562" spans="1:22" ht="12.75" customHeight="1" x14ac:dyDescent="0.2">
      <c r="A562" s="38"/>
      <c r="B562" s="38"/>
      <c r="C562" s="8"/>
      <c r="D562" s="8"/>
      <c r="E562" s="8"/>
      <c r="F562" s="8"/>
      <c r="G562" s="8"/>
      <c r="H562" s="8"/>
      <c r="I562" s="8"/>
      <c r="J562" s="8"/>
      <c r="K562" s="8"/>
      <c r="L562" s="8"/>
      <c r="M562" s="8"/>
      <c r="N562" s="8"/>
      <c r="O562" s="8"/>
      <c r="P562" s="8"/>
      <c r="Q562" s="8"/>
      <c r="R562" s="79"/>
      <c r="S562" s="79"/>
      <c r="T562" s="79"/>
      <c r="U562" s="34"/>
      <c r="V562" s="34"/>
    </row>
    <row r="563" spans="1:22" ht="12.75" customHeight="1" x14ac:dyDescent="0.2">
      <c r="A563" s="38"/>
      <c r="B563" s="38"/>
      <c r="C563" s="8"/>
      <c r="D563" s="8"/>
      <c r="E563" s="8"/>
      <c r="F563" s="8"/>
      <c r="G563" s="8"/>
      <c r="H563" s="8"/>
      <c r="I563" s="8"/>
      <c r="J563" s="8"/>
      <c r="K563" s="8"/>
      <c r="L563" s="8"/>
      <c r="M563" s="8"/>
      <c r="N563" s="8"/>
      <c r="O563" s="8"/>
      <c r="P563" s="8"/>
      <c r="Q563" s="8"/>
      <c r="R563" s="79"/>
      <c r="S563" s="79"/>
      <c r="T563" s="79"/>
      <c r="U563" s="34"/>
      <c r="V563" s="34"/>
    </row>
    <row r="564" spans="1:22" ht="12.75" customHeight="1" x14ac:dyDescent="0.2">
      <c r="A564" s="38"/>
      <c r="B564" s="38"/>
      <c r="C564" s="8"/>
      <c r="D564" s="8"/>
      <c r="E564" s="8"/>
      <c r="F564" s="8"/>
      <c r="G564" s="8"/>
      <c r="H564" s="8"/>
      <c r="I564" s="8"/>
      <c r="J564" s="8"/>
      <c r="K564" s="8"/>
      <c r="L564" s="8"/>
      <c r="M564" s="8"/>
      <c r="N564" s="8"/>
      <c r="O564" s="8"/>
      <c r="P564" s="8"/>
      <c r="Q564" s="8"/>
      <c r="R564" s="79"/>
      <c r="S564" s="79"/>
      <c r="T564" s="79"/>
      <c r="U564" s="34"/>
      <c r="V564" s="34"/>
    </row>
    <row r="565" spans="1:22" ht="12.75" customHeight="1" x14ac:dyDescent="0.2">
      <c r="A565" s="38"/>
      <c r="B565" s="38"/>
      <c r="C565" s="8"/>
      <c r="D565" s="8"/>
      <c r="E565" s="8"/>
      <c r="F565" s="8"/>
      <c r="G565" s="8"/>
      <c r="H565" s="8"/>
      <c r="I565" s="8"/>
      <c r="J565" s="8"/>
      <c r="K565" s="8"/>
      <c r="L565" s="8"/>
      <c r="M565" s="8"/>
      <c r="N565" s="8"/>
      <c r="O565" s="8"/>
      <c r="P565" s="8"/>
      <c r="Q565" s="8"/>
      <c r="R565" s="79"/>
      <c r="S565" s="79"/>
      <c r="T565" s="79"/>
      <c r="U565" s="34"/>
      <c r="V565" s="34"/>
    </row>
    <row r="566" spans="1:22" ht="12.75" customHeight="1" x14ac:dyDescent="0.2">
      <c r="A566" s="38"/>
      <c r="B566" s="38"/>
      <c r="C566" s="8"/>
      <c r="D566" s="8"/>
      <c r="E566" s="8"/>
      <c r="F566" s="8"/>
      <c r="G566" s="8"/>
      <c r="H566" s="8"/>
      <c r="I566" s="8"/>
      <c r="J566" s="8"/>
      <c r="K566" s="8"/>
      <c r="L566" s="8"/>
      <c r="M566" s="8"/>
      <c r="N566" s="8"/>
      <c r="O566" s="8"/>
      <c r="P566" s="8"/>
      <c r="Q566" s="8"/>
      <c r="R566" s="79"/>
      <c r="S566" s="79"/>
      <c r="T566" s="79"/>
      <c r="U566" s="34"/>
      <c r="V566" s="34"/>
    </row>
    <row r="567" spans="1:22" ht="12.75" customHeight="1" x14ac:dyDescent="0.2">
      <c r="A567" s="38"/>
      <c r="B567" s="38"/>
      <c r="C567" s="8"/>
      <c r="D567" s="8"/>
      <c r="E567" s="8"/>
      <c r="F567" s="8"/>
      <c r="G567" s="8"/>
      <c r="H567" s="8"/>
      <c r="I567" s="8"/>
      <c r="J567" s="8"/>
      <c r="K567" s="8"/>
      <c r="L567" s="8"/>
      <c r="M567" s="8"/>
      <c r="N567" s="8"/>
      <c r="O567" s="8"/>
      <c r="P567" s="8"/>
      <c r="Q567" s="8"/>
      <c r="R567" s="79"/>
      <c r="S567" s="79"/>
      <c r="T567" s="79"/>
      <c r="U567" s="34"/>
      <c r="V567" s="34"/>
    </row>
    <row r="568" spans="1:22" ht="12.75" customHeight="1" x14ac:dyDescent="0.2">
      <c r="A568" s="38"/>
      <c r="B568" s="38"/>
      <c r="C568" s="8"/>
      <c r="D568" s="8"/>
      <c r="E568" s="8"/>
      <c r="F568" s="8"/>
      <c r="G568" s="8"/>
      <c r="H568" s="8"/>
      <c r="I568" s="8"/>
      <c r="J568" s="8"/>
      <c r="K568" s="8"/>
      <c r="L568" s="8"/>
      <c r="M568" s="8"/>
      <c r="N568" s="8"/>
      <c r="O568" s="8"/>
      <c r="P568" s="8"/>
      <c r="Q568" s="8"/>
      <c r="R568" s="79"/>
      <c r="S568" s="79"/>
      <c r="T568" s="79"/>
      <c r="U568" s="34"/>
      <c r="V568" s="34"/>
    </row>
    <row r="569" spans="1:22" ht="12.75" customHeight="1" x14ac:dyDescent="0.2">
      <c r="A569" s="38"/>
      <c r="B569" s="38"/>
      <c r="C569" s="8"/>
      <c r="D569" s="8"/>
      <c r="E569" s="8"/>
      <c r="F569" s="8"/>
      <c r="G569" s="8"/>
      <c r="H569" s="8"/>
      <c r="I569" s="8"/>
      <c r="J569" s="8"/>
      <c r="K569" s="8"/>
      <c r="L569" s="8"/>
      <c r="M569" s="8"/>
      <c r="N569" s="8"/>
      <c r="O569" s="8"/>
      <c r="P569" s="8"/>
      <c r="Q569" s="8"/>
      <c r="R569" s="79"/>
      <c r="S569" s="79"/>
      <c r="T569" s="79"/>
      <c r="U569" s="34"/>
      <c r="V569" s="34"/>
    </row>
    <row r="570" spans="1:22" ht="12.75" customHeight="1" x14ac:dyDescent="0.2">
      <c r="A570" s="38"/>
      <c r="B570" s="38"/>
      <c r="C570" s="8"/>
      <c r="D570" s="8"/>
      <c r="E570" s="8"/>
      <c r="F570" s="8"/>
      <c r="G570" s="8"/>
      <c r="H570" s="8"/>
      <c r="I570" s="8"/>
      <c r="J570" s="8"/>
      <c r="K570" s="8"/>
      <c r="L570" s="8"/>
      <c r="M570" s="8"/>
      <c r="N570" s="8"/>
      <c r="O570" s="8"/>
      <c r="P570" s="8"/>
      <c r="Q570" s="8"/>
      <c r="R570" s="79"/>
      <c r="S570" s="79"/>
      <c r="T570" s="79"/>
      <c r="U570" s="34"/>
      <c r="V570" s="34"/>
    </row>
    <row r="571" spans="1:22" ht="12.75" customHeight="1" x14ac:dyDescent="0.2">
      <c r="A571" s="38"/>
      <c r="B571" s="38"/>
      <c r="C571" s="8"/>
      <c r="D571" s="8"/>
      <c r="E571" s="8"/>
      <c r="F571" s="8"/>
      <c r="G571" s="8"/>
      <c r="H571" s="8"/>
      <c r="I571" s="8"/>
      <c r="J571" s="8"/>
      <c r="K571" s="8"/>
      <c r="L571" s="8"/>
      <c r="M571" s="8"/>
      <c r="N571" s="8"/>
      <c r="O571" s="8"/>
      <c r="P571" s="8"/>
      <c r="Q571" s="8"/>
      <c r="R571" s="79"/>
      <c r="S571" s="79"/>
      <c r="T571" s="79"/>
      <c r="U571" s="34"/>
      <c r="V571" s="34"/>
    </row>
    <row r="572" spans="1:22" ht="12.75" customHeight="1" x14ac:dyDescent="0.2">
      <c r="A572" s="38"/>
      <c r="B572" s="38"/>
      <c r="C572" s="8"/>
      <c r="D572" s="8"/>
      <c r="E572" s="8"/>
      <c r="F572" s="8"/>
      <c r="G572" s="8"/>
      <c r="H572" s="8"/>
      <c r="I572" s="8"/>
      <c r="J572" s="8"/>
      <c r="K572" s="8"/>
      <c r="L572" s="8"/>
      <c r="M572" s="8"/>
      <c r="N572" s="8"/>
      <c r="O572" s="8"/>
      <c r="P572" s="8"/>
      <c r="Q572" s="8"/>
      <c r="R572" s="79"/>
      <c r="S572" s="79"/>
      <c r="T572" s="79"/>
      <c r="U572" s="34"/>
      <c r="V572" s="34"/>
    </row>
    <row r="573" spans="1:22" ht="12.75" customHeight="1" x14ac:dyDescent="0.2">
      <c r="A573" s="38"/>
      <c r="B573" s="38"/>
      <c r="C573" s="8"/>
      <c r="D573" s="8"/>
      <c r="E573" s="8"/>
      <c r="F573" s="8"/>
      <c r="G573" s="8"/>
      <c r="H573" s="8"/>
      <c r="I573" s="8"/>
      <c r="J573" s="8"/>
      <c r="K573" s="8"/>
      <c r="L573" s="8"/>
      <c r="M573" s="8"/>
      <c r="N573" s="8"/>
      <c r="O573" s="8"/>
      <c r="P573" s="8"/>
      <c r="Q573" s="8"/>
      <c r="R573" s="79"/>
      <c r="S573" s="79"/>
      <c r="T573" s="79"/>
      <c r="U573" s="34"/>
      <c r="V573" s="34"/>
    </row>
    <row r="574" spans="1:22" ht="12.75" customHeight="1" x14ac:dyDescent="0.2">
      <c r="A574" s="38"/>
      <c r="B574" s="38"/>
      <c r="C574" s="8"/>
      <c r="D574" s="8"/>
      <c r="E574" s="8"/>
      <c r="F574" s="8"/>
      <c r="G574" s="8"/>
      <c r="H574" s="8"/>
      <c r="I574" s="8"/>
      <c r="J574" s="8"/>
      <c r="K574" s="8"/>
      <c r="L574" s="8"/>
      <c r="M574" s="8"/>
      <c r="N574" s="8"/>
      <c r="O574" s="8"/>
      <c r="P574" s="8"/>
      <c r="Q574" s="8"/>
      <c r="R574" s="79"/>
      <c r="S574" s="79"/>
      <c r="T574" s="79"/>
      <c r="U574" s="34"/>
      <c r="V574" s="34"/>
    </row>
    <row r="575" spans="1:22" ht="12.75" customHeight="1" x14ac:dyDescent="0.2">
      <c r="A575" s="38"/>
      <c r="B575" s="38"/>
      <c r="C575" s="8"/>
      <c r="D575" s="8"/>
      <c r="E575" s="8"/>
      <c r="F575" s="8"/>
      <c r="G575" s="8"/>
      <c r="H575" s="8"/>
      <c r="I575" s="8"/>
      <c r="J575" s="8"/>
      <c r="K575" s="8"/>
      <c r="L575" s="8"/>
      <c r="M575" s="8"/>
      <c r="N575" s="8"/>
      <c r="O575" s="8"/>
      <c r="P575" s="8"/>
      <c r="Q575" s="8"/>
      <c r="R575" s="79"/>
      <c r="S575" s="79"/>
      <c r="T575" s="79"/>
      <c r="U575" s="34"/>
      <c r="V575" s="34"/>
    </row>
    <row r="576" spans="1:22" ht="12.75" customHeight="1" x14ac:dyDescent="0.2">
      <c r="A576" s="38"/>
      <c r="B576" s="38"/>
      <c r="C576" s="8"/>
      <c r="D576" s="8"/>
      <c r="E576" s="8"/>
      <c r="F576" s="8"/>
      <c r="G576" s="8"/>
      <c r="H576" s="8"/>
      <c r="I576" s="8"/>
      <c r="J576" s="8"/>
      <c r="K576" s="8"/>
      <c r="L576" s="8"/>
      <c r="M576" s="8"/>
      <c r="N576" s="8"/>
      <c r="O576" s="8"/>
      <c r="P576" s="8"/>
      <c r="Q576" s="8"/>
      <c r="R576" s="79"/>
      <c r="S576" s="79"/>
      <c r="T576" s="79"/>
      <c r="U576" s="34"/>
      <c r="V576" s="34"/>
    </row>
    <row r="577" spans="1:22" ht="12.75" customHeight="1" x14ac:dyDescent="0.2">
      <c r="A577" s="38"/>
      <c r="B577" s="38"/>
      <c r="C577" s="8"/>
      <c r="D577" s="8"/>
      <c r="E577" s="8"/>
      <c r="F577" s="8"/>
      <c r="G577" s="8"/>
      <c r="H577" s="8"/>
      <c r="I577" s="8"/>
      <c r="J577" s="8"/>
      <c r="K577" s="8"/>
      <c r="L577" s="8"/>
      <c r="M577" s="8"/>
      <c r="N577" s="8"/>
      <c r="O577" s="8"/>
      <c r="P577" s="8"/>
      <c r="Q577" s="8"/>
      <c r="R577" s="79"/>
      <c r="S577" s="79"/>
      <c r="T577" s="79"/>
      <c r="U577" s="34"/>
      <c r="V577" s="34"/>
    </row>
    <row r="578" spans="1:22" ht="12.75" customHeight="1" x14ac:dyDescent="0.2">
      <c r="A578" s="38"/>
      <c r="B578" s="38"/>
      <c r="C578" s="8"/>
      <c r="D578" s="8"/>
      <c r="E578" s="8"/>
      <c r="F578" s="8"/>
      <c r="G578" s="8"/>
      <c r="H578" s="8"/>
      <c r="I578" s="8"/>
      <c r="J578" s="8"/>
      <c r="K578" s="8"/>
      <c r="L578" s="8"/>
      <c r="M578" s="8"/>
      <c r="N578" s="8"/>
      <c r="O578" s="8"/>
      <c r="P578" s="8"/>
      <c r="Q578" s="8"/>
      <c r="R578" s="79"/>
      <c r="S578" s="79"/>
      <c r="T578" s="79"/>
      <c r="U578" s="34"/>
      <c r="V578" s="34"/>
    </row>
    <row r="579" spans="1:22" ht="12.75" customHeight="1" x14ac:dyDescent="0.2">
      <c r="A579" s="38"/>
      <c r="B579" s="38"/>
      <c r="C579" s="8"/>
      <c r="D579" s="8"/>
      <c r="E579" s="8"/>
      <c r="F579" s="8"/>
      <c r="G579" s="8"/>
      <c r="H579" s="8"/>
      <c r="I579" s="8"/>
      <c r="J579" s="8"/>
      <c r="K579" s="8"/>
      <c r="L579" s="8"/>
      <c r="M579" s="8"/>
      <c r="N579" s="8"/>
      <c r="O579" s="8"/>
      <c r="P579" s="8"/>
      <c r="Q579" s="8"/>
      <c r="R579" s="79"/>
      <c r="S579" s="79"/>
      <c r="T579" s="79"/>
      <c r="U579" s="34"/>
      <c r="V579" s="34"/>
    </row>
    <row r="580" spans="1:22" ht="12.75" customHeight="1" x14ac:dyDescent="0.2">
      <c r="A580" s="38"/>
      <c r="B580" s="38"/>
      <c r="C580" s="8"/>
      <c r="D580" s="8"/>
      <c r="E580" s="8"/>
      <c r="F580" s="8"/>
      <c r="G580" s="8"/>
      <c r="H580" s="8"/>
      <c r="I580" s="8"/>
      <c r="J580" s="8"/>
      <c r="K580" s="8"/>
      <c r="L580" s="8"/>
      <c r="M580" s="8"/>
      <c r="N580" s="8"/>
      <c r="O580" s="8"/>
      <c r="P580" s="8"/>
      <c r="Q580" s="8"/>
      <c r="R580" s="79"/>
      <c r="S580" s="79"/>
      <c r="T580" s="79"/>
      <c r="U580" s="34"/>
      <c r="V580" s="34"/>
    </row>
    <row r="581" spans="1:22" ht="12.75" customHeight="1" x14ac:dyDescent="0.2">
      <c r="A581" s="38"/>
      <c r="B581" s="38"/>
      <c r="C581" s="8"/>
      <c r="D581" s="8"/>
      <c r="E581" s="8"/>
      <c r="F581" s="8"/>
      <c r="G581" s="8"/>
      <c r="H581" s="8"/>
      <c r="I581" s="8"/>
      <c r="J581" s="8"/>
      <c r="K581" s="8"/>
      <c r="L581" s="8"/>
      <c r="M581" s="8"/>
      <c r="N581" s="8"/>
      <c r="O581" s="8"/>
      <c r="P581" s="8"/>
      <c r="Q581" s="8"/>
      <c r="R581" s="79"/>
      <c r="S581" s="79"/>
      <c r="T581" s="79"/>
      <c r="U581" s="34"/>
      <c r="V581" s="34"/>
    </row>
    <row r="582" spans="1:22" ht="12.75" customHeight="1" x14ac:dyDescent="0.2">
      <c r="A582" s="38"/>
      <c r="B582" s="38"/>
      <c r="C582" s="8"/>
      <c r="D582" s="8"/>
      <c r="E582" s="8"/>
      <c r="F582" s="8"/>
      <c r="G582" s="8"/>
      <c r="H582" s="8"/>
      <c r="I582" s="8"/>
      <c r="J582" s="8"/>
      <c r="K582" s="8"/>
      <c r="L582" s="8"/>
      <c r="M582" s="8"/>
      <c r="N582" s="8"/>
      <c r="O582" s="8"/>
      <c r="P582" s="8"/>
      <c r="Q582" s="8"/>
      <c r="R582" s="79"/>
      <c r="S582" s="79"/>
      <c r="T582" s="79"/>
      <c r="U582" s="34"/>
      <c r="V582" s="34"/>
    </row>
    <row r="583" spans="1:22" ht="12.75" customHeight="1" x14ac:dyDescent="0.2">
      <c r="A583" s="38"/>
      <c r="B583" s="38"/>
      <c r="C583" s="8"/>
      <c r="D583" s="8"/>
      <c r="E583" s="8"/>
      <c r="F583" s="8"/>
      <c r="G583" s="8"/>
      <c r="H583" s="8"/>
      <c r="I583" s="8"/>
      <c r="J583" s="8"/>
      <c r="K583" s="8"/>
      <c r="L583" s="8"/>
      <c r="M583" s="8"/>
      <c r="N583" s="8"/>
      <c r="O583" s="8"/>
      <c r="P583" s="8"/>
      <c r="Q583" s="8"/>
      <c r="R583" s="79"/>
      <c r="S583" s="79"/>
      <c r="T583" s="79"/>
      <c r="U583" s="34"/>
      <c r="V583" s="34"/>
    </row>
    <row r="584" spans="1:22" ht="12.75" customHeight="1" x14ac:dyDescent="0.2">
      <c r="A584" s="38"/>
      <c r="B584" s="38"/>
      <c r="C584" s="8"/>
      <c r="D584" s="8"/>
      <c r="E584" s="8"/>
      <c r="F584" s="8"/>
      <c r="G584" s="8"/>
      <c r="H584" s="8"/>
      <c r="I584" s="8"/>
      <c r="J584" s="8"/>
      <c r="K584" s="8"/>
      <c r="L584" s="8"/>
      <c r="M584" s="8"/>
      <c r="N584" s="8"/>
      <c r="O584" s="8"/>
      <c r="P584" s="8"/>
      <c r="Q584" s="8"/>
      <c r="R584" s="79"/>
      <c r="S584" s="79"/>
      <c r="T584" s="79"/>
      <c r="U584" s="34"/>
      <c r="V584" s="34"/>
    </row>
    <row r="585" spans="1:22" ht="12.75" customHeight="1" x14ac:dyDescent="0.2">
      <c r="A585" s="38"/>
      <c r="B585" s="38"/>
      <c r="C585" s="8"/>
      <c r="D585" s="8"/>
      <c r="E585" s="8"/>
      <c r="F585" s="8"/>
      <c r="G585" s="8"/>
      <c r="H585" s="8"/>
      <c r="I585" s="8"/>
      <c r="J585" s="8"/>
      <c r="K585" s="8"/>
      <c r="L585" s="8"/>
      <c r="M585" s="8"/>
      <c r="N585" s="8"/>
      <c r="O585" s="8"/>
      <c r="P585" s="8"/>
      <c r="Q585" s="8"/>
      <c r="R585" s="79"/>
      <c r="S585" s="79"/>
      <c r="T585" s="79"/>
      <c r="U585" s="34"/>
      <c r="V585" s="34"/>
    </row>
    <row r="586" spans="1:22" ht="12.75" customHeight="1" x14ac:dyDescent="0.2">
      <c r="A586" s="38"/>
      <c r="B586" s="38"/>
      <c r="C586" s="8"/>
      <c r="D586" s="8"/>
      <c r="E586" s="8"/>
      <c r="F586" s="8"/>
      <c r="G586" s="8"/>
      <c r="H586" s="8"/>
      <c r="I586" s="8"/>
      <c r="J586" s="8"/>
      <c r="K586" s="8"/>
      <c r="L586" s="8"/>
      <c r="M586" s="8"/>
      <c r="N586" s="8"/>
      <c r="O586" s="8"/>
      <c r="P586" s="8"/>
      <c r="Q586" s="8"/>
      <c r="R586" s="79"/>
      <c r="S586" s="79"/>
      <c r="T586" s="79"/>
      <c r="U586" s="34"/>
      <c r="V586" s="34"/>
    </row>
    <row r="587" spans="1:22" ht="12.75" customHeight="1" x14ac:dyDescent="0.2">
      <c r="A587" s="38"/>
      <c r="B587" s="38"/>
      <c r="C587" s="8"/>
      <c r="D587" s="8"/>
      <c r="E587" s="8"/>
      <c r="F587" s="8"/>
      <c r="G587" s="8"/>
      <c r="H587" s="8"/>
      <c r="I587" s="8"/>
      <c r="J587" s="8"/>
      <c r="K587" s="8"/>
      <c r="L587" s="8"/>
      <c r="M587" s="8"/>
      <c r="N587" s="8"/>
      <c r="O587" s="8"/>
      <c r="P587" s="8"/>
      <c r="Q587" s="8"/>
      <c r="R587" s="79"/>
      <c r="S587" s="79"/>
      <c r="T587" s="79"/>
      <c r="U587" s="34"/>
      <c r="V587" s="34"/>
    </row>
    <row r="588" spans="1:22" ht="12.75" customHeight="1" x14ac:dyDescent="0.2">
      <c r="A588" s="38"/>
      <c r="B588" s="38"/>
      <c r="C588" s="8"/>
      <c r="D588" s="8"/>
      <c r="E588" s="8"/>
      <c r="F588" s="8"/>
      <c r="G588" s="8"/>
      <c r="H588" s="8"/>
      <c r="I588" s="8"/>
      <c r="J588" s="8"/>
      <c r="K588" s="8"/>
      <c r="L588" s="8"/>
      <c r="M588" s="8"/>
      <c r="N588" s="8"/>
      <c r="O588" s="8"/>
      <c r="P588" s="8"/>
      <c r="Q588" s="8"/>
      <c r="R588" s="79"/>
      <c r="S588" s="79"/>
      <c r="T588" s="79"/>
      <c r="U588" s="34"/>
      <c r="V588" s="34"/>
    </row>
    <row r="589" spans="1:22" ht="12.75" customHeight="1" x14ac:dyDescent="0.2">
      <c r="A589" s="38"/>
      <c r="B589" s="38"/>
      <c r="C589" s="8"/>
      <c r="D589" s="8"/>
      <c r="E589" s="8"/>
      <c r="F589" s="8"/>
      <c r="G589" s="8"/>
      <c r="H589" s="8"/>
      <c r="I589" s="8"/>
      <c r="J589" s="8"/>
      <c r="K589" s="8"/>
      <c r="L589" s="8"/>
      <c r="M589" s="8"/>
      <c r="N589" s="8"/>
      <c r="O589" s="8"/>
      <c r="P589" s="8"/>
      <c r="Q589" s="8"/>
      <c r="R589" s="79"/>
      <c r="S589" s="79"/>
      <c r="T589" s="79"/>
      <c r="U589" s="34"/>
      <c r="V589" s="34"/>
    </row>
    <row r="590" spans="1:22" ht="12.75" customHeight="1" x14ac:dyDescent="0.2">
      <c r="A590" s="38"/>
      <c r="B590" s="38"/>
      <c r="C590" s="8"/>
      <c r="D590" s="8"/>
      <c r="E590" s="8"/>
      <c r="F590" s="8"/>
      <c r="G590" s="8"/>
      <c r="H590" s="8"/>
      <c r="I590" s="8"/>
      <c r="J590" s="8"/>
      <c r="K590" s="8"/>
      <c r="L590" s="8"/>
      <c r="M590" s="8"/>
      <c r="N590" s="8"/>
      <c r="O590" s="8"/>
      <c r="P590" s="8"/>
      <c r="Q590" s="8"/>
      <c r="R590" s="79"/>
      <c r="S590" s="79"/>
      <c r="T590" s="79"/>
      <c r="U590" s="34"/>
      <c r="V590" s="34"/>
    </row>
    <row r="591" spans="1:22" ht="12.75" customHeight="1" x14ac:dyDescent="0.2">
      <c r="A591" s="38"/>
      <c r="B591" s="38"/>
      <c r="C591" s="8"/>
      <c r="D591" s="8"/>
      <c r="E591" s="8"/>
      <c r="F591" s="8"/>
      <c r="G591" s="8"/>
      <c r="H591" s="8"/>
      <c r="I591" s="8"/>
      <c r="J591" s="8"/>
      <c r="K591" s="8"/>
      <c r="L591" s="8"/>
      <c r="M591" s="8"/>
      <c r="N591" s="8"/>
      <c r="O591" s="8"/>
      <c r="P591" s="8"/>
      <c r="Q591" s="8"/>
      <c r="R591" s="79"/>
      <c r="S591" s="79"/>
      <c r="T591" s="79"/>
      <c r="U591" s="34"/>
      <c r="V591" s="34"/>
    </row>
    <row r="592" spans="1:22" ht="12.75" customHeight="1" x14ac:dyDescent="0.2">
      <c r="A592" s="38"/>
      <c r="B592" s="38"/>
      <c r="C592" s="8"/>
      <c r="D592" s="8"/>
      <c r="E592" s="8"/>
      <c r="F592" s="8"/>
      <c r="G592" s="8"/>
      <c r="H592" s="8"/>
      <c r="I592" s="8"/>
      <c r="J592" s="8"/>
      <c r="K592" s="8"/>
      <c r="L592" s="8"/>
      <c r="M592" s="8"/>
      <c r="N592" s="8"/>
      <c r="O592" s="8"/>
      <c r="P592" s="8"/>
      <c r="Q592" s="8"/>
      <c r="R592" s="79"/>
      <c r="S592" s="79"/>
      <c r="T592" s="79"/>
      <c r="U592" s="34"/>
      <c r="V592" s="34"/>
    </row>
    <row r="593" spans="1:22" ht="12.75" customHeight="1" x14ac:dyDescent="0.2">
      <c r="A593" s="38"/>
      <c r="B593" s="38"/>
      <c r="C593" s="8"/>
      <c r="D593" s="8"/>
      <c r="E593" s="8"/>
      <c r="F593" s="8"/>
      <c r="G593" s="8"/>
      <c r="H593" s="8"/>
      <c r="I593" s="8"/>
      <c r="J593" s="8"/>
      <c r="K593" s="8"/>
      <c r="L593" s="8"/>
      <c r="M593" s="8"/>
      <c r="N593" s="8"/>
      <c r="O593" s="8"/>
      <c r="P593" s="8"/>
      <c r="Q593" s="8"/>
      <c r="R593" s="79"/>
      <c r="S593" s="79"/>
      <c r="T593" s="79"/>
      <c r="U593" s="34"/>
      <c r="V593" s="34"/>
    </row>
    <row r="594" spans="1:22" ht="12.75" customHeight="1" x14ac:dyDescent="0.2">
      <c r="A594" s="38"/>
      <c r="B594" s="38"/>
      <c r="C594" s="8"/>
      <c r="D594" s="8"/>
      <c r="E594" s="8"/>
      <c r="F594" s="8"/>
      <c r="G594" s="8"/>
      <c r="H594" s="8"/>
      <c r="I594" s="8"/>
      <c r="J594" s="8"/>
      <c r="K594" s="8"/>
      <c r="L594" s="8"/>
      <c r="M594" s="8"/>
      <c r="N594" s="8"/>
      <c r="O594" s="8"/>
      <c r="P594" s="8"/>
      <c r="Q594" s="8"/>
      <c r="R594" s="79"/>
      <c r="S594" s="79"/>
      <c r="T594" s="79"/>
      <c r="U594" s="34"/>
      <c r="V594" s="34"/>
    </row>
    <row r="595" spans="1:22" ht="12.75" customHeight="1" x14ac:dyDescent="0.2">
      <c r="A595" s="38"/>
      <c r="B595" s="38"/>
      <c r="C595" s="8"/>
      <c r="D595" s="8"/>
      <c r="E595" s="8"/>
      <c r="F595" s="8"/>
      <c r="G595" s="8"/>
      <c r="H595" s="8"/>
      <c r="I595" s="8"/>
      <c r="J595" s="8"/>
      <c r="K595" s="8"/>
      <c r="L595" s="8"/>
      <c r="M595" s="8"/>
      <c r="N595" s="8"/>
      <c r="O595" s="8"/>
      <c r="P595" s="8"/>
      <c r="Q595" s="8"/>
      <c r="R595" s="79"/>
      <c r="S595" s="79"/>
      <c r="T595" s="79"/>
      <c r="U595" s="34"/>
      <c r="V595" s="34"/>
    </row>
    <row r="596" spans="1:22" ht="12.75" customHeight="1" x14ac:dyDescent="0.2">
      <c r="A596" s="38"/>
      <c r="B596" s="38"/>
      <c r="C596" s="8"/>
      <c r="D596" s="8"/>
      <c r="E596" s="8"/>
      <c r="F596" s="8"/>
      <c r="G596" s="8"/>
      <c r="H596" s="8"/>
      <c r="I596" s="8"/>
      <c r="J596" s="8"/>
      <c r="K596" s="8"/>
      <c r="L596" s="8"/>
      <c r="M596" s="8"/>
      <c r="N596" s="8"/>
      <c r="O596" s="8"/>
      <c r="P596" s="8"/>
      <c r="Q596" s="8"/>
      <c r="R596" s="79"/>
      <c r="S596" s="79"/>
      <c r="T596" s="79"/>
      <c r="U596" s="34"/>
      <c r="V596" s="34"/>
    </row>
    <row r="597" spans="1:22" ht="12.75" customHeight="1" x14ac:dyDescent="0.2">
      <c r="A597" s="38"/>
      <c r="B597" s="38"/>
      <c r="C597" s="8"/>
      <c r="D597" s="8"/>
      <c r="E597" s="8"/>
      <c r="F597" s="8"/>
      <c r="G597" s="8"/>
      <c r="H597" s="8"/>
      <c r="I597" s="8"/>
      <c r="J597" s="8"/>
      <c r="K597" s="8"/>
      <c r="L597" s="8"/>
      <c r="M597" s="8"/>
      <c r="N597" s="8"/>
      <c r="O597" s="8"/>
      <c r="P597" s="8"/>
      <c r="Q597" s="8"/>
      <c r="R597" s="79"/>
      <c r="S597" s="79"/>
      <c r="T597" s="79"/>
      <c r="U597" s="34"/>
      <c r="V597" s="34"/>
    </row>
    <row r="598" spans="1:22" ht="12.75" customHeight="1" x14ac:dyDescent="0.2">
      <c r="A598" s="38"/>
      <c r="B598" s="38"/>
      <c r="C598" s="8"/>
      <c r="D598" s="8"/>
      <c r="E598" s="8"/>
      <c r="F598" s="8"/>
      <c r="G598" s="8"/>
      <c r="H598" s="8"/>
      <c r="I598" s="8"/>
      <c r="J598" s="8"/>
      <c r="K598" s="8"/>
      <c r="L598" s="8"/>
      <c r="M598" s="8"/>
      <c r="N598" s="8"/>
      <c r="O598" s="8"/>
      <c r="P598" s="8"/>
      <c r="Q598" s="8"/>
      <c r="R598" s="79"/>
      <c r="S598" s="79"/>
      <c r="T598" s="79"/>
      <c r="U598" s="34"/>
      <c r="V598" s="34"/>
    </row>
    <row r="599" spans="1:22" ht="12.75" customHeight="1" x14ac:dyDescent="0.2">
      <c r="A599" s="38"/>
      <c r="B599" s="38"/>
      <c r="C599" s="8"/>
      <c r="D599" s="8"/>
      <c r="E599" s="8"/>
      <c r="F599" s="8"/>
      <c r="G599" s="8"/>
      <c r="H599" s="8"/>
      <c r="I599" s="8"/>
      <c r="J599" s="8"/>
      <c r="K599" s="8"/>
      <c r="L599" s="8"/>
      <c r="M599" s="8"/>
      <c r="N599" s="8"/>
      <c r="O599" s="8"/>
      <c r="P599" s="8"/>
      <c r="Q599" s="8"/>
      <c r="R599" s="79"/>
      <c r="S599" s="79"/>
      <c r="T599" s="79"/>
      <c r="U599" s="34"/>
      <c r="V599" s="34"/>
    </row>
    <row r="600" spans="1:22" ht="12.75" customHeight="1" x14ac:dyDescent="0.2">
      <c r="A600" s="38"/>
      <c r="B600" s="38"/>
      <c r="C600" s="8"/>
      <c r="D600" s="8"/>
      <c r="E600" s="8"/>
      <c r="F600" s="8"/>
      <c r="G600" s="8"/>
      <c r="H600" s="8"/>
      <c r="I600" s="8"/>
      <c r="J600" s="8"/>
      <c r="K600" s="8"/>
      <c r="L600" s="8"/>
      <c r="M600" s="8"/>
      <c r="N600" s="8"/>
      <c r="O600" s="8"/>
      <c r="P600" s="8"/>
      <c r="Q600" s="8"/>
      <c r="R600" s="79"/>
      <c r="S600" s="79"/>
      <c r="T600" s="79"/>
      <c r="U600" s="34"/>
      <c r="V600" s="34"/>
    </row>
    <row r="601" spans="1:22" ht="12.75" customHeight="1" x14ac:dyDescent="0.2">
      <c r="A601" s="38"/>
      <c r="B601" s="38"/>
      <c r="C601" s="8"/>
      <c r="D601" s="8"/>
      <c r="E601" s="8"/>
      <c r="F601" s="8"/>
      <c r="G601" s="8"/>
      <c r="H601" s="8"/>
      <c r="I601" s="8"/>
      <c r="J601" s="8"/>
      <c r="K601" s="8"/>
      <c r="L601" s="8"/>
      <c r="M601" s="8"/>
      <c r="N601" s="8"/>
      <c r="O601" s="8"/>
      <c r="P601" s="8"/>
      <c r="Q601" s="8"/>
      <c r="R601" s="79"/>
      <c r="S601" s="79"/>
      <c r="T601" s="79"/>
      <c r="U601" s="34"/>
      <c r="V601" s="34"/>
    </row>
    <row r="602" spans="1:22" ht="12.75" customHeight="1" x14ac:dyDescent="0.2">
      <c r="A602" s="38"/>
      <c r="B602" s="38"/>
      <c r="C602" s="8"/>
      <c r="D602" s="8"/>
      <c r="E602" s="8"/>
      <c r="F602" s="8"/>
      <c r="G602" s="8"/>
      <c r="H602" s="8"/>
      <c r="I602" s="8"/>
      <c r="J602" s="8"/>
      <c r="K602" s="8"/>
      <c r="L602" s="8"/>
      <c r="M602" s="8"/>
      <c r="N602" s="8"/>
      <c r="O602" s="8"/>
      <c r="P602" s="8"/>
      <c r="Q602" s="8"/>
      <c r="R602" s="79"/>
      <c r="S602" s="79"/>
      <c r="T602" s="79"/>
      <c r="U602" s="34"/>
      <c r="V602" s="34"/>
    </row>
    <row r="603" spans="1:22" ht="12.75" customHeight="1" x14ac:dyDescent="0.2">
      <c r="A603" s="38"/>
      <c r="B603" s="38"/>
      <c r="C603" s="8"/>
      <c r="D603" s="8"/>
      <c r="E603" s="8"/>
      <c r="F603" s="8"/>
      <c r="G603" s="8"/>
      <c r="H603" s="8"/>
      <c r="I603" s="8"/>
      <c r="J603" s="8"/>
      <c r="K603" s="8"/>
      <c r="L603" s="8"/>
      <c r="M603" s="8"/>
      <c r="N603" s="8"/>
      <c r="O603" s="8"/>
      <c r="P603" s="8"/>
      <c r="Q603" s="8"/>
      <c r="R603" s="79"/>
      <c r="S603" s="79"/>
      <c r="T603" s="79"/>
      <c r="U603" s="34"/>
      <c r="V603" s="34"/>
    </row>
    <row r="604" spans="1:22" ht="12.75" customHeight="1" x14ac:dyDescent="0.2">
      <c r="A604" s="38"/>
      <c r="B604" s="38"/>
      <c r="C604" s="8"/>
      <c r="D604" s="8"/>
      <c r="E604" s="8"/>
      <c r="F604" s="8"/>
      <c r="G604" s="8"/>
      <c r="H604" s="8"/>
      <c r="I604" s="8"/>
      <c r="J604" s="8"/>
      <c r="K604" s="8"/>
      <c r="L604" s="8"/>
      <c r="M604" s="8"/>
      <c r="N604" s="8"/>
      <c r="O604" s="8"/>
      <c r="P604" s="8"/>
      <c r="Q604" s="8"/>
      <c r="R604" s="79"/>
      <c r="S604" s="79"/>
      <c r="T604" s="79"/>
      <c r="U604" s="34"/>
      <c r="V604" s="34"/>
    </row>
    <row r="605" spans="1:22" ht="12.75" customHeight="1" x14ac:dyDescent="0.2">
      <c r="A605" s="38"/>
      <c r="B605" s="38"/>
      <c r="C605" s="8"/>
      <c r="D605" s="8"/>
      <c r="E605" s="8"/>
      <c r="F605" s="8"/>
      <c r="G605" s="8"/>
      <c r="H605" s="8"/>
      <c r="I605" s="8"/>
      <c r="J605" s="8"/>
      <c r="K605" s="8"/>
      <c r="L605" s="8"/>
      <c r="M605" s="8"/>
      <c r="N605" s="8"/>
      <c r="O605" s="8"/>
      <c r="P605" s="8"/>
      <c r="Q605" s="8"/>
      <c r="R605" s="79"/>
      <c r="S605" s="79"/>
      <c r="T605" s="79"/>
      <c r="U605" s="34"/>
      <c r="V605" s="34"/>
    </row>
    <row r="606" spans="1:22" ht="12.75" customHeight="1" x14ac:dyDescent="0.2">
      <c r="A606" s="38"/>
      <c r="B606" s="38"/>
      <c r="C606" s="8"/>
      <c r="D606" s="8"/>
      <c r="E606" s="8"/>
      <c r="F606" s="8"/>
      <c r="G606" s="8"/>
      <c r="H606" s="8"/>
      <c r="I606" s="8"/>
      <c r="J606" s="8"/>
      <c r="K606" s="8"/>
      <c r="L606" s="8"/>
      <c r="M606" s="8"/>
      <c r="N606" s="8"/>
      <c r="O606" s="8"/>
      <c r="P606" s="8"/>
      <c r="Q606" s="8"/>
      <c r="R606" s="79"/>
      <c r="S606" s="79"/>
      <c r="T606" s="79"/>
      <c r="U606" s="34"/>
      <c r="V606" s="34"/>
    </row>
    <row r="607" spans="1:22" ht="12.75" customHeight="1" x14ac:dyDescent="0.2">
      <c r="A607" s="38"/>
      <c r="B607" s="38"/>
      <c r="C607" s="8"/>
      <c r="D607" s="8"/>
      <c r="E607" s="8"/>
      <c r="F607" s="8"/>
      <c r="G607" s="8"/>
      <c r="H607" s="8"/>
      <c r="I607" s="8"/>
      <c r="J607" s="8"/>
      <c r="K607" s="8"/>
      <c r="L607" s="8"/>
      <c r="M607" s="8"/>
      <c r="N607" s="8"/>
      <c r="O607" s="8"/>
      <c r="P607" s="8"/>
      <c r="Q607" s="8"/>
      <c r="R607" s="79"/>
      <c r="S607" s="79"/>
      <c r="T607" s="79"/>
      <c r="U607" s="34"/>
      <c r="V607" s="34"/>
    </row>
    <row r="608" spans="1:22" ht="12.75" customHeight="1" x14ac:dyDescent="0.2">
      <c r="A608" s="38"/>
      <c r="B608" s="38"/>
      <c r="C608" s="8"/>
      <c r="D608" s="8"/>
      <c r="E608" s="8"/>
      <c r="F608" s="8"/>
      <c r="G608" s="8"/>
      <c r="H608" s="8"/>
      <c r="I608" s="8"/>
      <c r="J608" s="8"/>
      <c r="K608" s="8"/>
      <c r="L608" s="8"/>
      <c r="M608" s="8"/>
      <c r="N608" s="8"/>
      <c r="O608" s="8"/>
      <c r="P608" s="8"/>
      <c r="Q608" s="8"/>
      <c r="R608" s="79"/>
      <c r="S608" s="79"/>
      <c r="T608" s="79"/>
      <c r="U608" s="34"/>
      <c r="V608" s="34"/>
    </row>
    <row r="609" spans="1:22" ht="12.75" customHeight="1" x14ac:dyDescent="0.2">
      <c r="A609" s="38"/>
      <c r="B609" s="38"/>
      <c r="C609" s="8"/>
      <c r="D609" s="8"/>
      <c r="E609" s="8"/>
      <c r="F609" s="8"/>
      <c r="G609" s="8"/>
      <c r="H609" s="8"/>
      <c r="I609" s="8"/>
      <c r="J609" s="8"/>
      <c r="K609" s="8"/>
      <c r="L609" s="8"/>
      <c r="M609" s="8"/>
      <c r="N609" s="8"/>
      <c r="O609" s="8"/>
      <c r="P609" s="8"/>
      <c r="Q609" s="8"/>
      <c r="R609" s="79"/>
      <c r="S609" s="79"/>
      <c r="T609" s="79"/>
      <c r="U609" s="34"/>
      <c r="V609" s="34"/>
    </row>
    <row r="610" spans="1:22" ht="12.75" customHeight="1" x14ac:dyDescent="0.2">
      <c r="A610" s="38"/>
      <c r="B610" s="38"/>
      <c r="C610" s="8"/>
      <c r="D610" s="8"/>
      <c r="E610" s="8"/>
      <c r="F610" s="8"/>
      <c r="G610" s="8"/>
      <c r="H610" s="8"/>
      <c r="I610" s="8"/>
      <c r="J610" s="8"/>
      <c r="K610" s="8"/>
      <c r="L610" s="8"/>
      <c r="M610" s="8"/>
      <c r="N610" s="8"/>
      <c r="O610" s="8"/>
      <c r="P610" s="8"/>
      <c r="Q610" s="8"/>
      <c r="R610" s="79"/>
      <c r="S610" s="79"/>
      <c r="T610" s="79"/>
      <c r="U610" s="34"/>
      <c r="V610" s="34"/>
    </row>
    <row r="611" spans="1:22" ht="12.75" customHeight="1" x14ac:dyDescent="0.2">
      <c r="A611" s="38"/>
      <c r="B611" s="38"/>
      <c r="C611" s="8"/>
      <c r="D611" s="8"/>
      <c r="E611" s="8"/>
      <c r="F611" s="8"/>
      <c r="G611" s="8"/>
      <c r="H611" s="8"/>
      <c r="I611" s="8"/>
      <c r="J611" s="8"/>
      <c r="K611" s="8"/>
      <c r="L611" s="8"/>
      <c r="M611" s="8"/>
      <c r="N611" s="8"/>
      <c r="O611" s="8"/>
      <c r="P611" s="8"/>
      <c r="Q611" s="8"/>
      <c r="R611" s="79"/>
      <c r="S611" s="79"/>
      <c r="T611" s="79"/>
      <c r="U611" s="34"/>
      <c r="V611" s="34"/>
    </row>
    <row r="612" spans="1:22" ht="12.75" customHeight="1" x14ac:dyDescent="0.2">
      <c r="A612" s="38"/>
      <c r="B612" s="38"/>
      <c r="C612" s="8"/>
      <c r="D612" s="8"/>
      <c r="E612" s="8"/>
      <c r="F612" s="8"/>
      <c r="G612" s="8"/>
      <c r="H612" s="8"/>
      <c r="I612" s="8"/>
      <c r="J612" s="8"/>
      <c r="K612" s="8"/>
      <c r="L612" s="8"/>
      <c r="M612" s="8"/>
      <c r="N612" s="8"/>
      <c r="O612" s="8"/>
      <c r="P612" s="8"/>
      <c r="Q612" s="8"/>
      <c r="R612" s="79"/>
      <c r="S612" s="79"/>
      <c r="T612" s="79"/>
      <c r="U612" s="34"/>
      <c r="V612" s="34"/>
    </row>
    <row r="613" spans="1:22" ht="12.75" customHeight="1" x14ac:dyDescent="0.2">
      <c r="A613" s="38"/>
      <c r="B613" s="38"/>
      <c r="C613" s="8"/>
      <c r="D613" s="8"/>
      <c r="E613" s="8"/>
      <c r="F613" s="8"/>
      <c r="G613" s="8"/>
      <c r="H613" s="8"/>
      <c r="I613" s="8"/>
      <c r="J613" s="8"/>
      <c r="K613" s="8"/>
      <c r="L613" s="8"/>
      <c r="M613" s="8"/>
      <c r="N613" s="8"/>
      <c r="O613" s="8"/>
      <c r="P613" s="8"/>
      <c r="Q613" s="8"/>
      <c r="R613" s="79"/>
      <c r="S613" s="79"/>
      <c r="T613" s="79"/>
      <c r="U613" s="34"/>
      <c r="V613" s="34"/>
    </row>
    <row r="614" spans="1:22" ht="12.75" customHeight="1" x14ac:dyDescent="0.2">
      <c r="A614" s="38"/>
      <c r="B614" s="38"/>
      <c r="C614" s="8"/>
      <c r="D614" s="8"/>
      <c r="E614" s="8"/>
      <c r="F614" s="8"/>
      <c r="G614" s="8"/>
      <c r="H614" s="8"/>
      <c r="I614" s="8"/>
      <c r="J614" s="8"/>
      <c r="K614" s="8"/>
      <c r="L614" s="8"/>
      <c r="M614" s="8"/>
      <c r="N614" s="8"/>
      <c r="O614" s="8"/>
      <c r="P614" s="8"/>
      <c r="Q614" s="8"/>
      <c r="R614" s="79"/>
      <c r="S614" s="79"/>
      <c r="T614" s="79"/>
      <c r="U614" s="34"/>
      <c r="V614" s="34"/>
    </row>
    <row r="615" spans="1:22" ht="12.75" customHeight="1" x14ac:dyDescent="0.2">
      <c r="A615" s="38"/>
      <c r="B615" s="38"/>
      <c r="C615" s="8"/>
      <c r="D615" s="8"/>
      <c r="E615" s="8"/>
      <c r="F615" s="8"/>
      <c r="G615" s="8"/>
      <c r="H615" s="8"/>
      <c r="I615" s="8"/>
      <c r="J615" s="8"/>
      <c r="K615" s="8"/>
      <c r="L615" s="8"/>
      <c r="M615" s="8"/>
      <c r="N615" s="8"/>
      <c r="O615" s="8"/>
      <c r="P615" s="8"/>
      <c r="Q615" s="8"/>
      <c r="R615" s="79"/>
      <c r="S615" s="79"/>
      <c r="T615" s="79"/>
      <c r="U615" s="34"/>
      <c r="V615" s="34"/>
    </row>
    <row r="616" spans="1:22" ht="12.75" customHeight="1" x14ac:dyDescent="0.2">
      <c r="A616" s="38"/>
      <c r="B616" s="38"/>
      <c r="C616" s="8"/>
      <c r="D616" s="8"/>
      <c r="E616" s="8"/>
      <c r="F616" s="8"/>
      <c r="G616" s="8"/>
      <c r="H616" s="8"/>
      <c r="I616" s="8"/>
      <c r="J616" s="8"/>
      <c r="K616" s="8"/>
      <c r="L616" s="8"/>
      <c r="M616" s="8"/>
      <c r="N616" s="8"/>
      <c r="O616" s="8"/>
      <c r="P616" s="8"/>
      <c r="Q616" s="8"/>
      <c r="R616" s="79"/>
      <c r="S616" s="79"/>
      <c r="T616" s="79"/>
      <c r="U616" s="34"/>
      <c r="V616" s="34"/>
    </row>
    <row r="617" spans="1:22" ht="12.75" customHeight="1" x14ac:dyDescent="0.2">
      <c r="A617" s="38"/>
      <c r="B617" s="38"/>
      <c r="C617" s="8"/>
      <c r="D617" s="8"/>
      <c r="E617" s="8"/>
      <c r="F617" s="8"/>
      <c r="G617" s="8"/>
      <c r="H617" s="8"/>
      <c r="I617" s="8"/>
      <c r="J617" s="8"/>
      <c r="K617" s="8"/>
      <c r="L617" s="8"/>
      <c r="M617" s="8"/>
      <c r="N617" s="8"/>
      <c r="O617" s="8"/>
      <c r="P617" s="8"/>
      <c r="Q617" s="8"/>
      <c r="R617" s="79"/>
      <c r="S617" s="79"/>
      <c r="T617" s="79"/>
      <c r="U617" s="34"/>
      <c r="V617" s="34"/>
    </row>
    <row r="618" spans="1:22" ht="12.75" customHeight="1" x14ac:dyDescent="0.2">
      <c r="A618" s="38"/>
      <c r="B618" s="38"/>
      <c r="C618" s="8"/>
      <c r="D618" s="8"/>
      <c r="E618" s="8"/>
      <c r="F618" s="8"/>
      <c r="G618" s="8"/>
      <c r="H618" s="8"/>
      <c r="I618" s="8"/>
      <c r="J618" s="8"/>
      <c r="K618" s="8"/>
      <c r="L618" s="8"/>
      <c r="M618" s="8"/>
      <c r="N618" s="8"/>
      <c r="O618" s="8"/>
      <c r="P618" s="8"/>
      <c r="Q618" s="8"/>
      <c r="R618" s="79"/>
      <c r="S618" s="79"/>
      <c r="T618" s="79"/>
      <c r="U618" s="34"/>
      <c r="V618" s="34"/>
    </row>
    <row r="619" spans="1:22" ht="12.75" customHeight="1" x14ac:dyDescent="0.2">
      <c r="A619" s="38"/>
      <c r="B619" s="38"/>
      <c r="C619" s="8"/>
      <c r="D619" s="8"/>
      <c r="E619" s="8"/>
      <c r="F619" s="8"/>
      <c r="G619" s="8"/>
      <c r="H619" s="8"/>
      <c r="I619" s="8"/>
      <c r="J619" s="8"/>
      <c r="K619" s="8"/>
      <c r="L619" s="8"/>
      <c r="M619" s="8"/>
      <c r="N619" s="8"/>
      <c r="O619" s="8"/>
      <c r="P619" s="8"/>
      <c r="Q619" s="8"/>
      <c r="R619" s="79"/>
      <c r="S619" s="79"/>
      <c r="T619" s="79"/>
      <c r="U619" s="34"/>
      <c r="V619" s="34"/>
    </row>
    <row r="620" spans="1:22" ht="12.75" customHeight="1" x14ac:dyDescent="0.2">
      <c r="A620" s="38"/>
      <c r="B620" s="38"/>
      <c r="C620" s="8"/>
      <c r="D620" s="8"/>
      <c r="E620" s="8"/>
      <c r="F620" s="8"/>
      <c r="G620" s="8"/>
      <c r="H620" s="8"/>
      <c r="I620" s="8"/>
      <c r="J620" s="8"/>
      <c r="K620" s="8"/>
      <c r="L620" s="8"/>
      <c r="M620" s="8"/>
      <c r="N620" s="8"/>
      <c r="O620" s="8"/>
      <c r="P620" s="8"/>
      <c r="Q620" s="8"/>
      <c r="R620" s="79"/>
      <c r="S620" s="79"/>
      <c r="T620" s="79"/>
      <c r="U620" s="34"/>
      <c r="V620" s="34"/>
    </row>
    <row r="621" spans="1:22" ht="12.75" customHeight="1" x14ac:dyDescent="0.2">
      <c r="A621" s="38"/>
      <c r="B621" s="38"/>
      <c r="C621" s="8"/>
      <c r="D621" s="8"/>
      <c r="E621" s="8"/>
      <c r="F621" s="8"/>
      <c r="G621" s="8"/>
      <c r="H621" s="8"/>
      <c r="I621" s="8"/>
      <c r="J621" s="8"/>
      <c r="K621" s="8"/>
      <c r="L621" s="8"/>
      <c r="M621" s="8"/>
      <c r="N621" s="8"/>
      <c r="O621" s="8"/>
      <c r="P621" s="8"/>
      <c r="Q621" s="8"/>
      <c r="R621" s="79"/>
      <c r="S621" s="79"/>
      <c r="T621" s="79"/>
      <c r="U621" s="34"/>
      <c r="V621" s="34"/>
    </row>
    <row r="622" spans="1:22" ht="12.75" customHeight="1" x14ac:dyDescent="0.2">
      <c r="A622" s="38"/>
      <c r="B622" s="38"/>
      <c r="C622" s="8"/>
      <c r="D622" s="8"/>
      <c r="E622" s="8"/>
      <c r="F622" s="8"/>
      <c r="G622" s="8"/>
      <c r="H622" s="8"/>
      <c r="I622" s="8"/>
      <c r="J622" s="8"/>
      <c r="K622" s="8"/>
      <c r="L622" s="8"/>
      <c r="M622" s="8"/>
      <c r="N622" s="8"/>
      <c r="O622" s="8"/>
      <c r="P622" s="8"/>
      <c r="Q622" s="8"/>
      <c r="R622" s="79"/>
      <c r="S622" s="79"/>
      <c r="T622" s="79"/>
      <c r="U622" s="34"/>
      <c r="V622" s="34"/>
    </row>
    <row r="623" spans="1:22" ht="12.75" customHeight="1" x14ac:dyDescent="0.2">
      <c r="A623" s="38"/>
      <c r="B623" s="38"/>
      <c r="C623" s="8"/>
      <c r="D623" s="8"/>
      <c r="E623" s="8"/>
      <c r="F623" s="8"/>
      <c r="G623" s="8"/>
      <c r="H623" s="8"/>
      <c r="I623" s="8"/>
      <c r="J623" s="8"/>
      <c r="K623" s="8"/>
      <c r="L623" s="8"/>
      <c r="M623" s="8"/>
      <c r="N623" s="8"/>
      <c r="O623" s="8"/>
      <c r="P623" s="8"/>
      <c r="Q623" s="8"/>
      <c r="R623" s="79"/>
      <c r="S623" s="79"/>
      <c r="T623" s="79"/>
      <c r="U623" s="34"/>
      <c r="V623" s="34"/>
    </row>
    <row r="624" spans="1:22" ht="12.75" customHeight="1" x14ac:dyDescent="0.2">
      <c r="A624" s="38"/>
      <c r="B624" s="38"/>
      <c r="C624" s="8"/>
      <c r="D624" s="8"/>
      <c r="E624" s="8"/>
      <c r="F624" s="8"/>
      <c r="G624" s="8"/>
      <c r="H624" s="8"/>
      <c r="I624" s="8"/>
      <c r="J624" s="8"/>
      <c r="K624" s="8"/>
      <c r="L624" s="8"/>
      <c r="M624" s="8"/>
      <c r="N624" s="8"/>
      <c r="O624" s="8"/>
      <c r="P624" s="8"/>
      <c r="Q624" s="8"/>
      <c r="R624" s="79"/>
      <c r="S624" s="79"/>
      <c r="T624" s="79"/>
      <c r="U624" s="34"/>
      <c r="V624" s="34"/>
    </row>
    <row r="625" spans="1:22" ht="12.75" customHeight="1" x14ac:dyDescent="0.2">
      <c r="A625" s="38"/>
      <c r="B625" s="38"/>
      <c r="C625" s="8"/>
      <c r="D625" s="8"/>
      <c r="E625" s="8"/>
      <c r="F625" s="8"/>
      <c r="G625" s="8"/>
      <c r="H625" s="8"/>
      <c r="I625" s="8"/>
      <c r="J625" s="8"/>
      <c r="K625" s="8"/>
      <c r="L625" s="8"/>
      <c r="M625" s="8"/>
      <c r="N625" s="8"/>
      <c r="O625" s="8"/>
      <c r="P625" s="8"/>
      <c r="Q625" s="8"/>
      <c r="R625" s="79"/>
      <c r="S625" s="79"/>
      <c r="T625" s="79"/>
      <c r="U625" s="34"/>
      <c r="V625" s="34"/>
    </row>
    <row r="626" spans="1:22" ht="12.75" customHeight="1" x14ac:dyDescent="0.2">
      <c r="A626" s="38"/>
      <c r="B626" s="38"/>
      <c r="C626" s="8"/>
      <c r="D626" s="8"/>
      <c r="E626" s="8"/>
      <c r="F626" s="8"/>
      <c r="G626" s="8"/>
      <c r="H626" s="8"/>
      <c r="I626" s="8"/>
      <c r="J626" s="8"/>
      <c r="K626" s="8"/>
      <c r="L626" s="8"/>
      <c r="M626" s="8"/>
      <c r="N626" s="8"/>
      <c r="O626" s="8"/>
      <c r="P626" s="8"/>
      <c r="Q626" s="8"/>
      <c r="R626" s="79"/>
      <c r="S626" s="79"/>
      <c r="T626" s="79"/>
      <c r="U626" s="34"/>
      <c r="V626" s="34"/>
    </row>
    <row r="627" spans="1:22" ht="12.75" customHeight="1" x14ac:dyDescent="0.2">
      <c r="A627" s="38"/>
      <c r="B627" s="38"/>
      <c r="C627" s="8"/>
      <c r="D627" s="8"/>
      <c r="E627" s="8"/>
      <c r="F627" s="8"/>
      <c r="G627" s="8"/>
      <c r="H627" s="8"/>
      <c r="I627" s="8"/>
      <c r="J627" s="8"/>
      <c r="K627" s="8"/>
      <c r="L627" s="8"/>
      <c r="M627" s="8"/>
      <c r="N627" s="8"/>
      <c r="O627" s="8"/>
      <c r="P627" s="8"/>
      <c r="Q627" s="8"/>
      <c r="R627" s="79"/>
      <c r="S627" s="79"/>
      <c r="T627" s="79"/>
      <c r="U627" s="34"/>
      <c r="V627" s="34"/>
    </row>
    <row r="628" spans="1:22" ht="12.75" customHeight="1" x14ac:dyDescent="0.2">
      <c r="A628" s="38"/>
      <c r="B628" s="38"/>
      <c r="C628" s="8"/>
      <c r="D628" s="8"/>
      <c r="E628" s="8"/>
      <c r="F628" s="8"/>
      <c r="G628" s="8"/>
      <c r="H628" s="8"/>
      <c r="I628" s="8"/>
      <c r="J628" s="8"/>
      <c r="K628" s="8"/>
      <c r="L628" s="8"/>
      <c r="M628" s="8"/>
      <c r="N628" s="8"/>
      <c r="O628" s="8"/>
      <c r="P628" s="8"/>
      <c r="Q628" s="8"/>
      <c r="R628" s="79"/>
      <c r="S628" s="79"/>
      <c r="T628" s="79"/>
      <c r="U628" s="34"/>
      <c r="V628" s="34"/>
    </row>
    <row r="629" spans="1:22" ht="12.75" customHeight="1" x14ac:dyDescent="0.2">
      <c r="A629" s="38"/>
      <c r="B629" s="38"/>
      <c r="C629" s="8"/>
      <c r="D629" s="8"/>
      <c r="E629" s="8"/>
      <c r="F629" s="8"/>
      <c r="G629" s="8"/>
      <c r="H629" s="8"/>
      <c r="I629" s="8"/>
      <c r="J629" s="8"/>
      <c r="K629" s="8"/>
      <c r="L629" s="8"/>
      <c r="M629" s="8"/>
      <c r="N629" s="8"/>
      <c r="O629" s="8"/>
      <c r="P629" s="8"/>
      <c r="Q629" s="8"/>
      <c r="R629" s="79"/>
      <c r="S629" s="79"/>
      <c r="T629" s="79"/>
      <c r="U629" s="34"/>
      <c r="V629" s="34"/>
    </row>
    <row r="630" spans="1:22" ht="12.75" customHeight="1" x14ac:dyDescent="0.2">
      <c r="A630" s="38"/>
      <c r="B630" s="38"/>
      <c r="C630" s="8"/>
      <c r="D630" s="8"/>
      <c r="E630" s="8"/>
      <c r="F630" s="8"/>
      <c r="G630" s="8"/>
      <c r="H630" s="8"/>
      <c r="I630" s="8"/>
      <c r="J630" s="8"/>
      <c r="K630" s="8"/>
      <c r="L630" s="8"/>
      <c r="M630" s="8"/>
      <c r="N630" s="8"/>
      <c r="O630" s="8"/>
      <c r="P630" s="8"/>
      <c r="Q630" s="8"/>
      <c r="R630" s="79"/>
      <c r="S630" s="79"/>
      <c r="T630" s="79"/>
      <c r="U630" s="34"/>
      <c r="V630" s="34"/>
    </row>
    <row r="631" spans="1:22" ht="12.75" customHeight="1" x14ac:dyDescent="0.2">
      <c r="A631" s="38"/>
      <c r="B631" s="38"/>
      <c r="C631" s="8"/>
      <c r="D631" s="8"/>
      <c r="E631" s="8"/>
      <c r="F631" s="8"/>
      <c r="G631" s="8"/>
      <c r="H631" s="8"/>
      <c r="I631" s="8"/>
      <c r="J631" s="8"/>
      <c r="K631" s="8"/>
      <c r="L631" s="8"/>
      <c r="M631" s="8"/>
      <c r="N631" s="8"/>
      <c r="O631" s="8"/>
      <c r="P631" s="8"/>
      <c r="Q631" s="8"/>
      <c r="R631" s="79"/>
      <c r="S631" s="79"/>
      <c r="T631" s="79"/>
      <c r="U631" s="34"/>
      <c r="V631" s="34"/>
    </row>
    <row r="632" spans="1:22" ht="12.75" customHeight="1" x14ac:dyDescent="0.2">
      <c r="A632" s="38"/>
      <c r="B632" s="38"/>
      <c r="C632" s="8"/>
      <c r="D632" s="8"/>
      <c r="E632" s="8"/>
      <c r="F632" s="8"/>
      <c r="G632" s="8"/>
      <c r="H632" s="8"/>
      <c r="I632" s="8"/>
      <c r="J632" s="8"/>
      <c r="K632" s="8"/>
      <c r="L632" s="8"/>
      <c r="M632" s="8"/>
      <c r="N632" s="8"/>
      <c r="O632" s="8"/>
      <c r="P632" s="8"/>
      <c r="Q632" s="8"/>
      <c r="R632" s="79"/>
      <c r="S632" s="79"/>
      <c r="T632" s="79"/>
      <c r="U632" s="34"/>
      <c r="V632" s="34"/>
    </row>
    <row r="633" spans="1:22" ht="12.75" customHeight="1" x14ac:dyDescent="0.2">
      <c r="A633" s="38"/>
      <c r="B633" s="38"/>
      <c r="C633" s="8"/>
      <c r="D633" s="8"/>
      <c r="E633" s="8"/>
      <c r="F633" s="8"/>
      <c r="G633" s="8"/>
      <c r="H633" s="8"/>
      <c r="I633" s="8"/>
      <c r="J633" s="8"/>
      <c r="K633" s="8"/>
      <c r="L633" s="8"/>
      <c r="M633" s="8"/>
      <c r="N633" s="8"/>
      <c r="O633" s="8"/>
      <c r="P633" s="8"/>
      <c r="Q633" s="8"/>
      <c r="R633" s="79"/>
      <c r="S633" s="79"/>
      <c r="T633" s="79"/>
      <c r="U633" s="34"/>
      <c r="V633" s="34"/>
    </row>
    <row r="634" spans="1:22" ht="12.75" customHeight="1" x14ac:dyDescent="0.2">
      <c r="A634" s="38"/>
      <c r="B634" s="38"/>
      <c r="C634" s="8"/>
      <c r="D634" s="8"/>
      <c r="E634" s="8"/>
      <c r="F634" s="8"/>
      <c r="G634" s="8"/>
      <c r="H634" s="8"/>
      <c r="I634" s="8"/>
      <c r="J634" s="8"/>
      <c r="K634" s="8"/>
      <c r="L634" s="8"/>
      <c r="M634" s="8"/>
      <c r="N634" s="8"/>
      <c r="O634" s="8"/>
      <c r="P634" s="8"/>
      <c r="Q634" s="8"/>
      <c r="R634" s="79"/>
      <c r="S634" s="79"/>
      <c r="T634" s="79"/>
      <c r="U634" s="34"/>
      <c r="V634" s="34"/>
    </row>
    <row r="635" spans="1:22" ht="12.75" customHeight="1" x14ac:dyDescent="0.2">
      <c r="A635" s="38"/>
      <c r="B635" s="38"/>
      <c r="C635" s="8"/>
      <c r="D635" s="8"/>
      <c r="E635" s="8"/>
      <c r="F635" s="8"/>
      <c r="G635" s="8"/>
      <c r="H635" s="8"/>
      <c r="I635" s="8"/>
      <c r="J635" s="8"/>
      <c r="K635" s="8"/>
      <c r="L635" s="8"/>
      <c r="M635" s="8"/>
      <c r="N635" s="8"/>
      <c r="O635" s="8"/>
      <c r="P635" s="8"/>
      <c r="Q635" s="8"/>
      <c r="R635" s="79"/>
      <c r="S635" s="79"/>
      <c r="T635" s="79"/>
      <c r="U635" s="34"/>
      <c r="V635" s="34"/>
    </row>
    <row r="636" spans="1:22" ht="12.75" customHeight="1" x14ac:dyDescent="0.2">
      <c r="A636" s="38"/>
      <c r="B636" s="38"/>
      <c r="C636" s="8"/>
      <c r="D636" s="8"/>
      <c r="E636" s="8"/>
      <c r="F636" s="8"/>
      <c r="G636" s="8"/>
      <c r="H636" s="8"/>
      <c r="I636" s="8"/>
      <c r="J636" s="8"/>
      <c r="K636" s="8"/>
      <c r="L636" s="8"/>
      <c r="M636" s="8"/>
      <c r="N636" s="8"/>
      <c r="O636" s="8"/>
      <c r="P636" s="8"/>
      <c r="Q636" s="8"/>
      <c r="R636" s="79"/>
      <c r="S636" s="79"/>
      <c r="T636" s="79"/>
      <c r="U636" s="34"/>
      <c r="V636" s="34"/>
    </row>
    <row r="637" spans="1:22" ht="12.75" customHeight="1" x14ac:dyDescent="0.2">
      <c r="A637" s="38"/>
      <c r="B637" s="38"/>
      <c r="C637" s="8"/>
      <c r="D637" s="8"/>
      <c r="E637" s="8"/>
      <c r="F637" s="8"/>
      <c r="G637" s="8"/>
      <c r="H637" s="8"/>
      <c r="I637" s="8"/>
      <c r="J637" s="8"/>
      <c r="K637" s="8"/>
      <c r="L637" s="8"/>
      <c r="M637" s="8"/>
      <c r="N637" s="8"/>
      <c r="O637" s="8"/>
      <c r="P637" s="8"/>
      <c r="Q637" s="8"/>
      <c r="R637" s="79"/>
      <c r="S637" s="79"/>
      <c r="T637" s="79"/>
      <c r="U637" s="34"/>
      <c r="V637" s="34"/>
    </row>
    <row r="638" spans="1:22" ht="12.75" customHeight="1" x14ac:dyDescent="0.2">
      <c r="A638" s="38"/>
      <c r="B638" s="38"/>
      <c r="C638" s="8"/>
      <c r="D638" s="8"/>
      <c r="E638" s="8"/>
      <c r="F638" s="8"/>
      <c r="G638" s="8"/>
      <c r="H638" s="8"/>
      <c r="I638" s="8"/>
      <c r="J638" s="8"/>
      <c r="K638" s="8"/>
      <c r="L638" s="8"/>
      <c r="M638" s="8"/>
      <c r="N638" s="8"/>
      <c r="O638" s="8"/>
      <c r="P638" s="8"/>
      <c r="Q638" s="8"/>
      <c r="R638" s="79"/>
      <c r="S638" s="79"/>
      <c r="T638" s="79"/>
      <c r="U638" s="34"/>
      <c r="V638" s="34"/>
    </row>
    <row r="639" spans="1:22" ht="12.75" customHeight="1" x14ac:dyDescent="0.2">
      <c r="A639" s="38"/>
      <c r="B639" s="38"/>
      <c r="C639" s="8"/>
      <c r="D639" s="8"/>
      <c r="E639" s="8"/>
      <c r="F639" s="8"/>
      <c r="G639" s="8"/>
      <c r="H639" s="8"/>
      <c r="I639" s="8"/>
      <c r="J639" s="8"/>
      <c r="K639" s="8"/>
      <c r="L639" s="8"/>
      <c r="M639" s="8"/>
      <c r="N639" s="8"/>
      <c r="O639" s="8"/>
      <c r="P639" s="8"/>
      <c r="Q639" s="8"/>
      <c r="R639" s="79"/>
      <c r="S639" s="79"/>
      <c r="T639" s="79"/>
      <c r="U639" s="34"/>
      <c r="V639" s="34"/>
    </row>
    <row r="640" spans="1:22" ht="12.75" customHeight="1" x14ac:dyDescent="0.2">
      <c r="A640" s="38"/>
      <c r="B640" s="38"/>
      <c r="C640" s="8"/>
      <c r="D640" s="8"/>
      <c r="E640" s="8"/>
      <c r="F640" s="8"/>
      <c r="G640" s="8"/>
      <c r="H640" s="8"/>
      <c r="I640" s="8"/>
      <c r="J640" s="8"/>
      <c r="K640" s="8"/>
      <c r="L640" s="8"/>
      <c r="M640" s="8"/>
      <c r="N640" s="8"/>
      <c r="O640" s="8"/>
      <c r="P640" s="8"/>
      <c r="Q640" s="8"/>
      <c r="R640" s="79"/>
      <c r="S640" s="79"/>
      <c r="T640" s="79"/>
      <c r="U640" s="34"/>
      <c r="V640" s="34"/>
    </row>
    <row r="641" spans="1:22" ht="12.75" customHeight="1" x14ac:dyDescent="0.2">
      <c r="A641" s="38"/>
      <c r="B641" s="38"/>
      <c r="C641" s="8"/>
      <c r="D641" s="8"/>
      <c r="E641" s="8"/>
      <c r="F641" s="8"/>
      <c r="G641" s="8"/>
      <c r="H641" s="8"/>
      <c r="I641" s="8"/>
      <c r="J641" s="8"/>
      <c r="K641" s="8"/>
      <c r="L641" s="8"/>
      <c r="M641" s="8"/>
      <c r="N641" s="8"/>
      <c r="O641" s="8"/>
      <c r="P641" s="8"/>
      <c r="Q641" s="8"/>
      <c r="R641" s="79"/>
      <c r="S641" s="79"/>
      <c r="T641" s="79"/>
      <c r="U641" s="34"/>
      <c r="V641" s="34"/>
    </row>
    <row r="642" spans="1:22" ht="12.75" customHeight="1" x14ac:dyDescent="0.2">
      <c r="A642" s="38"/>
      <c r="B642" s="38"/>
      <c r="C642" s="8"/>
      <c r="D642" s="8"/>
      <c r="E642" s="8"/>
      <c r="F642" s="8"/>
      <c r="G642" s="8"/>
      <c r="H642" s="8"/>
      <c r="I642" s="8"/>
      <c r="J642" s="8"/>
      <c r="K642" s="8"/>
      <c r="L642" s="8"/>
      <c r="M642" s="8"/>
      <c r="N642" s="8"/>
      <c r="O642" s="8"/>
      <c r="P642" s="8"/>
      <c r="Q642" s="8"/>
      <c r="R642" s="79"/>
      <c r="S642" s="79"/>
      <c r="T642" s="79"/>
      <c r="U642" s="34"/>
      <c r="V642" s="34"/>
    </row>
    <row r="643" spans="1:22" ht="12.75" customHeight="1" x14ac:dyDescent="0.2">
      <c r="A643" s="38"/>
      <c r="B643" s="38"/>
      <c r="C643" s="8"/>
      <c r="D643" s="8"/>
      <c r="E643" s="8"/>
      <c r="F643" s="8"/>
      <c r="G643" s="8"/>
      <c r="H643" s="8"/>
      <c r="I643" s="8"/>
      <c r="J643" s="8"/>
      <c r="K643" s="8"/>
      <c r="L643" s="8"/>
      <c r="M643" s="8"/>
      <c r="N643" s="8"/>
      <c r="O643" s="8"/>
      <c r="P643" s="8"/>
      <c r="Q643" s="8"/>
      <c r="R643" s="79"/>
      <c r="S643" s="79"/>
      <c r="T643" s="79"/>
      <c r="U643" s="34"/>
      <c r="V643" s="34"/>
    </row>
    <row r="644" spans="1:22" ht="12.75" customHeight="1" x14ac:dyDescent="0.2">
      <c r="A644" s="38"/>
      <c r="B644" s="38"/>
      <c r="C644" s="8"/>
      <c r="D644" s="8"/>
      <c r="E644" s="8"/>
      <c r="F644" s="8"/>
      <c r="G644" s="8"/>
      <c r="H644" s="8"/>
      <c r="I644" s="8"/>
      <c r="J644" s="8"/>
      <c r="K644" s="8"/>
      <c r="L644" s="8"/>
      <c r="M644" s="8"/>
      <c r="N644" s="8"/>
      <c r="O644" s="8"/>
      <c r="P644" s="8"/>
      <c r="Q644" s="8"/>
      <c r="R644" s="79"/>
      <c r="S644" s="79"/>
      <c r="T644" s="79"/>
      <c r="U644" s="34"/>
      <c r="V644" s="34"/>
    </row>
    <row r="645" spans="1:22" ht="12.75" customHeight="1" x14ac:dyDescent="0.2">
      <c r="A645" s="38"/>
      <c r="B645" s="38"/>
      <c r="C645" s="8"/>
      <c r="D645" s="8"/>
      <c r="E645" s="8"/>
      <c r="F645" s="8"/>
      <c r="G645" s="8"/>
      <c r="H645" s="8"/>
      <c r="I645" s="8"/>
      <c r="J645" s="8"/>
      <c r="K645" s="8"/>
      <c r="L645" s="8"/>
      <c r="M645" s="8"/>
      <c r="N645" s="8"/>
      <c r="O645" s="8"/>
      <c r="P645" s="8"/>
      <c r="Q645" s="8"/>
      <c r="R645" s="79"/>
      <c r="S645" s="79"/>
      <c r="T645" s="79"/>
      <c r="U645" s="34"/>
      <c r="V645" s="34"/>
    </row>
    <row r="646" spans="1:22" ht="12.75" customHeight="1" x14ac:dyDescent="0.2">
      <c r="A646" s="38"/>
      <c r="B646" s="38"/>
      <c r="C646" s="8"/>
      <c r="D646" s="8"/>
      <c r="E646" s="8"/>
      <c r="F646" s="8"/>
      <c r="G646" s="8"/>
      <c r="H646" s="8"/>
      <c r="I646" s="8"/>
      <c r="J646" s="8"/>
      <c r="K646" s="8"/>
      <c r="L646" s="8"/>
      <c r="M646" s="8"/>
      <c r="N646" s="8"/>
      <c r="O646" s="8"/>
      <c r="P646" s="8"/>
      <c r="Q646" s="8"/>
      <c r="R646" s="79"/>
      <c r="S646" s="79"/>
      <c r="T646" s="79"/>
      <c r="U646" s="34"/>
      <c r="V646" s="34"/>
    </row>
    <row r="647" spans="1:22" ht="12.75" customHeight="1" x14ac:dyDescent="0.2">
      <c r="A647" s="38"/>
      <c r="B647" s="38"/>
      <c r="C647" s="8"/>
      <c r="D647" s="8"/>
      <c r="E647" s="8"/>
      <c r="F647" s="8"/>
      <c r="G647" s="8"/>
      <c r="H647" s="8"/>
      <c r="I647" s="8"/>
      <c r="J647" s="8"/>
      <c r="K647" s="8"/>
      <c r="L647" s="8"/>
      <c r="M647" s="8"/>
      <c r="N647" s="8"/>
      <c r="O647" s="8"/>
      <c r="P647" s="8"/>
      <c r="Q647" s="8"/>
      <c r="R647" s="79"/>
      <c r="S647" s="79"/>
      <c r="T647" s="79"/>
      <c r="U647" s="34"/>
      <c r="V647" s="34"/>
    </row>
    <row r="648" spans="1:22" ht="12.75" customHeight="1" x14ac:dyDescent="0.2">
      <c r="A648" s="38"/>
      <c r="B648" s="38"/>
      <c r="C648" s="8"/>
      <c r="D648" s="8"/>
      <c r="E648" s="8"/>
      <c r="F648" s="8"/>
      <c r="G648" s="8"/>
      <c r="H648" s="8"/>
      <c r="I648" s="8"/>
      <c r="J648" s="8"/>
      <c r="K648" s="8"/>
      <c r="L648" s="8"/>
      <c r="M648" s="8"/>
      <c r="N648" s="8"/>
      <c r="O648" s="8"/>
      <c r="P648" s="8"/>
      <c r="Q648" s="8"/>
      <c r="R648" s="79"/>
      <c r="S648" s="79"/>
      <c r="T648" s="79"/>
      <c r="U648" s="34"/>
      <c r="V648" s="34"/>
    </row>
    <row r="649" spans="1:22" ht="12.75" customHeight="1" x14ac:dyDescent="0.2">
      <c r="A649" s="38"/>
      <c r="B649" s="38"/>
      <c r="C649" s="8"/>
      <c r="D649" s="8"/>
      <c r="E649" s="8"/>
      <c r="F649" s="8"/>
      <c r="G649" s="8"/>
      <c r="H649" s="8"/>
      <c r="I649" s="8"/>
      <c r="J649" s="8"/>
      <c r="K649" s="8"/>
      <c r="L649" s="8"/>
      <c r="M649" s="8"/>
      <c r="N649" s="8"/>
      <c r="O649" s="8"/>
      <c r="P649" s="8"/>
      <c r="Q649" s="8"/>
      <c r="R649" s="79"/>
      <c r="S649" s="79"/>
      <c r="T649" s="79"/>
      <c r="U649" s="34"/>
      <c r="V649" s="34"/>
    </row>
    <row r="650" spans="1:22" ht="12.75" customHeight="1" x14ac:dyDescent="0.2">
      <c r="A650" s="38"/>
      <c r="B650" s="38"/>
      <c r="C650" s="8"/>
      <c r="D650" s="8"/>
      <c r="E650" s="8"/>
      <c r="F650" s="8"/>
      <c r="G650" s="8"/>
      <c r="H650" s="8"/>
      <c r="I650" s="8"/>
      <c r="J650" s="8"/>
      <c r="K650" s="8"/>
      <c r="L650" s="8"/>
      <c r="M650" s="8"/>
      <c r="N650" s="8"/>
      <c r="O650" s="8"/>
      <c r="P650" s="8"/>
      <c r="Q650" s="8"/>
      <c r="R650" s="79"/>
      <c r="S650" s="79"/>
      <c r="T650" s="79"/>
      <c r="U650" s="34"/>
      <c r="V650" s="34"/>
    </row>
    <row r="651" spans="1:22" ht="12.75" customHeight="1" x14ac:dyDescent="0.2">
      <c r="A651" s="38"/>
      <c r="B651" s="38"/>
      <c r="C651" s="8"/>
      <c r="D651" s="8"/>
      <c r="E651" s="8"/>
      <c r="F651" s="8"/>
      <c r="G651" s="8"/>
      <c r="H651" s="8"/>
      <c r="I651" s="8"/>
      <c r="J651" s="8"/>
      <c r="K651" s="8"/>
      <c r="L651" s="8"/>
      <c r="M651" s="8"/>
      <c r="N651" s="8"/>
      <c r="O651" s="8"/>
      <c r="P651" s="8"/>
      <c r="Q651" s="8"/>
      <c r="R651" s="79"/>
      <c r="S651" s="79"/>
      <c r="T651" s="79"/>
      <c r="U651" s="34"/>
      <c r="V651" s="34"/>
    </row>
    <row r="652" spans="1:22" ht="12.75" customHeight="1" x14ac:dyDescent="0.2">
      <c r="A652" s="38"/>
      <c r="B652" s="38"/>
      <c r="C652" s="8"/>
      <c r="D652" s="8"/>
      <c r="E652" s="8"/>
      <c r="F652" s="8"/>
      <c r="G652" s="8"/>
      <c r="H652" s="8"/>
      <c r="I652" s="8"/>
      <c r="J652" s="8"/>
      <c r="K652" s="8"/>
      <c r="L652" s="8"/>
      <c r="M652" s="8"/>
      <c r="N652" s="8"/>
      <c r="O652" s="8"/>
      <c r="P652" s="8"/>
      <c r="Q652" s="8"/>
      <c r="R652" s="79"/>
      <c r="S652" s="79"/>
      <c r="T652" s="79"/>
      <c r="U652" s="34"/>
      <c r="V652" s="34"/>
    </row>
    <row r="653" spans="1:22" ht="12.75" customHeight="1" x14ac:dyDescent="0.2">
      <c r="A653" s="38"/>
      <c r="B653" s="38"/>
      <c r="C653" s="8"/>
      <c r="D653" s="8"/>
      <c r="E653" s="8"/>
      <c r="F653" s="8"/>
      <c r="G653" s="8"/>
      <c r="H653" s="8"/>
      <c r="I653" s="8"/>
      <c r="J653" s="8"/>
      <c r="K653" s="8"/>
      <c r="L653" s="8"/>
      <c r="M653" s="8"/>
      <c r="N653" s="8"/>
      <c r="O653" s="8"/>
      <c r="P653" s="8"/>
      <c r="Q653" s="8"/>
      <c r="R653" s="79"/>
      <c r="S653" s="79"/>
      <c r="T653" s="79"/>
      <c r="U653" s="34"/>
      <c r="V653" s="34"/>
    </row>
    <row r="654" spans="1:22" ht="12.75" customHeight="1" x14ac:dyDescent="0.2">
      <c r="A654" s="38"/>
      <c r="B654" s="38"/>
      <c r="C654" s="8"/>
      <c r="D654" s="8"/>
      <c r="E654" s="8"/>
      <c r="F654" s="8"/>
      <c r="G654" s="8"/>
      <c r="H654" s="8"/>
      <c r="I654" s="8"/>
      <c r="J654" s="8"/>
      <c r="K654" s="8"/>
      <c r="L654" s="8"/>
      <c r="M654" s="8"/>
      <c r="N654" s="8"/>
      <c r="O654" s="8"/>
      <c r="P654" s="8"/>
      <c r="Q654" s="8"/>
      <c r="R654" s="79"/>
      <c r="S654" s="79"/>
      <c r="T654" s="79"/>
      <c r="U654" s="34"/>
      <c r="V654" s="34"/>
    </row>
    <row r="655" spans="1:22" ht="12.75" customHeight="1" x14ac:dyDescent="0.2">
      <c r="A655" s="38"/>
      <c r="B655" s="38"/>
      <c r="C655" s="8"/>
      <c r="D655" s="8"/>
      <c r="E655" s="8"/>
      <c r="F655" s="8"/>
      <c r="G655" s="8"/>
      <c r="H655" s="8"/>
      <c r="I655" s="8"/>
      <c r="J655" s="8"/>
      <c r="K655" s="8"/>
      <c r="L655" s="8"/>
      <c r="M655" s="8"/>
      <c r="N655" s="8"/>
      <c r="O655" s="8"/>
      <c r="P655" s="8"/>
      <c r="Q655" s="8"/>
      <c r="R655" s="79"/>
      <c r="S655" s="79"/>
      <c r="T655" s="79"/>
      <c r="U655" s="34"/>
      <c r="V655" s="34"/>
    </row>
    <row r="656" spans="1:22" ht="12.75" customHeight="1" x14ac:dyDescent="0.2">
      <c r="A656" s="38"/>
      <c r="B656" s="38"/>
      <c r="C656" s="8"/>
      <c r="D656" s="8"/>
      <c r="E656" s="8"/>
      <c r="F656" s="8"/>
      <c r="G656" s="8"/>
      <c r="H656" s="8"/>
      <c r="I656" s="8"/>
      <c r="J656" s="8"/>
      <c r="K656" s="8"/>
      <c r="L656" s="8"/>
      <c r="M656" s="8"/>
      <c r="N656" s="8"/>
      <c r="O656" s="8"/>
      <c r="P656" s="8"/>
      <c r="Q656" s="8"/>
      <c r="R656" s="79"/>
      <c r="S656" s="79"/>
      <c r="T656" s="79"/>
      <c r="U656" s="34"/>
      <c r="V656" s="34"/>
    </row>
    <row r="657" spans="1:22" ht="12.75" customHeight="1" x14ac:dyDescent="0.2">
      <c r="A657" s="38"/>
      <c r="B657" s="38"/>
      <c r="C657" s="8"/>
      <c r="D657" s="8"/>
      <c r="E657" s="8"/>
      <c r="F657" s="8"/>
      <c r="G657" s="8"/>
      <c r="H657" s="8"/>
      <c r="I657" s="8"/>
      <c r="J657" s="8"/>
      <c r="K657" s="8"/>
      <c r="L657" s="8"/>
      <c r="M657" s="8"/>
      <c r="N657" s="8"/>
      <c r="O657" s="8"/>
      <c r="P657" s="8"/>
      <c r="Q657" s="8"/>
      <c r="R657" s="79"/>
      <c r="S657" s="79"/>
      <c r="T657" s="79"/>
      <c r="U657" s="34"/>
      <c r="V657" s="34"/>
    </row>
    <row r="658" spans="1:22" ht="12.75" customHeight="1" x14ac:dyDescent="0.2">
      <c r="A658" s="38"/>
      <c r="B658" s="38"/>
      <c r="C658" s="8"/>
      <c r="D658" s="8"/>
      <c r="E658" s="8"/>
      <c r="F658" s="8"/>
      <c r="G658" s="8"/>
      <c r="H658" s="8"/>
      <c r="I658" s="8"/>
      <c r="J658" s="8"/>
      <c r="K658" s="8"/>
      <c r="L658" s="8"/>
      <c r="M658" s="8"/>
      <c r="N658" s="8"/>
      <c r="O658" s="8"/>
      <c r="P658" s="8"/>
      <c r="Q658" s="8"/>
      <c r="R658" s="79"/>
      <c r="S658" s="79"/>
      <c r="T658" s="79"/>
      <c r="U658" s="34"/>
      <c r="V658" s="34"/>
    </row>
    <row r="659" spans="1:22" ht="12.75" customHeight="1" x14ac:dyDescent="0.2">
      <c r="A659" s="38"/>
      <c r="B659" s="38"/>
      <c r="C659" s="8"/>
      <c r="D659" s="8"/>
      <c r="E659" s="8"/>
      <c r="F659" s="8"/>
      <c r="G659" s="8"/>
      <c r="H659" s="8"/>
      <c r="I659" s="8"/>
      <c r="J659" s="8"/>
      <c r="K659" s="8"/>
      <c r="L659" s="8"/>
      <c r="M659" s="8"/>
      <c r="N659" s="8"/>
      <c r="O659" s="8"/>
      <c r="P659" s="8"/>
      <c r="Q659" s="8"/>
      <c r="R659" s="79"/>
      <c r="S659" s="79"/>
      <c r="T659" s="79"/>
      <c r="U659" s="34"/>
      <c r="V659" s="34"/>
    </row>
    <row r="660" spans="1:22" ht="12.75" customHeight="1" x14ac:dyDescent="0.2">
      <c r="A660" s="38"/>
      <c r="B660" s="38"/>
      <c r="C660" s="8"/>
      <c r="D660" s="8"/>
      <c r="E660" s="8"/>
      <c r="F660" s="8"/>
      <c r="G660" s="8"/>
      <c r="H660" s="8"/>
      <c r="I660" s="8"/>
      <c r="J660" s="8"/>
      <c r="K660" s="8"/>
      <c r="L660" s="8"/>
      <c r="M660" s="8"/>
      <c r="N660" s="8"/>
      <c r="O660" s="8"/>
      <c r="P660" s="8"/>
      <c r="Q660" s="8"/>
      <c r="R660" s="79"/>
      <c r="S660" s="79"/>
      <c r="T660" s="79"/>
      <c r="U660" s="34"/>
      <c r="V660" s="34"/>
    </row>
    <row r="661" spans="1:22" ht="12.75" customHeight="1" x14ac:dyDescent="0.2">
      <c r="A661" s="38"/>
      <c r="B661" s="38"/>
      <c r="C661" s="8"/>
      <c r="D661" s="8"/>
      <c r="E661" s="8"/>
      <c r="F661" s="8"/>
      <c r="G661" s="8"/>
      <c r="H661" s="8"/>
      <c r="I661" s="8"/>
      <c r="J661" s="8"/>
      <c r="K661" s="8"/>
      <c r="L661" s="8"/>
      <c r="M661" s="8"/>
      <c r="N661" s="8"/>
      <c r="O661" s="8"/>
      <c r="P661" s="8"/>
      <c r="Q661" s="8"/>
      <c r="R661" s="79"/>
      <c r="S661" s="79"/>
      <c r="T661" s="79"/>
      <c r="U661" s="34"/>
      <c r="V661" s="34"/>
    </row>
    <row r="662" spans="1:22" ht="12.75" customHeight="1" x14ac:dyDescent="0.2">
      <c r="A662" s="38"/>
      <c r="B662" s="38"/>
      <c r="C662" s="8"/>
      <c r="D662" s="8"/>
      <c r="E662" s="8"/>
      <c r="F662" s="8"/>
      <c r="G662" s="8"/>
      <c r="H662" s="8"/>
      <c r="I662" s="8"/>
      <c r="J662" s="8"/>
      <c r="K662" s="8"/>
      <c r="L662" s="8"/>
      <c r="M662" s="8"/>
      <c r="N662" s="8"/>
      <c r="O662" s="8"/>
      <c r="P662" s="8"/>
      <c r="Q662" s="8"/>
      <c r="R662" s="79"/>
      <c r="S662" s="79"/>
      <c r="T662" s="79"/>
      <c r="U662" s="34"/>
      <c r="V662" s="34"/>
    </row>
    <row r="663" spans="1:22" ht="12.75" customHeight="1" x14ac:dyDescent="0.2">
      <c r="A663" s="38"/>
      <c r="B663" s="38"/>
      <c r="C663" s="8"/>
      <c r="D663" s="8"/>
      <c r="E663" s="8"/>
      <c r="F663" s="8"/>
      <c r="G663" s="8"/>
      <c r="H663" s="8"/>
      <c r="I663" s="8"/>
      <c r="J663" s="8"/>
      <c r="K663" s="8"/>
      <c r="L663" s="8"/>
      <c r="M663" s="8"/>
      <c r="N663" s="8"/>
      <c r="O663" s="8"/>
      <c r="P663" s="8"/>
      <c r="Q663" s="8"/>
      <c r="R663" s="79"/>
      <c r="S663" s="79"/>
      <c r="T663" s="79"/>
      <c r="U663" s="34"/>
      <c r="V663" s="34"/>
    </row>
    <row r="664" spans="1:22" ht="12.75" customHeight="1" x14ac:dyDescent="0.2">
      <c r="A664" s="38"/>
      <c r="B664" s="38"/>
      <c r="C664" s="8"/>
      <c r="D664" s="8"/>
      <c r="E664" s="8"/>
      <c r="F664" s="8"/>
      <c r="G664" s="8"/>
      <c r="H664" s="8"/>
      <c r="I664" s="8"/>
      <c r="J664" s="8"/>
      <c r="K664" s="8"/>
      <c r="L664" s="8"/>
      <c r="M664" s="8"/>
      <c r="N664" s="8"/>
      <c r="O664" s="8"/>
      <c r="P664" s="8"/>
      <c r="Q664" s="8"/>
      <c r="R664" s="79"/>
      <c r="S664" s="79"/>
      <c r="T664" s="79"/>
      <c r="U664" s="34"/>
      <c r="V664" s="34"/>
    </row>
    <row r="665" spans="1:22" ht="12.75" customHeight="1" x14ac:dyDescent="0.2">
      <c r="A665" s="38"/>
      <c r="B665" s="38"/>
      <c r="C665" s="8"/>
      <c r="D665" s="8"/>
      <c r="E665" s="8"/>
      <c r="F665" s="8"/>
      <c r="G665" s="8"/>
      <c r="H665" s="8"/>
      <c r="I665" s="8"/>
      <c r="J665" s="8"/>
      <c r="K665" s="8"/>
      <c r="L665" s="8"/>
      <c r="M665" s="8"/>
      <c r="N665" s="8"/>
      <c r="O665" s="8"/>
      <c r="P665" s="8"/>
      <c r="Q665" s="8"/>
      <c r="R665" s="79"/>
      <c r="S665" s="79"/>
      <c r="T665" s="79"/>
      <c r="U665" s="34"/>
      <c r="V665" s="34"/>
    </row>
    <row r="666" spans="1:22" ht="12.75" customHeight="1" x14ac:dyDescent="0.2">
      <c r="A666" s="38"/>
      <c r="B666" s="38"/>
      <c r="C666" s="8"/>
      <c r="D666" s="8"/>
      <c r="E666" s="8"/>
      <c r="F666" s="8"/>
      <c r="G666" s="8"/>
      <c r="H666" s="8"/>
      <c r="I666" s="8"/>
      <c r="J666" s="8"/>
      <c r="K666" s="8"/>
      <c r="L666" s="8"/>
      <c r="M666" s="8"/>
      <c r="N666" s="8"/>
      <c r="O666" s="8"/>
      <c r="P666" s="8"/>
      <c r="Q666" s="8"/>
      <c r="R666" s="79"/>
      <c r="S666" s="79"/>
      <c r="T666" s="79"/>
      <c r="U666" s="34"/>
      <c r="V666" s="34"/>
    </row>
    <row r="667" spans="1:22" ht="12.75" customHeight="1" x14ac:dyDescent="0.2">
      <c r="A667" s="38"/>
      <c r="B667" s="38"/>
      <c r="C667" s="8"/>
      <c r="D667" s="8"/>
      <c r="E667" s="8"/>
      <c r="F667" s="8"/>
      <c r="G667" s="8"/>
      <c r="H667" s="8"/>
      <c r="I667" s="8"/>
      <c r="J667" s="8"/>
      <c r="K667" s="8"/>
      <c r="L667" s="8"/>
      <c r="M667" s="8"/>
      <c r="N667" s="8"/>
      <c r="O667" s="8"/>
      <c r="P667" s="8"/>
      <c r="Q667" s="8"/>
      <c r="R667" s="79"/>
      <c r="S667" s="79"/>
      <c r="T667" s="79"/>
      <c r="U667" s="34"/>
      <c r="V667" s="34"/>
    </row>
    <row r="668" spans="1:22" ht="12.75" customHeight="1" x14ac:dyDescent="0.2">
      <c r="A668" s="38"/>
      <c r="B668" s="38"/>
      <c r="C668" s="8"/>
      <c r="D668" s="8"/>
      <c r="E668" s="8"/>
      <c r="F668" s="8"/>
      <c r="G668" s="8"/>
      <c r="H668" s="8"/>
      <c r="I668" s="8"/>
      <c r="J668" s="8"/>
      <c r="K668" s="8"/>
      <c r="L668" s="8"/>
      <c r="M668" s="8"/>
      <c r="N668" s="8"/>
      <c r="O668" s="8"/>
      <c r="P668" s="8"/>
      <c r="Q668" s="8"/>
      <c r="R668" s="79"/>
      <c r="S668" s="79"/>
      <c r="T668" s="79"/>
      <c r="U668" s="34"/>
      <c r="V668" s="34"/>
    </row>
    <row r="669" spans="1:22" ht="12.75" customHeight="1" x14ac:dyDescent="0.2">
      <c r="A669" s="38"/>
      <c r="B669" s="38"/>
      <c r="C669" s="8"/>
      <c r="D669" s="8"/>
      <c r="E669" s="8"/>
      <c r="F669" s="8"/>
      <c r="G669" s="8"/>
      <c r="H669" s="8"/>
      <c r="I669" s="8"/>
      <c r="J669" s="8"/>
      <c r="K669" s="8"/>
      <c r="L669" s="8"/>
      <c r="M669" s="8"/>
      <c r="N669" s="8"/>
      <c r="O669" s="8"/>
      <c r="P669" s="8"/>
      <c r="Q669" s="8"/>
      <c r="R669" s="79"/>
      <c r="S669" s="79"/>
      <c r="T669" s="79"/>
      <c r="U669" s="34"/>
      <c r="V669" s="34"/>
    </row>
    <row r="670" spans="1:22" ht="12.75" customHeight="1" x14ac:dyDescent="0.2">
      <c r="A670" s="38"/>
      <c r="B670" s="38"/>
      <c r="C670" s="8"/>
      <c r="D670" s="8"/>
      <c r="E670" s="8"/>
      <c r="F670" s="8"/>
      <c r="G670" s="8"/>
      <c r="H670" s="8"/>
      <c r="I670" s="8"/>
      <c r="J670" s="8"/>
      <c r="K670" s="8"/>
      <c r="L670" s="8"/>
      <c r="M670" s="8"/>
      <c r="N670" s="8"/>
      <c r="O670" s="8"/>
      <c r="P670" s="8"/>
      <c r="Q670" s="8"/>
      <c r="R670" s="79"/>
      <c r="S670" s="79"/>
      <c r="T670" s="79"/>
      <c r="U670" s="34"/>
      <c r="V670" s="34"/>
    </row>
    <row r="671" spans="1:22" ht="12.75" customHeight="1" x14ac:dyDescent="0.2">
      <c r="A671" s="38"/>
      <c r="B671" s="38"/>
      <c r="C671" s="8"/>
      <c r="D671" s="8"/>
      <c r="E671" s="8"/>
      <c r="F671" s="8"/>
      <c r="G671" s="8"/>
      <c r="H671" s="8"/>
      <c r="I671" s="8"/>
      <c r="J671" s="8"/>
      <c r="K671" s="8"/>
      <c r="L671" s="8"/>
      <c r="M671" s="8"/>
      <c r="N671" s="8"/>
      <c r="O671" s="8"/>
      <c r="P671" s="8"/>
      <c r="Q671" s="8"/>
      <c r="R671" s="79"/>
      <c r="S671" s="79"/>
      <c r="T671" s="79"/>
      <c r="U671" s="34"/>
      <c r="V671" s="34"/>
    </row>
    <row r="672" spans="1:22" ht="12.75" customHeight="1" x14ac:dyDescent="0.2">
      <c r="A672" s="38"/>
      <c r="B672" s="38"/>
      <c r="C672" s="8"/>
      <c r="D672" s="8"/>
      <c r="E672" s="8"/>
      <c r="F672" s="8"/>
      <c r="G672" s="8"/>
      <c r="H672" s="8"/>
      <c r="I672" s="8"/>
      <c r="J672" s="8"/>
      <c r="K672" s="8"/>
      <c r="L672" s="8"/>
      <c r="M672" s="8"/>
      <c r="N672" s="8"/>
      <c r="O672" s="8"/>
      <c r="P672" s="8"/>
      <c r="Q672" s="8"/>
      <c r="R672" s="79"/>
      <c r="S672" s="79"/>
      <c r="T672" s="79"/>
      <c r="U672" s="34"/>
      <c r="V672" s="34"/>
    </row>
    <row r="673" spans="1:22" ht="12.75" customHeight="1" x14ac:dyDescent="0.2">
      <c r="A673" s="38"/>
      <c r="B673" s="38"/>
      <c r="C673" s="8"/>
      <c r="D673" s="8"/>
      <c r="E673" s="8"/>
      <c r="F673" s="8"/>
      <c r="G673" s="8"/>
      <c r="H673" s="8"/>
      <c r="I673" s="8"/>
      <c r="J673" s="8"/>
      <c r="K673" s="8"/>
      <c r="L673" s="8"/>
      <c r="M673" s="8"/>
      <c r="N673" s="8"/>
      <c r="O673" s="8"/>
      <c r="P673" s="8"/>
      <c r="Q673" s="8"/>
      <c r="R673" s="79"/>
      <c r="S673" s="79"/>
      <c r="T673" s="79"/>
      <c r="U673" s="34"/>
      <c r="V673" s="34"/>
    </row>
    <row r="674" spans="1:22" ht="12.75" customHeight="1" x14ac:dyDescent="0.2">
      <c r="A674" s="38"/>
      <c r="B674" s="38"/>
      <c r="C674" s="8"/>
      <c r="D674" s="8"/>
      <c r="E674" s="8"/>
      <c r="F674" s="8"/>
      <c r="G674" s="8"/>
      <c r="H674" s="8"/>
      <c r="I674" s="8"/>
      <c r="J674" s="8"/>
      <c r="K674" s="8"/>
      <c r="L674" s="8"/>
      <c r="M674" s="8"/>
      <c r="N674" s="8"/>
      <c r="O674" s="8"/>
      <c r="P674" s="8"/>
      <c r="Q674" s="8"/>
      <c r="R674" s="79"/>
      <c r="S674" s="79"/>
      <c r="T674" s="79"/>
      <c r="U674" s="34"/>
      <c r="V674" s="34"/>
    </row>
    <row r="675" spans="1:22" ht="12.75" customHeight="1" x14ac:dyDescent="0.2">
      <c r="A675" s="38"/>
      <c r="B675" s="38"/>
      <c r="C675" s="8"/>
      <c r="D675" s="8"/>
      <c r="E675" s="8"/>
      <c r="F675" s="8"/>
      <c r="G675" s="8"/>
      <c r="H675" s="8"/>
      <c r="I675" s="8"/>
      <c r="J675" s="8"/>
      <c r="K675" s="8"/>
      <c r="L675" s="8"/>
      <c r="M675" s="8"/>
      <c r="N675" s="8"/>
      <c r="O675" s="8"/>
      <c r="P675" s="8"/>
      <c r="Q675" s="8"/>
      <c r="R675" s="79"/>
      <c r="S675" s="79"/>
      <c r="T675" s="79"/>
      <c r="U675" s="34"/>
      <c r="V675" s="34"/>
    </row>
    <row r="676" spans="1:22" ht="12.75" customHeight="1" x14ac:dyDescent="0.2">
      <c r="A676" s="38"/>
      <c r="B676" s="38"/>
      <c r="C676" s="8"/>
      <c r="D676" s="8"/>
      <c r="E676" s="8"/>
      <c r="F676" s="8"/>
      <c r="G676" s="8"/>
      <c r="H676" s="8"/>
      <c r="I676" s="8"/>
      <c r="J676" s="8"/>
      <c r="K676" s="8"/>
      <c r="L676" s="8"/>
      <c r="M676" s="8"/>
      <c r="N676" s="8"/>
      <c r="O676" s="8"/>
      <c r="P676" s="8"/>
      <c r="Q676" s="8"/>
      <c r="R676" s="79"/>
      <c r="S676" s="79"/>
      <c r="T676" s="79"/>
      <c r="U676" s="34"/>
      <c r="V676" s="34"/>
    </row>
    <row r="677" spans="1:22" ht="12.75" customHeight="1" x14ac:dyDescent="0.2">
      <c r="A677" s="38"/>
      <c r="B677" s="38"/>
      <c r="C677" s="8"/>
      <c r="D677" s="8"/>
      <c r="E677" s="8"/>
      <c r="F677" s="8"/>
      <c r="G677" s="8"/>
      <c r="H677" s="8"/>
      <c r="I677" s="8"/>
      <c r="J677" s="8"/>
      <c r="K677" s="8"/>
      <c r="L677" s="8"/>
      <c r="M677" s="8"/>
      <c r="N677" s="8"/>
      <c r="O677" s="8"/>
      <c r="P677" s="8"/>
      <c r="Q677" s="8"/>
      <c r="R677" s="79"/>
      <c r="S677" s="79"/>
      <c r="T677" s="79"/>
      <c r="U677" s="34"/>
      <c r="V677" s="34"/>
    </row>
    <row r="678" spans="1:22" ht="12.75" customHeight="1" x14ac:dyDescent="0.2">
      <c r="A678" s="38"/>
      <c r="B678" s="38"/>
      <c r="C678" s="8"/>
      <c r="D678" s="8"/>
      <c r="E678" s="8"/>
      <c r="F678" s="8"/>
      <c r="G678" s="8"/>
      <c r="H678" s="8"/>
      <c r="I678" s="8"/>
      <c r="J678" s="8"/>
      <c r="K678" s="8"/>
      <c r="L678" s="8"/>
      <c r="M678" s="8"/>
      <c r="N678" s="8"/>
      <c r="O678" s="8"/>
      <c r="P678" s="8"/>
      <c r="Q678" s="8"/>
      <c r="R678" s="79"/>
      <c r="S678" s="79"/>
      <c r="T678" s="79"/>
      <c r="U678" s="34"/>
      <c r="V678" s="34"/>
    </row>
    <row r="679" spans="1:22" ht="12.75" customHeight="1" x14ac:dyDescent="0.2">
      <c r="A679" s="38"/>
      <c r="B679" s="38"/>
      <c r="C679" s="8"/>
      <c r="D679" s="8"/>
      <c r="E679" s="8"/>
      <c r="F679" s="8"/>
      <c r="G679" s="8"/>
      <c r="H679" s="8"/>
      <c r="I679" s="8"/>
      <c r="J679" s="8"/>
      <c r="K679" s="8"/>
      <c r="L679" s="8"/>
      <c r="M679" s="8"/>
      <c r="N679" s="8"/>
      <c r="O679" s="8"/>
      <c r="P679" s="8"/>
      <c r="Q679" s="8"/>
      <c r="R679" s="79"/>
      <c r="S679" s="79"/>
      <c r="T679" s="79"/>
      <c r="U679" s="34"/>
      <c r="V679" s="34"/>
    </row>
    <row r="680" spans="1:22" ht="12.75" customHeight="1" x14ac:dyDescent="0.2">
      <c r="A680" s="38"/>
      <c r="B680" s="38"/>
      <c r="C680" s="8"/>
      <c r="D680" s="8"/>
      <c r="E680" s="8"/>
      <c r="F680" s="8"/>
      <c r="G680" s="8"/>
      <c r="H680" s="8"/>
      <c r="I680" s="8"/>
      <c r="J680" s="8"/>
      <c r="K680" s="8"/>
      <c r="L680" s="8"/>
      <c r="M680" s="8"/>
      <c r="N680" s="8"/>
      <c r="O680" s="8"/>
      <c r="P680" s="8"/>
      <c r="Q680" s="8"/>
      <c r="R680" s="79"/>
      <c r="S680" s="79"/>
      <c r="T680" s="79"/>
      <c r="U680" s="34"/>
      <c r="V680" s="34"/>
    </row>
    <row r="681" spans="1:22" ht="12.75" customHeight="1" x14ac:dyDescent="0.2">
      <c r="A681" s="38"/>
      <c r="B681" s="38"/>
      <c r="C681" s="8"/>
      <c r="D681" s="8"/>
      <c r="E681" s="8"/>
      <c r="F681" s="8"/>
      <c r="G681" s="8"/>
      <c r="H681" s="8"/>
      <c r="I681" s="8"/>
      <c r="J681" s="8"/>
      <c r="K681" s="8"/>
      <c r="L681" s="8"/>
      <c r="M681" s="8"/>
      <c r="N681" s="8"/>
      <c r="O681" s="8"/>
      <c r="P681" s="8"/>
      <c r="Q681" s="8"/>
      <c r="R681" s="79"/>
      <c r="S681" s="79"/>
      <c r="T681" s="79"/>
      <c r="U681" s="34"/>
      <c r="V681" s="34"/>
    </row>
    <row r="682" spans="1:22" ht="12.75" customHeight="1" x14ac:dyDescent="0.2">
      <c r="A682" s="38"/>
      <c r="B682" s="38"/>
      <c r="C682" s="8"/>
      <c r="D682" s="8"/>
      <c r="E682" s="8"/>
      <c r="F682" s="8"/>
      <c r="G682" s="8"/>
      <c r="H682" s="8"/>
      <c r="I682" s="8"/>
      <c r="J682" s="8"/>
      <c r="K682" s="8"/>
      <c r="L682" s="8"/>
      <c r="M682" s="8"/>
      <c r="N682" s="8"/>
      <c r="O682" s="8"/>
      <c r="P682" s="8"/>
      <c r="Q682" s="8"/>
      <c r="R682" s="79"/>
      <c r="S682" s="79"/>
      <c r="T682" s="79"/>
      <c r="U682" s="34"/>
      <c r="V682" s="34"/>
    </row>
    <row r="683" spans="1:22" ht="12.75" customHeight="1" x14ac:dyDescent="0.2">
      <c r="A683" s="38"/>
      <c r="B683" s="38"/>
      <c r="C683" s="8"/>
      <c r="D683" s="8"/>
      <c r="E683" s="8"/>
      <c r="F683" s="8"/>
      <c r="G683" s="8"/>
      <c r="H683" s="8"/>
      <c r="I683" s="8"/>
      <c r="J683" s="8"/>
      <c r="K683" s="8"/>
      <c r="L683" s="8"/>
      <c r="M683" s="8"/>
      <c r="N683" s="8"/>
      <c r="O683" s="8"/>
      <c r="P683" s="8"/>
      <c r="Q683" s="8"/>
      <c r="R683" s="79"/>
      <c r="S683" s="79"/>
      <c r="T683" s="79"/>
      <c r="U683" s="34"/>
      <c r="V683" s="34"/>
    </row>
    <row r="684" spans="1:22" ht="12.75" customHeight="1" x14ac:dyDescent="0.2">
      <c r="A684" s="38"/>
      <c r="B684" s="38"/>
      <c r="C684" s="8"/>
      <c r="D684" s="8"/>
      <c r="E684" s="8"/>
      <c r="F684" s="8"/>
      <c r="G684" s="8"/>
      <c r="H684" s="8"/>
      <c r="I684" s="8"/>
      <c r="J684" s="8"/>
      <c r="K684" s="8"/>
      <c r="L684" s="8"/>
      <c r="M684" s="8"/>
      <c r="N684" s="8"/>
      <c r="O684" s="8"/>
      <c r="P684" s="8"/>
      <c r="Q684" s="8"/>
      <c r="R684" s="79"/>
      <c r="S684" s="79"/>
      <c r="T684" s="79"/>
      <c r="U684" s="34"/>
      <c r="V684" s="34"/>
    </row>
    <row r="685" spans="1:22" ht="12.75" customHeight="1" x14ac:dyDescent="0.2">
      <c r="A685" s="38"/>
      <c r="B685" s="38"/>
      <c r="C685" s="8"/>
      <c r="D685" s="8"/>
      <c r="E685" s="8"/>
      <c r="F685" s="8"/>
      <c r="G685" s="8"/>
      <c r="H685" s="8"/>
      <c r="I685" s="8"/>
      <c r="J685" s="8"/>
      <c r="K685" s="8"/>
      <c r="L685" s="8"/>
      <c r="M685" s="8"/>
      <c r="N685" s="8"/>
      <c r="O685" s="8"/>
      <c r="P685" s="8"/>
      <c r="Q685" s="8"/>
      <c r="R685" s="79"/>
      <c r="S685" s="79"/>
      <c r="T685" s="79"/>
      <c r="U685" s="34"/>
      <c r="V685" s="34"/>
    </row>
    <row r="686" spans="1:22" ht="12.75" customHeight="1" x14ac:dyDescent="0.2">
      <c r="A686" s="38"/>
      <c r="B686" s="38"/>
      <c r="C686" s="8"/>
      <c r="D686" s="8"/>
      <c r="E686" s="8"/>
      <c r="F686" s="8"/>
      <c r="G686" s="8"/>
      <c r="H686" s="8"/>
      <c r="I686" s="8"/>
      <c r="J686" s="8"/>
      <c r="K686" s="8"/>
      <c r="L686" s="8"/>
      <c r="M686" s="8"/>
      <c r="N686" s="8"/>
      <c r="O686" s="8"/>
      <c r="P686" s="8"/>
      <c r="Q686" s="8"/>
      <c r="R686" s="79"/>
      <c r="S686" s="79"/>
      <c r="T686" s="79"/>
      <c r="U686" s="34"/>
      <c r="V686" s="34"/>
    </row>
    <row r="687" spans="1:22" ht="12.75" customHeight="1" x14ac:dyDescent="0.2">
      <c r="A687" s="38"/>
      <c r="B687" s="38"/>
      <c r="C687" s="8"/>
      <c r="D687" s="8"/>
      <c r="E687" s="8"/>
      <c r="F687" s="8"/>
      <c r="G687" s="8"/>
      <c r="H687" s="8"/>
      <c r="I687" s="8"/>
      <c r="J687" s="8"/>
      <c r="K687" s="8"/>
      <c r="L687" s="8"/>
      <c r="M687" s="8"/>
      <c r="N687" s="8"/>
      <c r="O687" s="8"/>
      <c r="P687" s="8"/>
      <c r="Q687" s="8"/>
      <c r="R687" s="79"/>
      <c r="S687" s="79"/>
      <c r="T687" s="79"/>
      <c r="U687" s="34"/>
      <c r="V687" s="34"/>
    </row>
    <row r="688" spans="1:22" ht="12.75" customHeight="1" x14ac:dyDescent="0.2">
      <c r="A688" s="38"/>
      <c r="B688" s="38"/>
      <c r="C688" s="8"/>
      <c r="D688" s="8"/>
      <c r="E688" s="8"/>
      <c r="F688" s="8"/>
      <c r="G688" s="8"/>
      <c r="H688" s="8"/>
      <c r="I688" s="8"/>
      <c r="J688" s="8"/>
      <c r="K688" s="8"/>
      <c r="L688" s="8"/>
      <c r="M688" s="8"/>
      <c r="N688" s="8"/>
      <c r="O688" s="8"/>
      <c r="P688" s="8"/>
      <c r="Q688" s="8"/>
      <c r="R688" s="79"/>
      <c r="S688" s="79"/>
      <c r="T688" s="79"/>
      <c r="U688" s="34"/>
      <c r="V688" s="34"/>
    </row>
    <row r="689" spans="1:22" ht="12.75" customHeight="1" x14ac:dyDescent="0.2">
      <c r="A689" s="38"/>
      <c r="B689" s="38"/>
      <c r="C689" s="8"/>
      <c r="D689" s="8"/>
      <c r="E689" s="8"/>
      <c r="F689" s="8"/>
      <c r="G689" s="8"/>
      <c r="H689" s="8"/>
      <c r="I689" s="8"/>
      <c r="J689" s="8"/>
      <c r="K689" s="8"/>
      <c r="L689" s="8"/>
      <c r="M689" s="8"/>
      <c r="N689" s="8"/>
      <c r="O689" s="8"/>
      <c r="P689" s="8"/>
      <c r="Q689" s="8"/>
      <c r="R689" s="79"/>
      <c r="S689" s="79"/>
      <c r="T689" s="79"/>
      <c r="U689" s="34"/>
      <c r="V689" s="34"/>
    </row>
    <row r="690" spans="1:22" ht="12.75" customHeight="1" x14ac:dyDescent="0.2">
      <c r="A690" s="38"/>
      <c r="B690" s="38"/>
      <c r="C690" s="8"/>
      <c r="D690" s="8"/>
      <c r="E690" s="8"/>
      <c r="F690" s="8"/>
      <c r="G690" s="8"/>
      <c r="H690" s="8"/>
      <c r="I690" s="8"/>
      <c r="J690" s="8"/>
      <c r="K690" s="8"/>
      <c r="L690" s="8"/>
      <c r="M690" s="8"/>
      <c r="N690" s="8"/>
      <c r="O690" s="8"/>
      <c r="P690" s="8"/>
      <c r="Q690" s="8"/>
      <c r="R690" s="79"/>
      <c r="S690" s="79"/>
      <c r="T690" s="79"/>
      <c r="U690" s="34"/>
      <c r="V690" s="34"/>
    </row>
    <row r="691" spans="1:22" ht="12.75" customHeight="1" x14ac:dyDescent="0.2">
      <c r="A691" s="38"/>
      <c r="B691" s="38"/>
      <c r="C691" s="8"/>
      <c r="D691" s="8"/>
      <c r="E691" s="8"/>
      <c r="F691" s="8"/>
      <c r="G691" s="8"/>
      <c r="H691" s="8"/>
      <c r="I691" s="8"/>
      <c r="J691" s="8"/>
      <c r="K691" s="8"/>
      <c r="L691" s="8"/>
      <c r="M691" s="8"/>
      <c r="N691" s="8"/>
      <c r="O691" s="8"/>
      <c r="P691" s="8"/>
      <c r="Q691" s="8"/>
      <c r="R691" s="79"/>
      <c r="S691" s="79"/>
      <c r="T691" s="79"/>
      <c r="U691" s="34"/>
      <c r="V691" s="34"/>
    </row>
    <row r="692" spans="1:22" ht="12.75" customHeight="1" x14ac:dyDescent="0.2">
      <c r="A692" s="38"/>
      <c r="B692" s="38"/>
      <c r="C692" s="8"/>
      <c r="D692" s="8"/>
      <c r="E692" s="8"/>
      <c r="F692" s="8"/>
      <c r="G692" s="8"/>
      <c r="H692" s="8"/>
      <c r="I692" s="8"/>
      <c r="J692" s="8"/>
      <c r="K692" s="8"/>
      <c r="L692" s="8"/>
      <c r="M692" s="8"/>
      <c r="N692" s="8"/>
      <c r="O692" s="8"/>
      <c r="P692" s="8"/>
      <c r="Q692" s="8"/>
      <c r="R692" s="79"/>
      <c r="S692" s="79"/>
      <c r="T692" s="79"/>
      <c r="U692" s="34"/>
      <c r="V692" s="34"/>
    </row>
    <row r="693" spans="1:22" ht="12.75" customHeight="1" x14ac:dyDescent="0.2">
      <c r="A693" s="38"/>
      <c r="B693" s="38"/>
      <c r="C693" s="8"/>
      <c r="D693" s="8"/>
      <c r="E693" s="8"/>
      <c r="F693" s="8"/>
      <c r="G693" s="8"/>
      <c r="H693" s="8"/>
      <c r="I693" s="8"/>
      <c r="J693" s="8"/>
      <c r="K693" s="8"/>
      <c r="L693" s="8"/>
      <c r="M693" s="8"/>
      <c r="N693" s="8"/>
      <c r="O693" s="8"/>
      <c r="P693" s="8"/>
      <c r="Q693" s="8"/>
      <c r="R693" s="79"/>
      <c r="S693" s="79"/>
      <c r="T693" s="79"/>
      <c r="U693" s="34"/>
      <c r="V693" s="34"/>
    </row>
    <row r="694" spans="1:22" ht="12.75" customHeight="1" x14ac:dyDescent="0.2">
      <c r="A694" s="38"/>
      <c r="B694" s="38"/>
      <c r="C694" s="8"/>
      <c r="D694" s="8"/>
      <c r="E694" s="8"/>
      <c r="F694" s="8"/>
      <c r="G694" s="8"/>
      <c r="H694" s="8"/>
      <c r="I694" s="8"/>
      <c r="J694" s="8"/>
      <c r="K694" s="8"/>
      <c r="L694" s="8"/>
      <c r="M694" s="8"/>
      <c r="N694" s="8"/>
      <c r="O694" s="8"/>
      <c r="P694" s="8"/>
      <c r="Q694" s="8"/>
      <c r="R694" s="79"/>
      <c r="S694" s="79"/>
      <c r="T694" s="79"/>
      <c r="U694" s="34"/>
      <c r="V694" s="34"/>
    </row>
    <row r="695" spans="1:22" ht="12.75" customHeight="1" x14ac:dyDescent="0.2">
      <c r="A695" s="38"/>
      <c r="B695" s="38"/>
      <c r="C695" s="8"/>
      <c r="D695" s="8"/>
      <c r="E695" s="8"/>
      <c r="F695" s="8"/>
      <c r="G695" s="8"/>
      <c r="H695" s="8"/>
      <c r="I695" s="8"/>
      <c r="J695" s="8"/>
      <c r="K695" s="8"/>
      <c r="L695" s="8"/>
      <c r="M695" s="8"/>
      <c r="N695" s="8"/>
      <c r="O695" s="8"/>
      <c r="P695" s="8"/>
      <c r="Q695" s="8"/>
      <c r="R695" s="79"/>
      <c r="S695" s="79"/>
      <c r="T695" s="79"/>
      <c r="U695" s="34"/>
      <c r="V695" s="34"/>
    </row>
    <row r="696" spans="1:22" ht="12.75" customHeight="1" x14ac:dyDescent="0.2">
      <c r="A696" s="38"/>
      <c r="B696" s="38"/>
      <c r="C696" s="8"/>
      <c r="D696" s="8"/>
      <c r="E696" s="8"/>
      <c r="F696" s="8"/>
      <c r="G696" s="8"/>
      <c r="H696" s="8"/>
      <c r="I696" s="8"/>
      <c r="J696" s="8"/>
      <c r="K696" s="8"/>
      <c r="L696" s="8"/>
      <c r="M696" s="8"/>
      <c r="N696" s="8"/>
      <c r="O696" s="8"/>
      <c r="P696" s="8"/>
      <c r="Q696" s="8"/>
      <c r="R696" s="79"/>
      <c r="S696" s="79"/>
      <c r="T696" s="79"/>
      <c r="U696" s="34"/>
      <c r="V696" s="34"/>
    </row>
    <row r="697" spans="1:22" ht="12.75" customHeight="1" x14ac:dyDescent="0.2">
      <c r="A697" s="38"/>
      <c r="B697" s="38"/>
      <c r="C697" s="8"/>
      <c r="D697" s="8"/>
      <c r="E697" s="8"/>
      <c r="F697" s="8"/>
      <c r="G697" s="8"/>
      <c r="H697" s="8"/>
      <c r="I697" s="8"/>
      <c r="J697" s="8"/>
      <c r="K697" s="8"/>
      <c r="L697" s="8"/>
      <c r="M697" s="8"/>
      <c r="N697" s="8"/>
      <c r="O697" s="8"/>
      <c r="P697" s="8"/>
      <c r="Q697" s="8"/>
      <c r="R697" s="79"/>
      <c r="S697" s="79"/>
      <c r="T697" s="79"/>
      <c r="U697" s="34"/>
      <c r="V697" s="34"/>
    </row>
    <row r="698" spans="1:22" ht="12.75" customHeight="1" x14ac:dyDescent="0.2">
      <c r="A698" s="38"/>
      <c r="B698" s="38"/>
      <c r="C698" s="8"/>
      <c r="D698" s="8"/>
      <c r="E698" s="8"/>
      <c r="F698" s="8"/>
      <c r="G698" s="8"/>
      <c r="H698" s="8"/>
      <c r="I698" s="8"/>
      <c r="J698" s="8"/>
      <c r="K698" s="8"/>
      <c r="L698" s="8"/>
      <c r="M698" s="8"/>
      <c r="N698" s="8"/>
      <c r="O698" s="8"/>
      <c r="P698" s="8"/>
      <c r="Q698" s="8"/>
      <c r="R698" s="79"/>
      <c r="S698" s="79"/>
      <c r="T698" s="79"/>
      <c r="U698" s="34"/>
      <c r="V698" s="34"/>
    </row>
    <row r="699" spans="1:22" ht="12.75" customHeight="1" x14ac:dyDescent="0.2">
      <c r="A699" s="38"/>
      <c r="B699" s="38"/>
      <c r="C699" s="8"/>
      <c r="D699" s="8"/>
      <c r="E699" s="8"/>
      <c r="F699" s="8"/>
      <c r="G699" s="8"/>
      <c r="H699" s="8"/>
      <c r="I699" s="8"/>
      <c r="J699" s="8"/>
      <c r="K699" s="8"/>
      <c r="L699" s="8"/>
      <c r="M699" s="8"/>
      <c r="N699" s="8"/>
      <c r="O699" s="8"/>
      <c r="P699" s="8"/>
      <c r="Q699" s="8"/>
      <c r="R699" s="79"/>
      <c r="S699" s="79"/>
      <c r="T699" s="79"/>
      <c r="U699" s="34"/>
      <c r="V699" s="34"/>
    </row>
    <row r="700" spans="1:22" ht="12.75" customHeight="1" x14ac:dyDescent="0.2">
      <c r="A700" s="38"/>
      <c r="B700" s="38"/>
      <c r="C700" s="8"/>
      <c r="D700" s="8"/>
      <c r="E700" s="8"/>
      <c r="F700" s="8"/>
      <c r="G700" s="8"/>
      <c r="H700" s="8"/>
      <c r="I700" s="8"/>
      <c r="J700" s="8"/>
      <c r="K700" s="8"/>
      <c r="L700" s="8"/>
      <c r="M700" s="8"/>
      <c r="N700" s="8"/>
      <c r="O700" s="8"/>
      <c r="P700" s="8"/>
      <c r="Q700" s="8"/>
      <c r="R700" s="79"/>
      <c r="S700" s="79"/>
      <c r="T700" s="79"/>
      <c r="U700" s="34"/>
      <c r="V700" s="34"/>
    </row>
    <row r="701" spans="1:22" ht="12.75" customHeight="1" x14ac:dyDescent="0.2">
      <c r="A701" s="38"/>
      <c r="B701" s="38"/>
      <c r="C701" s="8"/>
      <c r="D701" s="8"/>
      <c r="E701" s="8"/>
      <c r="F701" s="8"/>
      <c r="G701" s="8"/>
      <c r="H701" s="8"/>
      <c r="I701" s="8"/>
      <c r="J701" s="8"/>
      <c r="K701" s="8"/>
      <c r="L701" s="8"/>
      <c r="M701" s="8"/>
      <c r="N701" s="8"/>
      <c r="O701" s="8"/>
      <c r="P701" s="8"/>
      <c r="Q701" s="8"/>
      <c r="R701" s="79"/>
      <c r="S701" s="79"/>
      <c r="T701" s="79"/>
      <c r="U701" s="34"/>
      <c r="V701" s="34"/>
    </row>
    <row r="702" spans="1:22" ht="12.75" customHeight="1" x14ac:dyDescent="0.2">
      <c r="A702" s="38"/>
      <c r="B702" s="38"/>
      <c r="C702" s="8"/>
      <c r="D702" s="8"/>
      <c r="E702" s="8"/>
      <c r="F702" s="8"/>
      <c r="G702" s="8"/>
      <c r="H702" s="8"/>
      <c r="I702" s="8"/>
      <c r="J702" s="8"/>
      <c r="K702" s="8"/>
      <c r="L702" s="8"/>
      <c r="M702" s="8"/>
      <c r="N702" s="8"/>
      <c r="O702" s="8"/>
      <c r="P702" s="8"/>
      <c r="Q702" s="8"/>
      <c r="R702" s="79"/>
      <c r="S702" s="79"/>
      <c r="T702" s="79"/>
      <c r="U702" s="34"/>
      <c r="V702" s="34"/>
    </row>
    <row r="703" spans="1:22" ht="12.75" customHeight="1" x14ac:dyDescent="0.2">
      <c r="A703" s="38"/>
      <c r="B703" s="38"/>
      <c r="C703" s="8"/>
      <c r="D703" s="8"/>
      <c r="E703" s="8"/>
      <c r="F703" s="8"/>
      <c r="G703" s="8"/>
      <c r="H703" s="8"/>
      <c r="I703" s="8"/>
      <c r="J703" s="8"/>
      <c r="K703" s="8"/>
      <c r="L703" s="8"/>
      <c r="M703" s="8"/>
      <c r="N703" s="8"/>
      <c r="O703" s="8"/>
      <c r="P703" s="8"/>
      <c r="Q703" s="8"/>
      <c r="R703" s="79"/>
      <c r="S703" s="79"/>
      <c r="T703" s="79"/>
      <c r="U703" s="34"/>
      <c r="V703" s="34"/>
    </row>
    <row r="704" spans="1:22" ht="12.75" customHeight="1" x14ac:dyDescent="0.2">
      <c r="A704" s="38"/>
      <c r="B704" s="38"/>
      <c r="C704" s="8"/>
      <c r="D704" s="8"/>
      <c r="E704" s="8"/>
      <c r="F704" s="8"/>
      <c r="G704" s="8"/>
      <c r="H704" s="8"/>
      <c r="I704" s="8"/>
      <c r="J704" s="8"/>
      <c r="K704" s="8"/>
      <c r="L704" s="8"/>
      <c r="M704" s="8"/>
      <c r="N704" s="8"/>
      <c r="O704" s="8"/>
      <c r="P704" s="8"/>
      <c r="Q704" s="8"/>
      <c r="R704" s="79"/>
      <c r="S704" s="79"/>
      <c r="T704" s="79"/>
      <c r="U704" s="34"/>
      <c r="V704" s="34"/>
    </row>
    <row r="705" spans="1:22" ht="12.75" customHeight="1" x14ac:dyDescent="0.2">
      <c r="A705" s="38"/>
      <c r="B705" s="38"/>
      <c r="C705" s="8"/>
      <c r="D705" s="8"/>
      <c r="E705" s="8"/>
      <c r="F705" s="8"/>
      <c r="G705" s="8"/>
      <c r="H705" s="8"/>
      <c r="I705" s="8"/>
      <c r="J705" s="8"/>
      <c r="K705" s="8"/>
      <c r="L705" s="8"/>
      <c r="M705" s="8"/>
      <c r="N705" s="8"/>
      <c r="O705" s="8"/>
      <c r="P705" s="8"/>
      <c r="Q705" s="8"/>
      <c r="R705" s="79"/>
      <c r="S705" s="79"/>
      <c r="T705" s="79"/>
      <c r="U705" s="34"/>
      <c r="V705" s="34"/>
    </row>
    <row r="706" spans="1:22" ht="12.75" customHeight="1" x14ac:dyDescent="0.2">
      <c r="A706" s="38"/>
      <c r="B706" s="38"/>
      <c r="C706" s="8"/>
      <c r="D706" s="8"/>
      <c r="E706" s="8"/>
      <c r="F706" s="8"/>
      <c r="G706" s="8"/>
      <c r="H706" s="8"/>
      <c r="I706" s="8"/>
      <c r="J706" s="8"/>
      <c r="K706" s="8"/>
      <c r="L706" s="8"/>
      <c r="M706" s="8"/>
      <c r="N706" s="8"/>
      <c r="O706" s="8"/>
      <c r="P706" s="8"/>
      <c r="Q706" s="8"/>
      <c r="R706" s="79"/>
      <c r="S706" s="79"/>
      <c r="T706" s="79"/>
      <c r="U706" s="34"/>
      <c r="V706" s="34"/>
    </row>
    <row r="707" spans="1:22" ht="12.75" customHeight="1" x14ac:dyDescent="0.2">
      <c r="A707" s="38"/>
      <c r="B707" s="38"/>
      <c r="C707" s="8"/>
      <c r="D707" s="8"/>
      <c r="E707" s="8"/>
      <c r="F707" s="8"/>
      <c r="G707" s="8"/>
      <c r="H707" s="8"/>
      <c r="I707" s="8"/>
      <c r="J707" s="8"/>
      <c r="K707" s="8"/>
      <c r="L707" s="8"/>
      <c r="M707" s="8"/>
      <c r="N707" s="8"/>
      <c r="O707" s="8"/>
      <c r="P707" s="8"/>
      <c r="Q707" s="8"/>
      <c r="R707" s="79"/>
      <c r="S707" s="79"/>
      <c r="T707" s="79"/>
      <c r="U707" s="34"/>
      <c r="V707" s="34"/>
    </row>
    <row r="708" spans="1:22" ht="12.75" customHeight="1" x14ac:dyDescent="0.2">
      <c r="A708" s="38"/>
      <c r="B708" s="38"/>
      <c r="C708" s="8"/>
      <c r="D708" s="8"/>
      <c r="E708" s="8"/>
      <c r="F708" s="8"/>
      <c r="G708" s="8"/>
      <c r="H708" s="8"/>
      <c r="I708" s="8"/>
      <c r="J708" s="8"/>
      <c r="K708" s="8"/>
      <c r="L708" s="8"/>
      <c r="M708" s="8"/>
      <c r="N708" s="8"/>
      <c r="O708" s="8"/>
      <c r="P708" s="8"/>
      <c r="Q708" s="8"/>
      <c r="R708" s="79"/>
      <c r="S708" s="79"/>
      <c r="T708" s="79"/>
      <c r="U708" s="34"/>
      <c r="V708" s="34"/>
    </row>
    <row r="709" spans="1:22" ht="12.75" customHeight="1" x14ac:dyDescent="0.2">
      <c r="A709" s="38"/>
      <c r="B709" s="38"/>
      <c r="C709" s="8"/>
      <c r="D709" s="8"/>
      <c r="E709" s="8"/>
      <c r="F709" s="8"/>
      <c r="G709" s="8"/>
      <c r="H709" s="8"/>
      <c r="I709" s="8"/>
      <c r="J709" s="8"/>
      <c r="K709" s="8"/>
      <c r="L709" s="8"/>
      <c r="M709" s="8"/>
      <c r="N709" s="8"/>
      <c r="O709" s="8"/>
      <c r="P709" s="8"/>
      <c r="Q709" s="8"/>
      <c r="R709" s="79"/>
      <c r="S709" s="79"/>
      <c r="T709" s="79"/>
      <c r="U709" s="34"/>
      <c r="V709" s="34"/>
    </row>
    <row r="710" spans="1:22" ht="12.75" customHeight="1" x14ac:dyDescent="0.2">
      <c r="A710" s="38"/>
      <c r="B710" s="38"/>
      <c r="C710" s="8"/>
      <c r="D710" s="8"/>
      <c r="E710" s="8"/>
      <c r="F710" s="8"/>
      <c r="G710" s="8"/>
      <c r="H710" s="8"/>
      <c r="I710" s="8"/>
      <c r="J710" s="8"/>
      <c r="K710" s="8"/>
      <c r="L710" s="8"/>
      <c r="M710" s="8"/>
      <c r="N710" s="8"/>
      <c r="O710" s="8"/>
      <c r="P710" s="8"/>
      <c r="Q710" s="8"/>
      <c r="R710" s="79"/>
      <c r="S710" s="79"/>
      <c r="T710" s="79"/>
      <c r="U710" s="34"/>
      <c r="V710" s="34"/>
    </row>
    <row r="711" spans="1:22" ht="12.75" customHeight="1" x14ac:dyDescent="0.2">
      <c r="A711" s="38"/>
      <c r="B711" s="38"/>
      <c r="C711" s="8"/>
      <c r="D711" s="8"/>
      <c r="E711" s="8"/>
      <c r="F711" s="8"/>
      <c r="G711" s="8"/>
      <c r="H711" s="8"/>
      <c r="I711" s="8"/>
      <c r="J711" s="8"/>
      <c r="K711" s="8"/>
      <c r="L711" s="8"/>
      <c r="M711" s="8"/>
      <c r="N711" s="8"/>
      <c r="O711" s="8"/>
      <c r="P711" s="8"/>
      <c r="Q711" s="8"/>
      <c r="R711" s="79"/>
      <c r="S711" s="79"/>
      <c r="T711" s="79"/>
      <c r="U711" s="34"/>
      <c r="V711" s="34"/>
    </row>
    <row r="712" spans="1:22" ht="12.75" customHeight="1" x14ac:dyDescent="0.2">
      <c r="A712" s="38"/>
      <c r="B712" s="38"/>
      <c r="C712" s="8"/>
      <c r="D712" s="8"/>
      <c r="E712" s="8"/>
      <c r="F712" s="8"/>
      <c r="G712" s="8"/>
      <c r="H712" s="8"/>
      <c r="I712" s="8"/>
      <c r="J712" s="8"/>
      <c r="K712" s="8"/>
      <c r="L712" s="8"/>
      <c r="M712" s="8"/>
      <c r="N712" s="8"/>
      <c r="O712" s="8"/>
      <c r="P712" s="8"/>
      <c r="Q712" s="8"/>
      <c r="R712" s="79"/>
      <c r="S712" s="79"/>
      <c r="T712" s="79"/>
      <c r="U712" s="34"/>
      <c r="V712" s="34"/>
    </row>
    <row r="713" spans="1:22" ht="12.75" customHeight="1" x14ac:dyDescent="0.2">
      <c r="A713" s="38"/>
      <c r="B713" s="38"/>
      <c r="C713" s="8"/>
      <c r="D713" s="8"/>
      <c r="E713" s="8"/>
      <c r="F713" s="8"/>
      <c r="G713" s="8"/>
      <c r="H713" s="8"/>
      <c r="I713" s="8"/>
      <c r="J713" s="8"/>
      <c r="K713" s="8"/>
      <c r="L713" s="8"/>
      <c r="M713" s="8"/>
      <c r="N713" s="8"/>
      <c r="O713" s="8"/>
      <c r="P713" s="8"/>
      <c r="Q713" s="8"/>
      <c r="R713" s="79"/>
      <c r="S713" s="79"/>
      <c r="T713" s="79"/>
      <c r="U713" s="34"/>
      <c r="V713" s="34"/>
    </row>
    <row r="714" spans="1:22" ht="12.75" customHeight="1" x14ac:dyDescent="0.2">
      <c r="A714" s="38"/>
      <c r="B714" s="38"/>
      <c r="C714" s="8"/>
      <c r="D714" s="8"/>
      <c r="E714" s="8"/>
      <c r="F714" s="8"/>
      <c r="G714" s="8"/>
      <c r="H714" s="8"/>
      <c r="I714" s="8"/>
      <c r="J714" s="8"/>
      <c r="K714" s="8"/>
      <c r="L714" s="8"/>
      <c r="M714" s="8"/>
      <c r="N714" s="8"/>
      <c r="O714" s="8"/>
      <c r="P714" s="8"/>
      <c r="Q714" s="8"/>
      <c r="R714" s="79"/>
      <c r="S714" s="79"/>
      <c r="T714" s="79"/>
      <c r="U714" s="34"/>
      <c r="V714" s="34"/>
    </row>
    <row r="715" spans="1:22" ht="12.75" customHeight="1" x14ac:dyDescent="0.2">
      <c r="A715" s="38"/>
      <c r="B715" s="38"/>
      <c r="C715" s="8"/>
      <c r="D715" s="8"/>
      <c r="E715" s="8"/>
      <c r="F715" s="8"/>
      <c r="G715" s="8"/>
      <c r="H715" s="8"/>
      <c r="I715" s="8"/>
      <c r="J715" s="8"/>
      <c r="K715" s="8"/>
      <c r="L715" s="8"/>
      <c r="M715" s="8"/>
      <c r="N715" s="8"/>
      <c r="O715" s="8"/>
      <c r="P715" s="8"/>
      <c r="Q715" s="8"/>
      <c r="R715" s="79"/>
      <c r="S715" s="79"/>
      <c r="T715" s="79"/>
      <c r="U715" s="34"/>
      <c r="V715" s="34"/>
    </row>
    <row r="716" spans="1:22" ht="12.75" customHeight="1" x14ac:dyDescent="0.2">
      <c r="A716" s="38"/>
      <c r="B716" s="38"/>
      <c r="C716" s="8"/>
      <c r="D716" s="8"/>
      <c r="E716" s="8"/>
      <c r="F716" s="8"/>
      <c r="G716" s="8"/>
      <c r="H716" s="8"/>
      <c r="I716" s="8"/>
      <c r="J716" s="8"/>
      <c r="K716" s="8"/>
      <c r="L716" s="8"/>
      <c r="M716" s="8"/>
      <c r="N716" s="8"/>
      <c r="O716" s="8"/>
      <c r="P716" s="8"/>
      <c r="Q716" s="8"/>
      <c r="R716" s="79"/>
      <c r="S716" s="79"/>
      <c r="T716" s="79"/>
      <c r="U716" s="34"/>
      <c r="V716" s="34"/>
    </row>
    <row r="717" spans="1:22" ht="12.75" customHeight="1" x14ac:dyDescent="0.2">
      <c r="A717" s="38"/>
      <c r="B717" s="38"/>
      <c r="C717" s="8"/>
      <c r="D717" s="8"/>
      <c r="E717" s="8"/>
      <c r="F717" s="8"/>
      <c r="G717" s="8"/>
      <c r="H717" s="8"/>
      <c r="I717" s="8"/>
      <c r="J717" s="8"/>
      <c r="K717" s="8"/>
      <c r="L717" s="8"/>
      <c r="M717" s="8"/>
      <c r="N717" s="8"/>
      <c r="O717" s="8"/>
      <c r="P717" s="8"/>
      <c r="Q717" s="8"/>
      <c r="R717" s="79"/>
      <c r="S717" s="79"/>
      <c r="T717" s="79"/>
      <c r="U717" s="34"/>
      <c r="V717" s="34"/>
    </row>
    <row r="718" spans="1:22" ht="12.75" customHeight="1" x14ac:dyDescent="0.2">
      <c r="A718" s="38"/>
      <c r="B718" s="38"/>
      <c r="C718" s="8"/>
      <c r="D718" s="8"/>
      <c r="E718" s="8"/>
      <c r="F718" s="8"/>
      <c r="G718" s="8"/>
      <c r="H718" s="8"/>
      <c r="I718" s="8"/>
      <c r="J718" s="8"/>
      <c r="K718" s="8"/>
      <c r="L718" s="8"/>
      <c r="M718" s="8"/>
      <c r="N718" s="8"/>
      <c r="O718" s="8"/>
      <c r="P718" s="8"/>
      <c r="Q718" s="8"/>
      <c r="R718" s="79"/>
      <c r="S718" s="79"/>
      <c r="T718" s="79"/>
      <c r="U718" s="34"/>
      <c r="V718" s="34"/>
    </row>
    <row r="719" spans="1:22" ht="12.75" customHeight="1" x14ac:dyDescent="0.2">
      <c r="A719" s="38"/>
      <c r="B719" s="38"/>
      <c r="C719" s="8"/>
      <c r="D719" s="8"/>
      <c r="E719" s="8"/>
      <c r="F719" s="8"/>
      <c r="G719" s="8"/>
      <c r="H719" s="8"/>
      <c r="I719" s="8"/>
      <c r="J719" s="8"/>
      <c r="K719" s="8"/>
      <c r="L719" s="8"/>
      <c r="M719" s="8"/>
      <c r="N719" s="8"/>
      <c r="O719" s="8"/>
      <c r="P719" s="8"/>
      <c r="Q719" s="8"/>
      <c r="R719" s="79"/>
      <c r="S719" s="79"/>
      <c r="T719" s="79"/>
      <c r="U719" s="34"/>
      <c r="V719" s="34"/>
    </row>
    <row r="720" spans="1:22" ht="12.75" customHeight="1" x14ac:dyDescent="0.2">
      <c r="A720" s="38"/>
      <c r="B720" s="38"/>
      <c r="C720" s="8"/>
      <c r="D720" s="8"/>
      <c r="E720" s="8"/>
      <c r="F720" s="8"/>
      <c r="G720" s="8"/>
      <c r="H720" s="8"/>
      <c r="I720" s="8"/>
      <c r="J720" s="8"/>
      <c r="K720" s="8"/>
      <c r="L720" s="8"/>
      <c r="M720" s="8"/>
      <c r="N720" s="8"/>
      <c r="O720" s="8"/>
      <c r="P720" s="8"/>
      <c r="Q720" s="8"/>
      <c r="R720" s="79"/>
      <c r="S720" s="79"/>
      <c r="T720" s="79"/>
      <c r="U720" s="34"/>
      <c r="V720" s="34"/>
    </row>
    <row r="721" spans="1:22" ht="12.75" customHeight="1" x14ac:dyDescent="0.2">
      <c r="A721" s="38"/>
      <c r="B721" s="38"/>
      <c r="C721" s="8"/>
      <c r="D721" s="8"/>
      <c r="E721" s="8"/>
      <c r="F721" s="8"/>
      <c r="G721" s="8"/>
      <c r="H721" s="8"/>
      <c r="I721" s="8"/>
      <c r="J721" s="8"/>
      <c r="K721" s="8"/>
      <c r="L721" s="8"/>
      <c r="M721" s="8"/>
      <c r="N721" s="8"/>
      <c r="O721" s="8"/>
      <c r="P721" s="8"/>
      <c r="Q721" s="8"/>
      <c r="R721" s="79"/>
      <c r="S721" s="79"/>
      <c r="T721" s="79"/>
      <c r="U721" s="34"/>
      <c r="V721" s="34"/>
    </row>
    <row r="722" spans="1:22" ht="12.75" customHeight="1" x14ac:dyDescent="0.2">
      <c r="A722" s="38"/>
      <c r="B722" s="38"/>
      <c r="C722" s="8"/>
      <c r="D722" s="8"/>
      <c r="E722" s="8"/>
      <c r="F722" s="8"/>
      <c r="G722" s="8"/>
      <c r="H722" s="8"/>
      <c r="I722" s="8"/>
      <c r="J722" s="8"/>
      <c r="K722" s="8"/>
      <c r="L722" s="8"/>
      <c r="M722" s="8"/>
      <c r="N722" s="8"/>
      <c r="O722" s="8"/>
      <c r="P722" s="8"/>
      <c r="Q722" s="8"/>
      <c r="R722" s="79"/>
      <c r="S722" s="79"/>
      <c r="T722" s="79"/>
      <c r="U722" s="34"/>
      <c r="V722" s="34"/>
    </row>
    <row r="723" spans="1:22" ht="12.75" customHeight="1" x14ac:dyDescent="0.2">
      <c r="A723" s="38"/>
      <c r="B723" s="38"/>
      <c r="C723" s="8"/>
      <c r="D723" s="8"/>
      <c r="E723" s="8"/>
      <c r="F723" s="8"/>
      <c r="G723" s="8"/>
      <c r="H723" s="8"/>
      <c r="I723" s="8"/>
      <c r="J723" s="8"/>
      <c r="K723" s="8"/>
      <c r="L723" s="8"/>
      <c r="M723" s="8"/>
      <c r="N723" s="8"/>
      <c r="O723" s="8"/>
      <c r="P723" s="8"/>
      <c r="Q723" s="8"/>
      <c r="R723" s="79"/>
      <c r="S723" s="79"/>
      <c r="T723" s="79"/>
      <c r="U723" s="34"/>
      <c r="V723" s="34"/>
    </row>
    <row r="724" spans="1:22" ht="12.75" customHeight="1" x14ac:dyDescent="0.2">
      <c r="A724" s="38"/>
      <c r="B724" s="38"/>
      <c r="C724" s="8"/>
      <c r="D724" s="8"/>
      <c r="E724" s="8"/>
      <c r="F724" s="8"/>
      <c r="G724" s="8"/>
      <c r="H724" s="8"/>
      <c r="I724" s="8"/>
      <c r="J724" s="8"/>
      <c r="K724" s="8"/>
      <c r="L724" s="8"/>
      <c r="M724" s="8"/>
      <c r="N724" s="8"/>
      <c r="O724" s="8"/>
      <c r="P724" s="8"/>
      <c r="Q724" s="8"/>
      <c r="R724" s="79"/>
      <c r="S724" s="79"/>
      <c r="T724" s="79"/>
      <c r="U724" s="34"/>
      <c r="V724" s="34"/>
    </row>
    <row r="725" spans="1:22" ht="12.75" customHeight="1" x14ac:dyDescent="0.2">
      <c r="A725" s="38"/>
      <c r="B725" s="38"/>
      <c r="C725" s="8"/>
      <c r="D725" s="8"/>
      <c r="E725" s="8"/>
      <c r="F725" s="8"/>
      <c r="G725" s="8"/>
      <c r="H725" s="8"/>
      <c r="I725" s="8"/>
      <c r="J725" s="8"/>
      <c r="K725" s="8"/>
      <c r="L725" s="8"/>
      <c r="M725" s="8"/>
      <c r="N725" s="8"/>
      <c r="O725" s="8"/>
      <c r="P725" s="8"/>
      <c r="Q725" s="8"/>
      <c r="R725" s="79"/>
      <c r="S725" s="79"/>
      <c r="T725" s="79"/>
      <c r="U725" s="34"/>
      <c r="V725" s="34"/>
    </row>
    <row r="726" spans="1:22" ht="12.75" customHeight="1" x14ac:dyDescent="0.2">
      <c r="A726" s="38"/>
      <c r="B726" s="38"/>
      <c r="C726" s="8"/>
      <c r="D726" s="8"/>
      <c r="E726" s="8"/>
      <c r="F726" s="8"/>
      <c r="G726" s="8"/>
      <c r="H726" s="8"/>
      <c r="I726" s="8"/>
      <c r="J726" s="8"/>
      <c r="K726" s="8"/>
      <c r="L726" s="8"/>
      <c r="M726" s="8"/>
      <c r="N726" s="8"/>
      <c r="O726" s="8"/>
      <c r="P726" s="8"/>
      <c r="Q726" s="8"/>
      <c r="R726" s="79"/>
      <c r="S726" s="79"/>
      <c r="T726" s="79"/>
      <c r="U726" s="34"/>
      <c r="V726" s="34"/>
    </row>
    <row r="727" spans="1:22" ht="12.75" customHeight="1" x14ac:dyDescent="0.2">
      <c r="A727" s="38"/>
      <c r="B727" s="38"/>
      <c r="C727" s="8"/>
      <c r="D727" s="8"/>
      <c r="E727" s="8"/>
      <c r="F727" s="8"/>
      <c r="G727" s="8"/>
      <c r="H727" s="8"/>
      <c r="I727" s="8"/>
      <c r="J727" s="8"/>
      <c r="K727" s="8"/>
      <c r="L727" s="8"/>
      <c r="M727" s="8"/>
      <c r="N727" s="8"/>
      <c r="O727" s="8"/>
      <c r="P727" s="8"/>
      <c r="Q727" s="8"/>
      <c r="R727" s="79"/>
      <c r="S727" s="79"/>
      <c r="T727" s="79"/>
      <c r="U727" s="34"/>
      <c r="V727" s="34"/>
    </row>
    <row r="728" spans="1:22" ht="12.75" customHeight="1" x14ac:dyDescent="0.2">
      <c r="A728" s="38"/>
      <c r="B728" s="38"/>
      <c r="C728" s="8"/>
      <c r="D728" s="8"/>
      <c r="E728" s="8"/>
      <c r="F728" s="8"/>
      <c r="G728" s="8"/>
      <c r="H728" s="8"/>
      <c r="I728" s="8"/>
      <c r="J728" s="8"/>
      <c r="K728" s="8"/>
      <c r="L728" s="8"/>
      <c r="M728" s="8"/>
      <c r="N728" s="8"/>
      <c r="O728" s="8"/>
      <c r="P728" s="8"/>
      <c r="Q728" s="8"/>
      <c r="R728" s="79"/>
      <c r="S728" s="79"/>
      <c r="T728" s="79"/>
      <c r="U728" s="34"/>
      <c r="V728" s="34"/>
    </row>
    <row r="729" spans="1:22" ht="12.75" customHeight="1" x14ac:dyDescent="0.2">
      <c r="A729" s="38"/>
      <c r="B729" s="38"/>
      <c r="C729" s="8"/>
      <c r="D729" s="8"/>
      <c r="E729" s="8"/>
      <c r="F729" s="8"/>
      <c r="G729" s="8"/>
      <c r="H729" s="8"/>
      <c r="I729" s="8"/>
      <c r="J729" s="8"/>
      <c r="K729" s="8"/>
      <c r="L729" s="8"/>
      <c r="M729" s="8"/>
      <c r="N729" s="8"/>
      <c r="O729" s="8"/>
      <c r="P729" s="8"/>
      <c r="Q729" s="8"/>
      <c r="R729" s="79"/>
      <c r="S729" s="79"/>
      <c r="T729" s="79"/>
      <c r="U729" s="34"/>
      <c r="V729" s="34"/>
    </row>
    <row r="730" spans="1:22" ht="12.75" customHeight="1" x14ac:dyDescent="0.2">
      <c r="A730" s="38"/>
      <c r="B730" s="38"/>
      <c r="C730" s="8"/>
      <c r="D730" s="8"/>
      <c r="E730" s="8"/>
      <c r="F730" s="8"/>
      <c r="G730" s="8"/>
      <c r="H730" s="8"/>
      <c r="I730" s="8"/>
      <c r="J730" s="8"/>
      <c r="K730" s="8"/>
      <c r="L730" s="8"/>
      <c r="M730" s="8"/>
      <c r="N730" s="8"/>
      <c r="O730" s="8"/>
      <c r="P730" s="8"/>
      <c r="Q730" s="8"/>
      <c r="R730" s="79"/>
      <c r="S730" s="79"/>
      <c r="T730" s="79"/>
      <c r="U730" s="34"/>
      <c r="V730" s="34"/>
    </row>
    <row r="731" spans="1:22" ht="12.75" customHeight="1" x14ac:dyDescent="0.2">
      <c r="A731" s="38"/>
      <c r="B731" s="38"/>
      <c r="C731" s="8"/>
      <c r="D731" s="8"/>
      <c r="E731" s="8"/>
      <c r="F731" s="8"/>
      <c r="G731" s="8"/>
      <c r="H731" s="8"/>
      <c r="I731" s="8"/>
      <c r="J731" s="8"/>
      <c r="K731" s="8"/>
      <c r="L731" s="8"/>
      <c r="M731" s="8"/>
      <c r="N731" s="8"/>
      <c r="O731" s="8"/>
      <c r="P731" s="8"/>
      <c r="Q731" s="8"/>
      <c r="R731" s="79"/>
      <c r="S731" s="79"/>
      <c r="T731" s="79"/>
      <c r="U731" s="34"/>
      <c r="V731" s="34"/>
    </row>
    <row r="732" spans="1:22" ht="12.75" customHeight="1" x14ac:dyDescent="0.2">
      <c r="A732" s="38"/>
      <c r="B732" s="38"/>
      <c r="C732" s="8"/>
      <c r="D732" s="8"/>
      <c r="E732" s="8"/>
      <c r="F732" s="8"/>
      <c r="G732" s="8"/>
      <c r="H732" s="8"/>
      <c r="I732" s="8"/>
      <c r="J732" s="8"/>
      <c r="K732" s="8"/>
      <c r="L732" s="8"/>
      <c r="M732" s="8"/>
      <c r="N732" s="8"/>
      <c r="O732" s="8"/>
      <c r="P732" s="8"/>
      <c r="Q732" s="8"/>
      <c r="R732" s="79"/>
      <c r="S732" s="79"/>
      <c r="T732" s="79"/>
      <c r="U732" s="34"/>
      <c r="V732" s="34"/>
    </row>
    <row r="733" spans="1:22" ht="12.75" customHeight="1" x14ac:dyDescent="0.2">
      <c r="A733" s="38"/>
      <c r="B733" s="38"/>
      <c r="C733" s="8"/>
      <c r="D733" s="8"/>
      <c r="E733" s="8"/>
      <c r="F733" s="8"/>
      <c r="G733" s="8"/>
      <c r="H733" s="8"/>
      <c r="I733" s="8"/>
      <c r="J733" s="8"/>
      <c r="K733" s="8"/>
      <c r="L733" s="8"/>
      <c r="M733" s="8"/>
      <c r="N733" s="8"/>
      <c r="O733" s="8"/>
      <c r="P733" s="8"/>
      <c r="Q733" s="8"/>
      <c r="R733" s="79"/>
      <c r="S733" s="79"/>
      <c r="T733" s="79"/>
      <c r="U733" s="34"/>
      <c r="V733" s="34"/>
    </row>
    <row r="734" spans="1:22" ht="12.75" customHeight="1" x14ac:dyDescent="0.2">
      <c r="A734" s="38"/>
      <c r="B734" s="38"/>
      <c r="C734" s="8"/>
      <c r="D734" s="8"/>
      <c r="E734" s="8"/>
      <c r="F734" s="8"/>
      <c r="G734" s="8"/>
      <c r="H734" s="8"/>
      <c r="I734" s="8"/>
      <c r="J734" s="8"/>
      <c r="K734" s="8"/>
      <c r="L734" s="8"/>
      <c r="M734" s="8"/>
      <c r="N734" s="8"/>
      <c r="O734" s="8"/>
      <c r="P734" s="8"/>
      <c r="Q734" s="8"/>
      <c r="R734" s="79"/>
      <c r="S734" s="79"/>
      <c r="T734" s="79"/>
      <c r="U734" s="34"/>
      <c r="V734" s="34"/>
    </row>
    <row r="735" spans="1:22" ht="12.75" customHeight="1" x14ac:dyDescent="0.2">
      <c r="A735" s="38"/>
      <c r="B735" s="38"/>
      <c r="C735" s="8"/>
      <c r="D735" s="8"/>
      <c r="E735" s="8"/>
      <c r="F735" s="8"/>
      <c r="G735" s="8"/>
      <c r="H735" s="8"/>
      <c r="I735" s="8"/>
      <c r="J735" s="8"/>
      <c r="K735" s="8"/>
      <c r="L735" s="8"/>
      <c r="M735" s="8"/>
      <c r="N735" s="8"/>
      <c r="O735" s="8"/>
      <c r="P735" s="8"/>
      <c r="Q735" s="8"/>
      <c r="R735" s="79"/>
      <c r="S735" s="79"/>
      <c r="T735" s="79"/>
      <c r="U735" s="34"/>
      <c r="V735" s="34"/>
    </row>
    <row r="736" spans="1:22" ht="12.75" customHeight="1" x14ac:dyDescent="0.2">
      <c r="A736" s="38"/>
      <c r="B736" s="38"/>
      <c r="C736" s="8"/>
      <c r="D736" s="8"/>
      <c r="E736" s="8"/>
      <c r="F736" s="8"/>
      <c r="G736" s="8"/>
      <c r="H736" s="8"/>
      <c r="I736" s="8"/>
      <c r="J736" s="8"/>
      <c r="K736" s="8"/>
      <c r="L736" s="8"/>
      <c r="M736" s="8"/>
      <c r="N736" s="8"/>
      <c r="O736" s="8"/>
      <c r="P736" s="8"/>
      <c r="Q736" s="8"/>
      <c r="R736" s="79"/>
      <c r="S736" s="79"/>
      <c r="T736" s="79"/>
      <c r="U736" s="34"/>
      <c r="V736" s="34"/>
    </row>
    <row r="737" spans="1:22" ht="12.75" customHeight="1" x14ac:dyDescent="0.2">
      <c r="A737" s="38"/>
      <c r="B737" s="38"/>
      <c r="C737" s="8"/>
      <c r="D737" s="8"/>
      <c r="E737" s="8"/>
      <c r="F737" s="8"/>
      <c r="G737" s="8"/>
      <c r="H737" s="8"/>
      <c r="I737" s="8"/>
      <c r="J737" s="8"/>
      <c r="K737" s="8"/>
      <c r="L737" s="8"/>
      <c r="M737" s="8"/>
      <c r="N737" s="8"/>
      <c r="O737" s="8"/>
      <c r="P737" s="8"/>
      <c r="Q737" s="8"/>
      <c r="R737" s="79"/>
      <c r="S737" s="79"/>
      <c r="T737" s="79"/>
      <c r="U737" s="34"/>
      <c r="V737" s="34"/>
    </row>
    <row r="738" spans="1:22" ht="12.75" customHeight="1" x14ac:dyDescent="0.2">
      <c r="A738" s="38"/>
      <c r="B738" s="38"/>
      <c r="C738" s="8"/>
      <c r="D738" s="8"/>
      <c r="E738" s="8"/>
      <c r="F738" s="8"/>
      <c r="G738" s="8"/>
      <c r="H738" s="8"/>
      <c r="I738" s="8"/>
      <c r="J738" s="8"/>
      <c r="K738" s="8"/>
      <c r="L738" s="8"/>
      <c r="M738" s="8"/>
      <c r="N738" s="8"/>
      <c r="O738" s="8"/>
      <c r="P738" s="8"/>
      <c r="Q738" s="8"/>
      <c r="R738" s="79"/>
      <c r="S738" s="79"/>
      <c r="T738" s="79"/>
      <c r="U738" s="34"/>
      <c r="V738" s="34"/>
    </row>
    <row r="739" spans="1:22" ht="12.75" customHeight="1" x14ac:dyDescent="0.2">
      <c r="A739" s="38"/>
      <c r="B739" s="38"/>
      <c r="C739" s="8"/>
      <c r="D739" s="8"/>
      <c r="E739" s="8"/>
      <c r="F739" s="8"/>
      <c r="G739" s="8"/>
      <c r="H739" s="8"/>
      <c r="I739" s="8"/>
      <c r="J739" s="8"/>
      <c r="K739" s="8"/>
      <c r="L739" s="8"/>
      <c r="M739" s="8"/>
      <c r="N739" s="8"/>
      <c r="O739" s="8"/>
      <c r="P739" s="8"/>
      <c r="Q739" s="8"/>
      <c r="R739" s="79"/>
      <c r="S739" s="79"/>
      <c r="T739" s="79"/>
      <c r="U739" s="34"/>
      <c r="V739" s="34"/>
    </row>
    <row r="740" spans="1:22" ht="12.75" customHeight="1" x14ac:dyDescent="0.2">
      <c r="A740" s="38"/>
      <c r="B740" s="38"/>
      <c r="C740" s="8"/>
      <c r="D740" s="8"/>
      <c r="E740" s="8"/>
      <c r="F740" s="8"/>
      <c r="G740" s="8"/>
      <c r="H740" s="8"/>
      <c r="I740" s="8"/>
      <c r="J740" s="8"/>
      <c r="K740" s="8"/>
      <c r="L740" s="8"/>
      <c r="M740" s="8"/>
      <c r="N740" s="8"/>
      <c r="O740" s="8"/>
      <c r="P740" s="8"/>
      <c r="Q740" s="8"/>
      <c r="R740" s="79"/>
      <c r="S740" s="79"/>
      <c r="T740" s="79"/>
      <c r="U740" s="34"/>
      <c r="V740" s="34"/>
    </row>
    <row r="741" spans="1:22" ht="12.75" customHeight="1" x14ac:dyDescent="0.2">
      <c r="A741" s="38"/>
      <c r="B741" s="38"/>
      <c r="C741" s="8"/>
      <c r="D741" s="8"/>
      <c r="E741" s="8"/>
      <c r="F741" s="8"/>
      <c r="G741" s="8"/>
      <c r="H741" s="8"/>
      <c r="I741" s="8"/>
      <c r="J741" s="8"/>
      <c r="K741" s="8"/>
      <c r="L741" s="8"/>
      <c r="M741" s="8"/>
      <c r="N741" s="8"/>
      <c r="O741" s="8"/>
      <c r="P741" s="8"/>
      <c r="Q741" s="8"/>
      <c r="R741" s="79"/>
      <c r="S741" s="79"/>
      <c r="T741" s="79"/>
      <c r="U741" s="34"/>
      <c r="V741" s="34"/>
    </row>
    <row r="742" spans="1:22" ht="12.75" customHeight="1" x14ac:dyDescent="0.2">
      <c r="A742" s="38"/>
      <c r="B742" s="38"/>
      <c r="C742" s="8"/>
      <c r="D742" s="8"/>
      <c r="E742" s="8"/>
      <c r="F742" s="8"/>
      <c r="G742" s="8"/>
      <c r="H742" s="8"/>
      <c r="I742" s="8"/>
      <c r="J742" s="8"/>
      <c r="K742" s="8"/>
      <c r="L742" s="8"/>
      <c r="M742" s="8"/>
      <c r="N742" s="8"/>
      <c r="O742" s="8"/>
      <c r="P742" s="8"/>
      <c r="Q742" s="8"/>
      <c r="R742" s="79"/>
      <c r="S742" s="79"/>
      <c r="T742" s="79"/>
      <c r="U742" s="34"/>
      <c r="V742" s="34"/>
    </row>
    <row r="743" spans="1:22" ht="12.75" customHeight="1" x14ac:dyDescent="0.2">
      <c r="A743" s="38"/>
      <c r="B743" s="38"/>
      <c r="C743" s="8"/>
      <c r="D743" s="8"/>
      <c r="E743" s="8"/>
      <c r="F743" s="8"/>
      <c r="G743" s="8"/>
      <c r="H743" s="8"/>
      <c r="I743" s="8"/>
      <c r="J743" s="8"/>
      <c r="K743" s="8"/>
      <c r="L743" s="8"/>
      <c r="M743" s="8"/>
      <c r="N743" s="8"/>
      <c r="O743" s="8"/>
      <c r="P743" s="8"/>
      <c r="Q743" s="8"/>
      <c r="R743" s="79"/>
      <c r="S743" s="79"/>
      <c r="T743" s="79"/>
      <c r="U743" s="34"/>
      <c r="V743" s="34"/>
    </row>
    <row r="744" spans="1:22" ht="12.75" customHeight="1" x14ac:dyDescent="0.2">
      <c r="A744" s="38"/>
      <c r="B744" s="38"/>
      <c r="C744" s="8"/>
      <c r="D744" s="8"/>
      <c r="E744" s="8"/>
      <c r="F744" s="8"/>
      <c r="G744" s="8"/>
      <c r="H744" s="8"/>
      <c r="I744" s="8"/>
      <c r="J744" s="8"/>
      <c r="K744" s="8"/>
      <c r="L744" s="8"/>
      <c r="M744" s="8"/>
      <c r="N744" s="8"/>
      <c r="O744" s="8"/>
      <c r="P744" s="8"/>
      <c r="Q744" s="8"/>
      <c r="R744" s="79"/>
      <c r="S744" s="79"/>
      <c r="T744" s="79"/>
      <c r="U744" s="34"/>
      <c r="V744" s="34"/>
    </row>
    <row r="745" spans="1:22" ht="12.75" customHeight="1" x14ac:dyDescent="0.2">
      <c r="A745" s="38"/>
      <c r="B745" s="38"/>
      <c r="C745" s="8"/>
      <c r="D745" s="8"/>
      <c r="E745" s="8"/>
      <c r="F745" s="8"/>
      <c r="G745" s="8"/>
      <c r="H745" s="8"/>
      <c r="I745" s="8"/>
      <c r="J745" s="8"/>
      <c r="K745" s="8"/>
      <c r="L745" s="8"/>
      <c r="M745" s="8"/>
      <c r="N745" s="8"/>
      <c r="O745" s="8"/>
      <c r="P745" s="8"/>
      <c r="Q745" s="8"/>
      <c r="R745" s="79"/>
      <c r="S745" s="79"/>
      <c r="T745" s="79"/>
      <c r="U745" s="34"/>
      <c r="V745" s="34"/>
    </row>
    <row r="746" spans="1:22" ht="12.75" customHeight="1" x14ac:dyDescent="0.2">
      <c r="A746" s="38"/>
      <c r="B746" s="38"/>
      <c r="C746" s="8"/>
      <c r="D746" s="8"/>
      <c r="E746" s="8"/>
      <c r="F746" s="8"/>
      <c r="G746" s="8"/>
      <c r="H746" s="8"/>
      <c r="I746" s="8"/>
      <c r="J746" s="8"/>
      <c r="K746" s="8"/>
      <c r="L746" s="8"/>
      <c r="M746" s="8"/>
      <c r="N746" s="8"/>
      <c r="O746" s="8"/>
      <c r="P746" s="8"/>
      <c r="Q746" s="8"/>
      <c r="R746" s="79"/>
      <c r="S746" s="79"/>
      <c r="T746" s="79"/>
      <c r="U746" s="34"/>
      <c r="V746" s="34"/>
    </row>
    <row r="747" spans="1:22" ht="12.75" customHeight="1" x14ac:dyDescent="0.2">
      <c r="A747" s="38"/>
      <c r="B747" s="38"/>
      <c r="C747" s="8"/>
      <c r="D747" s="8"/>
      <c r="E747" s="8"/>
      <c r="F747" s="8"/>
      <c r="G747" s="8"/>
      <c r="H747" s="8"/>
      <c r="I747" s="8"/>
      <c r="J747" s="8"/>
      <c r="K747" s="8"/>
      <c r="L747" s="8"/>
      <c r="M747" s="8"/>
      <c r="N747" s="8"/>
      <c r="O747" s="8"/>
      <c r="P747" s="8"/>
      <c r="Q747" s="8"/>
      <c r="R747" s="79"/>
      <c r="S747" s="79"/>
      <c r="T747" s="79"/>
      <c r="U747" s="34"/>
      <c r="V747" s="34"/>
    </row>
    <row r="748" spans="1:22" ht="12.75" customHeight="1" x14ac:dyDescent="0.2">
      <c r="A748" s="38"/>
      <c r="B748" s="38"/>
      <c r="C748" s="8"/>
      <c r="D748" s="8"/>
      <c r="E748" s="8"/>
      <c r="F748" s="8"/>
      <c r="G748" s="8"/>
      <c r="H748" s="8"/>
      <c r="I748" s="8"/>
      <c r="J748" s="8"/>
      <c r="K748" s="8"/>
      <c r="L748" s="8"/>
      <c r="M748" s="8"/>
      <c r="N748" s="8"/>
      <c r="O748" s="8"/>
      <c r="P748" s="8"/>
      <c r="Q748" s="8"/>
      <c r="R748" s="79"/>
      <c r="S748" s="79"/>
      <c r="T748" s="79"/>
      <c r="U748" s="34"/>
      <c r="V748" s="34"/>
    </row>
    <row r="749" spans="1:22" ht="12.75" customHeight="1" x14ac:dyDescent="0.2">
      <c r="A749" s="38"/>
      <c r="B749" s="38"/>
      <c r="C749" s="8"/>
      <c r="D749" s="8"/>
      <c r="E749" s="8"/>
      <c r="F749" s="8"/>
      <c r="G749" s="8"/>
      <c r="H749" s="8"/>
      <c r="I749" s="8"/>
      <c r="J749" s="8"/>
      <c r="K749" s="8"/>
      <c r="L749" s="8"/>
      <c r="M749" s="8"/>
      <c r="N749" s="8"/>
      <c r="O749" s="8"/>
      <c r="P749" s="8"/>
      <c r="Q749" s="8"/>
      <c r="R749" s="79"/>
      <c r="S749" s="79"/>
      <c r="T749" s="79"/>
      <c r="U749" s="34"/>
      <c r="V749" s="34"/>
    </row>
    <row r="750" spans="1:22" ht="12.75" customHeight="1" x14ac:dyDescent="0.2">
      <c r="A750" s="38"/>
      <c r="B750" s="38"/>
      <c r="C750" s="8"/>
      <c r="D750" s="8"/>
      <c r="E750" s="8"/>
      <c r="F750" s="8"/>
      <c r="G750" s="8"/>
      <c r="H750" s="8"/>
      <c r="I750" s="8"/>
      <c r="J750" s="8"/>
      <c r="K750" s="8"/>
      <c r="L750" s="8"/>
      <c r="M750" s="8"/>
      <c r="N750" s="8"/>
      <c r="O750" s="8"/>
      <c r="P750" s="8"/>
      <c r="Q750" s="8"/>
      <c r="R750" s="79"/>
      <c r="S750" s="79"/>
      <c r="T750" s="79"/>
      <c r="U750" s="34"/>
      <c r="V750" s="34"/>
    </row>
    <row r="751" spans="1:22" ht="12.75" customHeight="1" x14ac:dyDescent="0.2">
      <c r="A751" s="38"/>
      <c r="B751" s="38"/>
      <c r="C751" s="8"/>
      <c r="D751" s="8"/>
      <c r="E751" s="8"/>
      <c r="F751" s="8"/>
      <c r="G751" s="8"/>
      <c r="H751" s="8"/>
      <c r="I751" s="8"/>
      <c r="J751" s="8"/>
      <c r="K751" s="8"/>
      <c r="L751" s="8"/>
      <c r="M751" s="8"/>
      <c r="N751" s="8"/>
      <c r="O751" s="8"/>
      <c r="P751" s="8"/>
      <c r="Q751" s="8"/>
      <c r="R751" s="79"/>
      <c r="S751" s="79"/>
      <c r="T751" s="79"/>
      <c r="U751" s="34"/>
      <c r="V751" s="34"/>
    </row>
    <row r="752" spans="1:22" ht="12.75" customHeight="1" x14ac:dyDescent="0.2">
      <c r="A752" s="38"/>
      <c r="B752" s="38"/>
      <c r="C752" s="8"/>
      <c r="D752" s="8"/>
      <c r="E752" s="8"/>
      <c r="F752" s="8"/>
      <c r="G752" s="8"/>
      <c r="H752" s="8"/>
      <c r="I752" s="8"/>
      <c r="J752" s="8"/>
      <c r="K752" s="8"/>
      <c r="L752" s="8"/>
      <c r="M752" s="8"/>
      <c r="N752" s="8"/>
      <c r="O752" s="8"/>
      <c r="P752" s="8"/>
      <c r="Q752" s="8"/>
      <c r="R752" s="79"/>
      <c r="S752" s="79"/>
      <c r="T752" s="79"/>
      <c r="U752" s="34"/>
      <c r="V752" s="34"/>
    </row>
    <row r="753" spans="1:22" ht="12.75" customHeight="1" x14ac:dyDescent="0.2">
      <c r="A753" s="38"/>
      <c r="B753" s="38"/>
      <c r="C753" s="8"/>
      <c r="D753" s="8"/>
      <c r="E753" s="8"/>
      <c r="F753" s="8"/>
      <c r="G753" s="8"/>
      <c r="H753" s="8"/>
      <c r="I753" s="8"/>
      <c r="J753" s="8"/>
      <c r="K753" s="8"/>
      <c r="L753" s="8"/>
      <c r="M753" s="8"/>
      <c r="N753" s="8"/>
      <c r="O753" s="8"/>
      <c r="P753" s="8"/>
      <c r="Q753" s="8"/>
      <c r="R753" s="79"/>
      <c r="S753" s="79"/>
      <c r="T753" s="79"/>
      <c r="U753" s="34"/>
      <c r="V753" s="34"/>
    </row>
    <row r="754" spans="1:22" ht="12.75" customHeight="1" x14ac:dyDescent="0.2">
      <c r="A754" s="38"/>
      <c r="B754" s="38"/>
      <c r="C754" s="8"/>
      <c r="D754" s="8"/>
      <c r="E754" s="8"/>
      <c r="F754" s="8"/>
      <c r="G754" s="8"/>
      <c r="H754" s="8"/>
      <c r="I754" s="8"/>
      <c r="J754" s="8"/>
      <c r="K754" s="8"/>
      <c r="L754" s="8"/>
      <c r="M754" s="8"/>
      <c r="N754" s="8"/>
      <c r="O754" s="8"/>
      <c r="P754" s="8"/>
      <c r="Q754" s="8"/>
      <c r="R754" s="79"/>
      <c r="S754" s="79"/>
      <c r="T754" s="79"/>
      <c r="U754" s="34"/>
      <c r="V754" s="34"/>
    </row>
    <row r="755" spans="1:22" ht="12.75" customHeight="1" x14ac:dyDescent="0.2">
      <c r="A755" s="38"/>
      <c r="B755" s="38"/>
      <c r="C755" s="8"/>
      <c r="D755" s="8"/>
      <c r="E755" s="8"/>
      <c r="F755" s="8"/>
      <c r="G755" s="8"/>
      <c r="H755" s="8"/>
      <c r="I755" s="8"/>
      <c r="J755" s="8"/>
      <c r="K755" s="8"/>
      <c r="L755" s="8"/>
      <c r="M755" s="8"/>
      <c r="N755" s="8"/>
      <c r="O755" s="8"/>
      <c r="P755" s="8"/>
      <c r="Q755" s="8"/>
      <c r="R755" s="79"/>
      <c r="S755" s="79"/>
      <c r="T755" s="79"/>
      <c r="U755" s="34"/>
      <c r="V755" s="34"/>
    </row>
    <row r="756" spans="1:22" ht="12.75" customHeight="1" x14ac:dyDescent="0.2">
      <c r="A756" s="38"/>
      <c r="B756" s="38"/>
      <c r="C756" s="8"/>
      <c r="D756" s="8"/>
      <c r="E756" s="8"/>
      <c r="F756" s="8"/>
      <c r="G756" s="8"/>
      <c r="H756" s="8"/>
      <c r="I756" s="8"/>
      <c r="J756" s="8"/>
      <c r="K756" s="8"/>
      <c r="L756" s="8"/>
      <c r="M756" s="8"/>
      <c r="N756" s="8"/>
      <c r="O756" s="8"/>
      <c r="P756" s="8"/>
      <c r="Q756" s="8"/>
      <c r="R756" s="79"/>
      <c r="S756" s="79"/>
      <c r="T756" s="79"/>
      <c r="U756" s="34"/>
      <c r="V756" s="34"/>
    </row>
    <row r="757" spans="1:22" ht="12.75" customHeight="1" x14ac:dyDescent="0.2">
      <c r="A757" s="38"/>
      <c r="B757" s="38"/>
      <c r="C757" s="8"/>
      <c r="D757" s="8"/>
      <c r="E757" s="8"/>
      <c r="F757" s="8"/>
      <c r="G757" s="8"/>
      <c r="H757" s="8"/>
      <c r="I757" s="8"/>
      <c r="J757" s="8"/>
      <c r="K757" s="8"/>
      <c r="L757" s="8"/>
      <c r="M757" s="8"/>
      <c r="N757" s="8"/>
      <c r="O757" s="8"/>
      <c r="P757" s="8"/>
      <c r="Q757" s="8"/>
      <c r="R757" s="79"/>
      <c r="S757" s="79"/>
      <c r="T757" s="79"/>
      <c r="U757" s="34"/>
      <c r="V757" s="34"/>
    </row>
    <row r="758" spans="1:22" ht="12.75" customHeight="1" x14ac:dyDescent="0.2">
      <c r="A758" s="38"/>
      <c r="B758" s="38"/>
      <c r="C758" s="8"/>
      <c r="D758" s="8"/>
      <c r="E758" s="8"/>
      <c r="F758" s="8"/>
      <c r="G758" s="8"/>
      <c r="H758" s="8"/>
      <c r="I758" s="8"/>
      <c r="J758" s="8"/>
      <c r="K758" s="8"/>
      <c r="L758" s="8"/>
      <c r="M758" s="8"/>
      <c r="N758" s="8"/>
      <c r="O758" s="8"/>
      <c r="P758" s="8"/>
      <c r="Q758" s="8"/>
      <c r="R758" s="79"/>
      <c r="S758" s="79"/>
      <c r="T758" s="79"/>
      <c r="U758" s="34"/>
      <c r="V758" s="34"/>
    </row>
    <row r="759" spans="1:22" ht="12.75" customHeight="1" x14ac:dyDescent="0.2">
      <c r="A759" s="38"/>
      <c r="B759" s="38"/>
      <c r="C759" s="8"/>
      <c r="D759" s="8"/>
      <c r="E759" s="8"/>
      <c r="F759" s="8"/>
      <c r="G759" s="8"/>
      <c r="H759" s="8"/>
      <c r="I759" s="8"/>
      <c r="J759" s="8"/>
      <c r="K759" s="8"/>
      <c r="L759" s="8"/>
      <c r="M759" s="8"/>
      <c r="N759" s="8"/>
      <c r="O759" s="8"/>
      <c r="P759" s="8"/>
      <c r="Q759" s="8"/>
      <c r="R759" s="79"/>
      <c r="S759" s="79"/>
      <c r="T759" s="79"/>
      <c r="U759" s="34"/>
      <c r="V759" s="34"/>
    </row>
    <row r="760" spans="1:22" ht="12.75" customHeight="1" x14ac:dyDescent="0.2">
      <c r="A760" s="38"/>
      <c r="B760" s="38"/>
      <c r="C760" s="8"/>
      <c r="D760" s="8"/>
      <c r="E760" s="8"/>
      <c r="F760" s="8"/>
      <c r="G760" s="8"/>
      <c r="H760" s="8"/>
      <c r="I760" s="8"/>
      <c r="J760" s="8"/>
      <c r="K760" s="8"/>
      <c r="L760" s="8"/>
      <c r="M760" s="8"/>
      <c r="N760" s="8"/>
      <c r="O760" s="8"/>
      <c r="P760" s="8"/>
      <c r="Q760" s="8"/>
      <c r="R760" s="79"/>
      <c r="S760" s="79"/>
      <c r="T760" s="79"/>
      <c r="U760" s="34"/>
      <c r="V760" s="34"/>
    </row>
    <row r="761" spans="1:22" ht="12.75" customHeight="1" x14ac:dyDescent="0.2">
      <c r="A761" s="38"/>
      <c r="B761" s="38"/>
      <c r="C761" s="8"/>
      <c r="D761" s="8"/>
      <c r="E761" s="8"/>
      <c r="F761" s="8"/>
      <c r="G761" s="8"/>
      <c r="H761" s="8"/>
      <c r="I761" s="8"/>
      <c r="J761" s="8"/>
      <c r="K761" s="8"/>
      <c r="L761" s="8"/>
      <c r="M761" s="8"/>
      <c r="N761" s="8"/>
      <c r="O761" s="8"/>
      <c r="P761" s="8"/>
      <c r="Q761" s="8"/>
      <c r="R761" s="79"/>
      <c r="S761" s="79"/>
      <c r="T761" s="79"/>
      <c r="U761" s="34"/>
      <c r="V761" s="34"/>
    </row>
    <row r="762" spans="1:22" ht="12.75" customHeight="1" x14ac:dyDescent="0.2">
      <c r="A762" s="38"/>
      <c r="B762" s="38"/>
      <c r="C762" s="8"/>
      <c r="D762" s="8"/>
      <c r="E762" s="8"/>
      <c r="F762" s="8"/>
      <c r="G762" s="8"/>
      <c r="H762" s="8"/>
      <c r="I762" s="8"/>
      <c r="J762" s="8"/>
      <c r="K762" s="8"/>
      <c r="L762" s="8"/>
      <c r="M762" s="8"/>
      <c r="N762" s="8"/>
      <c r="O762" s="8"/>
      <c r="P762" s="8"/>
      <c r="Q762" s="8"/>
      <c r="R762" s="79"/>
      <c r="S762" s="79"/>
      <c r="T762" s="79"/>
      <c r="U762" s="34"/>
      <c r="V762" s="34"/>
    </row>
    <row r="763" spans="1:22" ht="12.75" customHeight="1" x14ac:dyDescent="0.2">
      <c r="A763" s="38"/>
      <c r="B763" s="38"/>
      <c r="C763" s="8"/>
      <c r="D763" s="8"/>
      <c r="E763" s="8"/>
      <c r="F763" s="8"/>
      <c r="G763" s="8"/>
      <c r="H763" s="8"/>
      <c r="I763" s="8"/>
      <c r="J763" s="8"/>
      <c r="K763" s="8"/>
      <c r="L763" s="8"/>
      <c r="M763" s="8"/>
      <c r="N763" s="8"/>
      <c r="O763" s="8"/>
      <c r="P763" s="8"/>
      <c r="Q763" s="8"/>
      <c r="R763" s="79"/>
      <c r="S763" s="79"/>
      <c r="T763" s="79"/>
      <c r="U763" s="34"/>
      <c r="V763" s="34"/>
    </row>
    <row r="764" spans="1:22" ht="12.75" customHeight="1" x14ac:dyDescent="0.2">
      <c r="A764" s="38"/>
      <c r="B764" s="38"/>
      <c r="C764" s="8"/>
      <c r="D764" s="8"/>
      <c r="E764" s="8"/>
      <c r="F764" s="8"/>
      <c r="G764" s="8"/>
      <c r="H764" s="8"/>
      <c r="I764" s="8"/>
      <c r="J764" s="8"/>
      <c r="K764" s="8"/>
      <c r="L764" s="8"/>
      <c r="M764" s="8"/>
      <c r="N764" s="8"/>
      <c r="O764" s="8"/>
      <c r="P764" s="8"/>
      <c r="Q764" s="8"/>
      <c r="R764" s="79"/>
      <c r="S764" s="79"/>
      <c r="T764" s="79"/>
      <c r="U764" s="34"/>
      <c r="V764" s="34"/>
    </row>
    <row r="765" spans="1:22" ht="12.75" customHeight="1" x14ac:dyDescent="0.2">
      <c r="A765" s="38"/>
      <c r="B765" s="38"/>
      <c r="C765" s="8"/>
      <c r="D765" s="8"/>
      <c r="E765" s="8"/>
      <c r="F765" s="8"/>
      <c r="G765" s="8"/>
      <c r="H765" s="8"/>
      <c r="I765" s="8"/>
      <c r="J765" s="8"/>
      <c r="K765" s="8"/>
      <c r="L765" s="8"/>
      <c r="M765" s="8"/>
      <c r="N765" s="8"/>
      <c r="O765" s="8"/>
      <c r="P765" s="8"/>
      <c r="Q765" s="8"/>
      <c r="R765" s="79"/>
      <c r="S765" s="79"/>
      <c r="T765" s="79"/>
      <c r="U765" s="34"/>
      <c r="V765" s="34"/>
    </row>
    <row r="766" spans="1:22" ht="12.75" customHeight="1" x14ac:dyDescent="0.2">
      <c r="A766" s="38"/>
      <c r="B766" s="38"/>
      <c r="C766" s="8"/>
      <c r="D766" s="8"/>
      <c r="E766" s="8"/>
      <c r="F766" s="8"/>
      <c r="G766" s="8"/>
      <c r="H766" s="8"/>
      <c r="I766" s="8"/>
      <c r="J766" s="8"/>
      <c r="K766" s="8"/>
      <c r="L766" s="8"/>
      <c r="M766" s="8"/>
      <c r="N766" s="8"/>
      <c r="O766" s="8"/>
      <c r="P766" s="8"/>
      <c r="Q766" s="8"/>
      <c r="R766" s="79"/>
      <c r="S766" s="79"/>
      <c r="T766" s="79"/>
      <c r="U766" s="34"/>
      <c r="V766" s="34"/>
    </row>
    <row r="767" spans="1:22" ht="12.75" customHeight="1" x14ac:dyDescent="0.2">
      <c r="A767" s="38"/>
      <c r="B767" s="38"/>
      <c r="C767" s="8"/>
      <c r="D767" s="8"/>
      <c r="E767" s="8"/>
      <c r="F767" s="8"/>
      <c r="G767" s="8"/>
      <c r="H767" s="8"/>
      <c r="I767" s="8"/>
      <c r="J767" s="8"/>
      <c r="K767" s="8"/>
      <c r="L767" s="8"/>
      <c r="M767" s="8"/>
      <c r="N767" s="8"/>
      <c r="O767" s="8"/>
      <c r="P767" s="8"/>
      <c r="Q767" s="8"/>
      <c r="R767" s="79"/>
      <c r="S767" s="79"/>
      <c r="T767" s="79"/>
      <c r="U767" s="34"/>
      <c r="V767" s="34"/>
    </row>
    <row r="768" spans="1:22" ht="12.75" customHeight="1" x14ac:dyDescent="0.2">
      <c r="A768" s="38"/>
      <c r="B768" s="38"/>
      <c r="C768" s="8"/>
      <c r="D768" s="8"/>
      <c r="E768" s="8"/>
      <c r="F768" s="8"/>
      <c r="G768" s="8"/>
      <c r="H768" s="8"/>
      <c r="I768" s="8"/>
      <c r="J768" s="8"/>
      <c r="K768" s="8"/>
      <c r="L768" s="8"/>
      <c r="M768" s="8"/>
      <c r="N768" s="8"/>
      <c r="O768" s="8"/>
      <c r="P768" s="8"/>
      <c r="Q768" s="8"/>
      <c r="R768" s="79"/>
      <c r="S768" s="79"/>
      <c r="T768" s="79"/>
      <c r="U768" s="34"/>
      <c r="V768" s="34"/>
    </row>
    <row r="769" spans="1:22" ht="12.75" customHeight="1" x14ac:dyDescent="0.2">
      <c r="A769" s="38"/>
      <c r="B769" s="38"/>
      <c r="C769" s="8"/>
      <c r="D769" s="8"/>
      <c r="E769" s="8"/>
      <c r="F769" s="8"/>
      <c r="G769" s="8"/>
      <c r="H769" s="8"/>
      <c r="I769" s="8"/>
      <c r="J769" s="8"/>
      <c r="K769" s="8"/>
      <c r="L769" s="8"/>
      <c r="M769" s="8"/>
      <c r="N769" s="8"/>
      <c r="O769" s="8"/>
      <c r="P769" s="8"/>
      <c r="Q769" s="8"/>
      <c r="R769" s="79"/>
      <c r="S769" s="79"/>
      <c r="T769" s="79"/>
      <c r="U769" s="34"/>
      <c r="V769" s="34"/>
    </row>
    <row r="770" spans="1:22" ht="12.75" customHeight="1" x14ac:dyDescent="0.2">
      <c r="A770" s="38"/>
      <c r="B770" s="38"/>
      <c r="C770" s="8"/>
      <c r="D770" s="8"/>
      <c r="E770" s="8"/>
      <c r="F770" s="8"/>
      <c r="G770" s="8"/>
      <c r="H770" s="8"/>
      <c r="I770" s="8"/>
      <c r="J770" s="8"/>
      <c r="K770" s="8"/>
      <c r="L770" s="8"/>
      <c r="M770" s="8"/>
      <c r="N770" s="8"/>
      <c r="O770" s="8"/>
      <c r="P770" s="8"/>
      <c r="Q770" s="8"/>
      <c r="R770" s="79"/>
      <c r="S770" s="79"/>
      <c r="T770" s="79"/>
      <c r="U770" s="34"/>
      <c r="V770" s="34"/>
    </row>
    <row r="771" spans="1:22" ht="12.75" customHeight="1" x14ac:dyDescent="0.2">
      <c r="A771" s="38"/>
      <c r="B771" s="38"/>
      <c r="C771" s="8"/>
      <c r="D771" s="8"/>
      <c r="E771" s="8"/>
      <c r="F771" s="8"/>
      <c r="G771" s="8"/>
      <c r="H771" s="8"/>
      <c r="I771" s="8"/>
      <c r="J771" s="8"/>
      <c r="K771" s="8"/>
      <c r="L771" s="8"/>
      <c r="M771" s="8"/>
      <c r="N771" s="8"/>
      <c r="O771" s="8"/>
      <c r="P771" s="8"/>
      <c r="Q771" s="8"/>
      <c r="R771" s="79"/>
      <c r="S771" s="79"/>
      <c r="T771" s="79"/>
      <c r="U771" s="34"/>
      <c r="V771" s="34"/>
    </row>
    <row r="772" spans="1:22" ht="12.75" customHeight="1" x14ac:dyDescent="0.2">
      <c r="A772" s="38"/>
      <c r="B772" s="38"/>
      <c r="C772" s="8"/>
      <c r="D772" s="8"/>
      <c r="E772" s="8"/>
      <c r="F772" s="8"/>
      <c r="G772" s="8"/>
      <c r="H772" s="8"/>
      <c r="I772" s="8"/>
      <c r="J772" s="8"/>
      <c r="K772" s="8"/>
      <c r="L772" s="8"/>
      <c r="M772" s="8"/>
      <c r="N772" s="8"/>
      <c r="O772" s="8"/>
      <c r="P772" s="8"/>
      <c r="Q772" s="8"/>
      <c r="R772" s="79"/>
      <c r="S772" s="79"/>
      <c r="T772" s="79"/>
      <c r="U772" s="34"/>
      <c r="V772" s="34"/>
    </row>
    <row r="773" spans="1:22" ht="12.75" customHeight="1" x14ac:dyDescent="0.2">
      <c r="A773" s="38"/>
      <c r="B773" s="38"/>
      <c r="C773" s="8"/>
      <c r="D773" s="8"/>
      <c r="E773" s="8"/>
      <c r="F773" s="8"/>
      <c r="G773" s="8"/>
      <c r="H773" s="8"/>
      <c r="I773" s="8"/>
      <c r="J773" s="8"/>
      <c r="K773" s="8"/>
      <c r="L773" s="8"/>
      <c r="M773" s="8"/>
      <c r="N773" s="8"/>
      <c r="O773" s="8"/>
      <c r="P773" s="8"/>
      <c r="Q773" s="8"/>
      <c r="R773" s="79"/>
      <c r="S773" s="79"/>
      <c r="T773" s="79"/>
      <c r="U773" s="34"/>
      <c r="V773" s="34"/>
    </row>
    <row r="774" spans="1:22" ht="12.75" customHeight="1" x14ac:dyDescent="0.2">
      <c r="A774" s="38"/>
      <c r="B774" s="38"/>
      <c r="C774" s="8"/>
      <c r="D774" s="8"/>
      <c r="E774" s="8"/>
      <c r="F774" s="8"/>
      <c r="G774" s="8"/>
      <c r="H774" s="8"/>
      <c r="I774" s="8"/>
      <c r="J774" s="8"/>
      <c r="K774" s="8"/>
      <c r="L774" s="8"/>
      <c r="M774" s="8"/>
      <c r="N774" s="8"/>
      <c r="O774" s="8"/>
      <c r="P774" s="8"/>
      <c r="Q774" s="8"/>
      <c r="R774" s="79"/>
      <c r="S774" s="79"/>
      <c r="T774" s="79"/>
      <c r="U774" s="34"/>
      <c r="V774" s="34"/>
    </row>
    <row r="775" spans="1:22" ht="12.75" customHeight="1" x14ac:dyDescent="0.2">
      <c r="A775" s="38"/>
      <c r="B775" s="38"/>
      <c r="C775" s="8"/>
      <c r="D775" s="8"/>
      <c r="E775" s="8"/>
      <c r="F775" s="8"/>
      <c r="G775" s="8"/>
      <c r="H775" s="8"/>
      <c r="I775" s="8"/>
      <c r="J775" s="8"/>
      <c r="K775" s="8"/>
      <c r="L775" s="8"/>
      <c r="M775" s="8"/>
      <c r="N775" s="8"/>
      <c r="O775" s="8"/>
      <c r="P775" s="8"/>
      <c r="Q775" s="8"/>
      <c r="R775" s="79"/>
      <c r="S775" s="79"/>
      <c r="T775" s="79"/>
      <c r="U775" s="34"/>
      <c r="V775" s="34"/>
    </row>
    <row r="776" spans="1:22" ht="12.75" customHeight="1" x14ac:dyDescent="0.2">
      <c r="A776" s="38"/>
      <c r="B776" s="38"/>
      <c r="C776" s="8"/>
      <c r="D776" s="8"/>
      <c r="E776" s="8"/>
      <c r="F776" s="8"/>
      <c r="G776" s="8"/>
      <c r="H776" s="8"/>
      <c r="I776" s="8"/>
      <c r="J776" s="8"/>
      <c r="K776" s="8"/>
      <c r="L776" s="8"/>
      <c r="M776" s="8"/>
      <c r="N776" s="8"/>
      <c r="O776" s="8"/>
      <c r="P776" s="8"/>
      <c r="Q776" s="8"/>
      <c r="R776" s="79"/>
      <c r="S776" s="79"/>
      <c r="T776" s="79"/>
      <c r="U776" s="34"/>
      <c r="V776" s="34"/>
    </row>
    <row r="777" spans="1:22" ht="12.75" customHeight="1" x14ac:dyDescent="0.2">
      <c r="A777" s="38"/>
      <c r="B777" s="38"/>
      <c r="C777" s="8"/>
      <c r="D777" s="8"/>
      <c r="E777" s="8"/>
      <c r="F777" s="8"/>
      <c r="G777" s="8"/>
      <c r="H777" s="8"/>
      <c r="I777" s="8"/>
      <c r="J777" s="8"/>
      <c r="K777" s="8"/>
      <c r="L777" s="8"/>
      <c r="M777" s="8"/>
      <c r="N777" s="8"/>
      <c r="O777" s="8"/>
      <c r="P777" s="8"/>
      <c r="Q777" s="8"/>
      <c r="R777" s="79"/>
      <c r="S777" s="79"/>
      <c r="T777" s="79"/>
      <c r="U777" s="34"/>
      <c r="V777" s="34"/>
    </row>
    <row r="778" spans="1:22" ht="12.75" customHeight="1" x14ac:dyDescent="0.2">
      <c r="A778" s="38"/>
      <c r="B778" s="38"/>
      <c r="C778" s="8"/>
      <c r="D778" s="8"/>
      <c r="E778" s="8"/>
      <c r="F778" s="8"/>
      <c r="G778" s="8"/>
      <c r="H778" s="8"/>
      <c r="I778" s="8"/>
      <c r="J778" s="8"/>
      <c r="K778" s="8"/>
      <c r="L778" s="8"/>
      <c r="M778" s="8"/>
      <c r="N778" s="8"/>
      <c r="O778" s="8"/>
      <c r="P778" s="8"/>
      <c r="Q778" s="8"/>
      <c r="R778" s="79"/>
      <c r="S778" s="79"/>
      <c r="T778" s="79"/>
      <c r="U778" s="34"/>
      <c r="V778" s="34"/>
    </row>
    <row r="779" spans="1:22" ht="12.75" customHeight="1" x14ac:dyDescent="0.2">
      <c r="A779" s="38"/>
      <c r="B779" s="38"/>
      <c r="C779" s="8"/>
      <c r="D779" s="8"/>
      <c r="E779" s="8"/>
      <c r="F779" s="8"/>
      <c r="G779" s="8"/>
      <c r="H779" s="8"/>
      <c r="I779" s="8"/>
      <c r="J779" s="8"/>
      <c r="K779" s="8"/>
      <c r="L779" s="8"/>
      <c r="M779" s="8"/>
      <c r="N779" s="8"/>
      <c r="O779" s="8"/>
      <c r="P779" s="8"/>
      <c r="Q779" s="8"/>
      <c r="R779" s="79"/>
      <c r="S779" s="79"/>
      <c r="T779" s="79"/>
      <c r="U779" s="34"/>
      <c r="V779" s="34"/>
    </row>
    <row r="780" spans="1:22" ht="12.75" customHeight="1" x14ac:dyDescent="0.2">
      <c r="A780" s="38"/>
      <c r="B780" s="38"/>
      <c r="C780" s="8"/>
      <c r="D780" s="8"/>
      <c r="E780" s="8"/>
      <c r="F780" s="8"/>
      <c r="G780" s="8"/>
      <c r="H780" s="8"/>
      <c r="I780" s="8"/>
      <c r="J780" s="8"/>
      <c r="K780" s="8"/>
      <c r="L780" s="8"/>
      <c r="M780" s="8"/>
      <c r="N780" s="8"/>
      <c r="O780" s="8"/>
      <c r="P780" s="8"/>
      <c r="Q780" s="8"/>
      <c r="R780" s="79"/>
      <c r="S780" s="79"/>
      <c r="T780" s="79"/>
      <c r="U780" s="34"/>
      <c r="V780" s="34"/>
    </row>
    <row r="781" spans="1:22" ht="12.75" customHeight="1" x14ac:dyDescent="0.2">
      <c r="A781" s="38"/>
      <c r="B781" s="38"/>
      <c r="C781" s="8"/>
      <c r="D781" s="8"/>
      <c r="E781" s="8"/>
      <c r="F781" s="8"/>
      <c r="G781" s="8"/>
      <c r="H781" s="8"/>
      <c r="I781" s="8"/>
      <c r="J781" s="8"/>
      <c r="K781" s="8"/>
      <c r="L781" s="8"/>
      <c r="M781" s="8"/>
      <c r="N781" s="8"/>
      <c r="O781" s="8"/>
      <c r="P781" s="8"/>
      <c r="Q781" s="8"/>
      <c r="R781" s="79"/>
      <c r="S781" s="79"/>
      <c r="T781" s="79"/>
      <c r="U781" s="34"/>
      <c r="V781" s="34"/>
    </row>
    <row r="782" spans="1:22" ht="12.75" customHeight="1" x14ac:dyDescent="0.2">
      <c r="A782" s="38"/>
      <c r="B782" s="38"/>
      <c r="C782" s="8"/>
      <c r="D782" s="8"/>
      <c r="E782" s="8"/>
      <c r="F782" s="8"/>
      <c r="G782" s="8"/>
      <c r="H782" s="8"/>
      <c r="I782" s="8"/>
      <c r="J782" s="8"/>
      <c r="K782" s="8"/>
      <c r="L782" s="8"/>
      <c r="M782" s="8"/>
      <c r="N782" s="8"/>
      <c r="O782" s="8"/>
      <c r="P782" s="8"/>
      <c r="Q782" s="8"/>
      <c r="R782" s="79"/>
      <c r="S782" s="79"/>
      <c r="T782" s="79"/>
      <c r="U782" s="34"/>
      <c r="V782" s="34"/>
    </row>
    <row r="783" spans="1:22" ht="12.75" customHeight="1" x14ac:dyDescent="0.2">
      <c r="A783" s="38"/>
      <c r="B783" s="38"/>
      <c r="C783" s="8"/>
      <c r="D783" s="8"/>
      <c r="E783" s="8"/>
      <c r="F783" s="8"/>
      <c r="G783" s="8"/>
      <c r="H783" s="8"/>
      <c r="I783" s="8"/>
      <c r="J783" s="8"/>
      <c r="K783" s="8"/>
      <c r="L783" s="8"/>
      <c r="M783" s="8"/>
      <c r="N783" s="8"/>
      <c r="O783" s="8"/>
      <c r="P783" s="8"/>
      <c r="Q783" s="8"/>
      <c r="R783" s="79"/>
      <c r="S783" s="79"/>
      <c r="T783" s="79"/>
      <c r="U783" s="34"/>
      <c r="V783" s="34"/>
    </row>
    <row r="784" spans="1:22" ht="12.75" customHeight="1" x14ac:dyDescent="0.2">
      <c r="A784" s="38"/>
      <c r="B784" s="38"/>
      <c r="C784" s="8"/>
      <c r="D784" s="8"/>
      <c r="E784" s="8"/>
      <c r="F784" s="8"/>
      <c r="G784" s="8"/>
      <c r="H784" s="8"/>
      <c r="I784" s="8"/>
      <c r="J784" s="8"/>
      <c r="K784" s="8"/>
      <c r="L784" s="8"/>
      <c r="M784" s="8"/>
      <c r="N784" s="8"/>
      <c r="O784" s="8"/>
      <c r="P784" s="8"/>
      <c r="Q784" s="8"/>
      <c r="R784" s="79"/>
      <c r="S784" s="79"/>
      <c r="T784" s="79"/>
      <c r="U784" s="34"/>
      <c r="V784" s="34"/>
    </row>
    <row r="785" spans="1:22" ht="12.75" customHeight="1" x14ac:dyDescent="0.2">
      <c r="A785" s="38"/>
      <c r="B785" s="38"/>
      <c r="C785" s="8"/>
      <c r="D785" s="8"/>
      <c r="E785" s="8"/>
      <c r="F785" s="8"/>
      <c r="G785" s="8"/>
      <c r="H785" s="8"/>
      <c r="I785" s="8"/>
      <c r="J785" s="8"/>
      <c r="K785" s="8"/>
      <c r="L785" s="8"/>
      <c r="M785" s="8"/>
      <c r="N785" s="8"/>
      <c r="O785" s="8"/>
      <c r="P785" s="8"/>
      <c r="Q785" s="8"/>
      <c r="R785" s="79"/>
      <c r="S785" s="79"/>
      <c r="T785" s="79"/>
      <c r="U785" s="34"/>
      <c r="V785" s="34"/>
    </row>
    <row r="786" spans="1:22" ht="12.75" customHeight="1" x14ac:dyDescent="0.2">
      <c r="A786" s="38"/>
      <c r="B786" s="38"/>
      <c r="C786" s="8"/>
      <c r="D786" s="8"/>
      <c r="E786" s="8"/>
      <c r="F786" s="8"/>
      <c r="G786" s="8"/>
      <c r="H786" s="8"/>
      <c r="I786" s="8"/>
      <c r="J786" s="8"/>
      <c r="K786" s="8"/>
      <c r="L786" s="8"/>
      <c r="M786" s="8"/>
      <c r="N786" s="8"/>
      <c r="O786" s="8"/>
      <c r="P786" s="8"/>
      <c r="Q786" s="8"/>
      <c r="R786" s="79"/>
      <c r="S786" s="79"/>
      <c r="T786" s="79"/>
      <c r="U786" s="34"/>
      <c r="V786" s="34"/>
    </row>
    <row r="787" spans="1:22" ht="12.75" customHeight="1" x14ac:dyDescent="0.2">
      <c r="A787" s="38"/>
      <c r="B787" s="38"/>
      <c r="C787" s="8"/>
      <c r="D787" s="8"/>
      <c r="E787" s="8"/>
      <c r="F787" s="8"/>
      <c r="G787" s="8"/>
      <c r="H787" s="8"/>
      <c r="I787" s="8"/>
      <c r="J787" s="8"/>
      <c r="K787" s="8"/>
      <c r="L787" s="8"/>
      <c r="M787" s="8"/>
      <c r="N787" s="8"/>
      <c r="O787" s="8"/>
      <c r="P787" s="8"/>
      <c r="Q787" s="8"/>
      <c r="R787" s="79"/>
      <c r="S787" s="79"/>
      <c r="T787" s="79"/>
      <c r="U787" s="34"/>
      <c r="V787" s="34"/>
    </row>
    <row r="788" spans="1:22" ht="12.75" customHeight="1" x14ac:dyDescent="0.2">
      <c r="A788" s="38"/>
      <c r="B788" s="38"/>
      <c r="C788" s="8"/>
      <c r="D788" s="8"/>
      <c r="E788" s="8"/>
      <c r="F788" s="8"/>
      <c r="G788" s="8"/>
      <c r="H788" s="8"/>
      <c r="I788" s="8"/>
      <c r="J788" s="8"/>
      <c r="K788" s="8"/>
      <c r="L788" s="8"/>
      <c r="M788" s="8"/>
      <c r="N788" s="8"/>
      <c r="O788" s="8"/>
      <c r="P788" s="8"/>
      <c r="Q788" s="8"/>
      <c r="R788" s="79"/>
      <c r="S788" s="79"/>
      <c r="T788" s="79"/>
      <c r="U788" s="34"/>
      <c r="V788" s="34"/>
    </row>
    <row r="789" spans="1:22" ht="12.75" customHeight="1" x14ac:dyDescent="0.2">
      <c r="A789" s="38"/>
      <c r="B789" s="38"/>
      <c r="C789" s="8"/>
      <c r="D789" s="8"/>
      <c r="E789" s="8"/>
      <c r="F789" s="8"/>
      <c r="G789" s="8"/>
      <c r="H789" s="8"/>
      <c r="I789" s="8"/>
      <c r="J789" s="8"/>
      <c r="K789" s="8"/>
      <c r="L789" s="8"/>
      <c r="M789" s="8"/>
      <c r="N789" s="8"/>
      <c r="O789" s="8"/>
      <c r="P789" s="8"/>
      <c r="Q789" s="8"/>
      <c r="R789" s="79"/>
      <c r="S789" s="79"/>
      <c r="T789" s="79"/>
      <c r="U789" s="34"/>
      <c r="V789" s="34"/>
    </row>
    <row r="790" spans="1:22" ht="12.75" customHeight="1" x14ac:dyDescent="0.2">
      <c r="A790" s="38"/>
      <c r="B790" s="38"/>
      <c r="C790" s="8"/>
      <c r="D790" s="8"/>
      <c r="E790" s="8"/>
      <c r="F790" s="8"/>
      <c r="G790" s="8"/>
      <c r="H790" s="8"/>
      <c r="I790" s="8"/>
      <c r="J790" s="8"/>
      <c r="K790" s="8"/>
      <c r="L790" s="8"/>
      <c r="M790" s="8"/>
      <c r="N790" s="8"/>
      <c r="O790" s="8"/>
      <c r="P790" s="8"/>
      <c r="Q790" s="8"/>
      <c r="R790" s="79"/>
      <c r="S790" s="79"/>
      <c r="T790" s="79"/>
      <c r="U790" s="34"/>
      <c r="V790" s="34"/>
    </row>
    <row r="791" spans="1:22" ht="12.75" customHeight="1" x14ac:dyDescent="0.2">
      <c r="A791" s="38"/>
      <c r="B791" s="38"/>
      <c r="C791" s="8"/>
      <c r="D791" s="8"/>
      <c r="E791" s="8"/>
      <c r="F791" s="8"/>
      <c r="G791" s="8"/>
      <c r="H791" s="8"/>
      <c r="I791" s="8"/>
      <c r="J791" s="8"/>
      <c r="K791" s="8"/>
      <c r="L791" s="8"/>
      <c r="M791" s="8"/>
      <c r="N791" s="8"/>
      <c r="O791" s="8"/>
      <c r="P791" s="8"/>
      <c r="Q791" s="8"/>
      <c r="R791" s="79"/>
      <c r="S791" s="79"/>
      <c r="T791" s="79"/>
      <c r="U791" s="34"/>
      <c r="V791" s="34"/>
    </row>
    <row r="792" spans="1:22" ht="12.75" customHeight="1" x14ac:dyDescent="0.2">
      <c r="A792" s="38"/>
      <c r="B792" s="38"/>
      <c r="C792" s="8"/>
      <c r="D792" s="8"/>
      <c r="E792" s="8"/>
      <c r="F792" s="8"/>
      <c r="G792" s="8"/>
      <c r="H792" s="8"/>
      <c r="I792" s="8"/>
      <c r="J792" s="8"/>
      <c r="K792" s="8"/>
      <c r="L792" s="8"/>
      <c r="M792" s="8"/>
      <c r="N792" s="8"/>
      <c r="O792" s="8"/>
      <c r="P792" s="8"/>
      <c r="Q792" s="8"/>
      <c r="R792" s="79"/>
      <c r="S792" s="79"/>
      <c r="T792" s="79"/>
      <c r="U792" s="34"/>
      <c r="V792" s="34"/>
    </row>
    <row r="793" spans="1:22" ht="12.75" customHeight="1" x14ac:dyDescent="0.2">
      <c r="A793" s="38"/>
      <c r="B793" s="38"/>
      <c r="C793" s="8"/>
      <c r="D793" s="8"/>
      <c r="E793" s="8"/>
      <c r="F793" s="8"/>
      <c r="G793" s="8"/>
      <c r="H793" s="8"/>
      <c r="I793" s="8"/>
      <c r="J793" s="8"/>
      <c r="K793" s="8"/>
      <c r="L793" s="8"/>
      <c r="M793" s="8"/>
      <c r="N793" s="8"/>
      <c r="O793" s="8"/>
      <c r="P793" s="8"/>
      <c r="Q793" s="8"/>
      <c r="R793" s="79"/>
      <c r="S793" s="79"/>
      <c r="T793" s="79"/>
      <c r="U793" s="34"/>
      <c r="V793" s="34"/>
    </row>
    <row r="794" spans="1:22" ht="12.75" customHeight="1" x14ac:dyDescent="0.2">
      <c r="A794" s="38"/>
      <c r="B794" s="38"/>
      <c r="C794" s="8"/>
      <c r="D794" s="8"/>
      <c r="E794" s="8"/>
      <c r="F794" s="8"/>
      <c r="G794" s="8"/>
      <c r="H794" s="8"/>
      <c r="I794" s="8"/>
      <c r="J794" s="8"/>
      <c r="K794" s="8"/>
      <c r="L794" s="8"/>
      <c r="M794" s="8"/>
      <c r="N794" s="8"/>
      <c r="O794" s="8"/>
      <c r="P794" s="8"/>
      <c r="Q794" s="8"/>
      <c r="R794" s="79"/>
      <c r="S794" s="79"/>
      <c r="T794" s="79"/>
      <c r="U794" s="34"/>
      <c r="V794" s="34"/>
    </row>
    <row r="795" spans="1:22" ht="12.75" customHeight="1" x14ac:dyDescent="0.2">
      <c r="A795" s="38"/>
      <c r="B795" s="38"/>
      <c r="C795" s="8"/>
      <c r="D795" s="8"/>
      <c r="E795" s="8"/>
      <c r="F795" s="8"/>
      <c r="G795" s="8"/>
      <c r="H795" s="8"/>
      <c r="I795" s="8"/>
      <c r="J795" s="8"/>
      <c r="K795" s="8"/>
      <c r="L795" s="8"/>
      <c r="M795" s="8"/>
      <c r="N795" s="8"/>
      <c r="O795" s="8"/>
      <c r="P795" s="8"/>
      <c r="Q795" s="8"/>
      <c r="R795" s="79"/>
      <c r="S795" s="79"/>
      <c r="T795" s="79"/>
      <c r="U795" s="34"/>
      <c r="V795" s="34"/>
    </row>
    <row r="796" spans="1:22" ht="12.75" customHeight="1" x14ac:dyDescent="0.2">
      <c r="A796" s="38"/>
      <c r="B796" s="38"/>
      <c r="C796" s="8"/>
      <c r="D796" s="8"/>
      <c r="E796" s="8"/>
      <c r="F796" s="8"/>
      <c r="G796" s="8"/>
      <c r="H796" s="8"/>
      <c r="I796" s="8"/>
      <c r="J796" s="8"/>
      <c r="K796" s="8"/>
      <c r="L796" s="8"/>
      <c r="M796" s="8"/>
      <c r="N796" s="8"/>
      <c r="O796" s="8"/>
      <c r="P796" s="8"/>
      <c r="Q796" s="8"/>
      <c r="R796" s="79"/>
      <c r="S796" s="79"/>
      <c r="T796" s="79"/>
      <c r="U796" s="34"/>
      <c r="V796" s="34"/>
    </row>
    <row r="797" spans="1:22" ht="12.75" customHeight="1" x14ac:dyDescent="0.2">
      <c r="A797" s="38"/>
      <c r="B797" s="38"/>
      <c r="C797" s="8"/>
      <c r="D797" s="8"/>
      <c r="E797" s="8"/>
      <c r="F797" s="8"/>
      <c r="G797" s="8"/>
      <c r="H797" s="8"/>
      <c r="I797" s="8"/>
      <c r="J797" s="8"/>
      <c r="K797" s="8"/>
      <c r="L797" s="8"/>
      <c r="M797" s="8"/>
      <c r="N797" s="8"/>
      <c r="O797" s="8"/>
      <c r="P797" s="8"/>
      <c r="Q797" s="8"/>
      <c r="R797" s="79"/>
      <c r="S797" s="79"/>
      <c r="T797" s="79"/>
      <c r="U797" s="34"/>
      <c r="V797" s="34"/>
    </row>
    <row r="798" spans="1:22" ht="12.75" customHeight="1" x14ac:dyDescent="0.2">
      <c r="A798" s="38"/>
      <c r="B798" s="38"/>
      <c r="C798" s="8"/>
      <c r="D798" s="8"/>
      <c r="E798" s="8"/>
      <c r="F798" s="8"/>
      <c r="G798" s="8"/>
      <c r="H798" s="8"/>
      <c r="I798" s="8"/>
      <c r="J798" s="8"/>
      <c r="K798" s="8"/>
      <c r="L798" s="8"/>
      <c r="M798" s="8"/>
      <c r="N798" s="8"/>
      <c r="O798" s="8"/>
      <c r="P798" s="8"/>
      <c r="Q798" s="8"/>
      <c r="R798" s="79"/>
      <c r="S798" s="79"/>
      <c r="T798" s="79"/>
      <c r="U798" s="34"/>
      <c r="V798" s="34"/>
    </row>
    <row r="799" spans="1:22" ht="12.75" customHeight="1" x14ac:dyDescent="0.2">
      <c r="A799" s="38"/>
      <c r="B799" s="38"/>
      <c r="C799" s="8"/>
      <c r="D799" s="8"/>
      <c r="E799" s="8"/>
      <c r="F799" s="8"/>
      <c r="G799" s="8"/>
      <c r="H799" s="8"/>
      <c r="I799" s="8"/>
      <c r="J799" s="8"/>
      <c r="K799" s="8"/>
      <c r="L799" s="8"/>
      <c r="M799" s="8"/>
      <c r="N799" s="8"/>
      <c r="O799" s="8"/>
      <c r="P799" s="8"/>
      <c r="Q799" s="8"/>
      <c r="R799" s="79"/>
      <c r="S799" s="79"/>
      <c r="T799" s="79"/>
      <c r="U799" s="34"/>
      <c r="V799" s="34"/>
    </row>
    <row r="800" spans="1:22" ht="12.75" customHeight="1" x14ac:dyDescent="0.2">
      <c r="A800" s="38"/>
      <c r="B800" s="38"/>
      <c r="C800" s="8"/>
      <c r="D800" s="8"/>
      <c r="E800" s="8"/>
      <c r="F800" s="8"/>
      <c r="G800" s="8"/>
      <c r="H800" s="8"/>
      <c r="I800" s="8"/>
      <c r="J800" s="8"/>
      <c r="K800" s="8"/>
      <c r="L800" s="8"/>
      <c r="M800" s="8"/>
      <c r="N800" s="8"/>
      <c r="O800" s="8"/>
      <c r="P800" s="8"/>
      <c r="Q800" s="8"/>
      <c r="R800" s="79"/>
      <c r="S800" s="79"/>
      <c r="T800" s="79"/>
      <c r="U800" s="34"/>
      <c r="V800" s="34"/>
    </row>
    <row r="801" spans="1:22" ht="12.75" customHeight="1" x14ac:dyDescent="0.2">
      <c r="A801" s="38"/>
      <c r="B801" s="38"/>
      <c r="C801" s="8"/>
      <c r="D801" s="8"/>
      <c r="E801" s="8"/>
      <c r="F801" s="8"/>
      <c r="G801" s="8"/>
      <c r="H801" s="8"/>
      <c r="I801" s="8"/>
      <c r="J801" s="8"/>
      <c r="K801" s="8"/>
      <c r="L801" s="8"/>
      <c r="M801" s="8"/>
      <c r="N801" s="8"/>
      <c r="O801" s="8"/>
      <c r="P801" s="8"/>
      <c r="Q801" s="8"/>
      <c r="R801" s="79"/>
      <c r="S801" s="79"/>
      <c r="T801" s="79"/>
      <c r="U801" s="34"/>
      <c r="V801" s="34"/>
    </row>
    <row r="802" spans="1:22" ht="12.75" customHeight="1" x14ac:dyDescent="0.2">
      <c r="A802" s="38"/>
      <c r="B802" s="38"/>
      <c r="C802" s="8"/>
      <c r="D802" s="8"/>
      <c r="E802" s="8"/>
      <c r="F802" s="8"/>
      <c r="G802" s="8"/>
      <c r="H802" s="8"/>
      <c r="I802" s="8"/>
      <c r="J802" s="8"/>
      <c r="K802" s="8"/>
      <c r="L802" s="8"/>
      <c r="M802" s="8"/>
      <c r="N802" s="8"/>
      <c r="O802" s="8"/>
      <c r="P802" s="8"/>
      <c r="Q802" s="8"/>
      <c r="R802" s="79"/>
      <c r="S802" s="79"/>
      <c r="T802" s="79"/>
      <c r="U802" s="34"/>
      <c r="V802" s="34"/>
    </row>
    <row r="803" spans="1:22" ht="12.75" customHeight="1" x14ac:dyDescent="0.2">
      <c r="A803" s="38"/>
      <c r="B803" s="38"/>
      <c r="C803" s="8"/>
      <c r="D803" s="8"/>
      <c r="E803" s="8"/>
      <c r="F803" s="8"/>
      <c r="G803" s="8"/>
      <c r="H803" s="8"/>
      <c r="I803" s="8"/>
      <c r="J803" s="8"/>
      <c r="K803" s="8"/>
      <c r="L803" s="8"/>
      <c r="M803" s="8"/>
      <c r="N803" s="8"/>
      <c r="O803" s="8"/>
      <c r="P803" s="8"/>
      <c r="Q803" s="8"/>
      <c r="R803" s="79"/>
      <c r="S803" s="79"/>
      <c r="T803" s="79"/>
      <c r="U803" s="34"/>
      <c r="V803" s="34"/>
    </row>
    <row r="804" spans="1:22" ht="15" customHeight="1" x14ac:dyDescent="0.2">
      <c r="A804" s="38"/>
      <c r="B804" s="38"/>
      <c r="C804" s="8"/>
      <c r="D804" s="8"/>
      <c r="E804" s="8"/>
      <c r="F804" s="8"/>
      <c r="G804" s="8"/>
      <c r="H804" s="8"/>
      <c r="I804" s="8"/>
      <c r="J804" s="8"/>
      <c r="K804" s="8"/>
      <c r="L804" s="8"/>
      <c r="M804" s="8"/>
      <c r="N804" s="8"/>
      <c r="O804" s="8"/>
      <c r="P804" s="8"/>
      <c r="Q804" s="8"/>
      <c r="R804" s="79"/>
      <c r="S804" s="79"/>
      <c r="T804" s="79"/>
      <c r="U804" s="34"/>
      <c r="V804" s="34"/>
    </row>
    <row r="805" spans="1:22" ht="15" customHeight="1" x14ac:dyDescent="0.2">
      <c r="A805" s="38"/>
      <c r="B805" s="38"/>
      <c r="C805" s="8"/>
      <c r="D805" s="8"/>
      <c r="E805" s="8"/>
      <c r="F805" s="8"/>
      <c r="G805" s="8"/>
      <c r="H805" s="8"/>
      <c r="I805" s="8"/>
      <c r="J805" s="8"/>
      <c r="K805" s="8"/>
      <c r="L805" s="8"/>
      <c r="M805" s="8"/>
      <c r="N805" s="8"/>
      <c r="O805" s="8"/>
      <c r="P805" s="8"/>
      <c r="Q805" s="8"/>
      <c r="R805" s="79"/>
      <c r="S805" s="79"/>
      <c r="T805" s="79"/>
      <c r="U805" s="34"/>
      <c r="V805" s="34"/>
    </row>
    <row r="806" spans="1:22" ht="15" customHeight="1" x14ac:dyDescent="0.2">
      <c r="A806" s="38"/>
      <c r="B806" s="38"/>
      <c r="C806" s="8"/>
      <c r="D806" s="8"/>
      <c r="E806" s="8"/>
      <c r="F806" s="8"/>
      <c r="G806" s="8"/>
      <c r="H806" s="8"/>
      <c r="I806" s="8"/>
      <c r="J806" s="8"/>
      <c r="K806" s="8"/>
      <c r="L806" s="8"/>
      <c r="M806" s="8"/>
      <c r="N806" s="8"/>
      <c r="O806" s="8"/>
      <c r="P806" s="8"/>
      <c r="Q806" s="8"/>
      <c r="R806" s="79"/>
      <c r="S806" s="79"/>
      <c r="T806" s="79"/>
      <c r="U806" s="34"/>
      <c r="V806" s="34"/>
    </row>
    <row r="807" spans="1:22" ht="15" customHeight="1" x14ac:dyDescent="0.2">
      <c r="A807" s="38"/>
      <c r="B807" s="38"/>
      <c r="C807" s="8"/>
      <c r="D807" s="8"/>
      <c r="E807" s="8"/>
      <c r="F807" s="8"/>
      <c r="G807" s="8"/>
      <c r="H807" s="8"/>
      <c r="I807" s="8"/>
      <c r="J807" s="8"/>
      <c r="K807" s="8"/>
      <c r="L807" s="8"/>
      <c r="M807" s="8"/>
      <c r="N807" s="8"/>
      <c r="O807" s="8"/>
      <c r="P807" s="8"/>
      <c r="Q807" s="8"/>
      <c r="R807" s="79"/>
      <c r="S807" s="79"/>
      <c r="T807" s="79"/>
      <c r="U807" s="34"/>
      <c r="V807" s="34"/>
    </row>
    <row r="808" spans="1:22" ht="15" customHeight="1" x14ac:dyDescent="0.2">
      <c r="A808" s="38"/>
      <c r="B808" s="38"/>
      <c r="C808" s="8"/>
      <c r="D808" s="8"/>
      <c r="E808" s="8"/>
      <c r="F808" s="8"/>
      <c r="G808" s="8"/>
      <c r="H808" s="8"/>
      <c r="I808" s="8"/>
      <c r="J808" s="8"/>
      <c r="K808" s="8"/>
      <c r="L808" s="8"/>
      <c r="M808" s="8"/>
      <c r="N808" s="8"/>
      <c r="O808" s="8"/>
      <c r="P808" s="8"/>
      <c r="Q808" s="8"/>
      <c r="R808" s="79"/>
      <c r="S808" s="79"/>
      <c r="T808" s="79"/>
      <c r="U808" s="34"/>
      <c r="V808" s="34"/>
    </row>
    <row r="809" spans="1:22" ht="15" customHeight="1" x14ac:dyDescent="0.2">
      <c r="A809" s="38"/>
      <c r="B809" s="38"/>
      <c r="C809" s="8"/>
      <c r="D809" s="8"/>
      <c r="E809" s="8"/>
      <c r="F809" s="8"/>
      <c r="G809" s="8"/>
      <c r="H809" s="8"/>
      <c r="I809" s="8"/>
      <c r="J809" s="8"/>
      <c r="K809" s="8"/>
      <c r="L809" s="8"/>
      <c r="M809" s="8"/>
      <c r="N809" s="8"/>
      <c r="O809" s="8"/>
      <c r="P809" s="8"/>
      <c r="Q809" s="8"/>
      <c r="R809" s="79"/>
      <c r="S809" s="79"/>
      <c r="T809" s="79"/>
      <c r="U809" s="34"/>
      <c r="V809" s="34"/>
    </row>
    <row r="810" spans="1:22" ht="15" customHeight="1" x14ac:dyDescent="0.2">
      <c r="A810" s="38"/>
      <c r="B810" s="38"/>
      <c r="C810" s="8"/>
      <c r="D810" s="8"/>
      <c r="E810" s="8"/>
      <c r="F810" s="8"/>
      <c r="G810" s="8"/>
      <c r="H810" s="8"/>
      <c r="I810" s="8"/>
      <c r="J810" s="8"/>
      <c r="K810" s="8"/>
      <c r="L810" s="8"/>
      <c r="M810" s="8"/>
      <c r="N810" s="8"/>
      <c r="O810" s="8"/>
      <c r="P810" s="8"/>
      <c r="Q810" s="8"/>
      <c r="R810" s="79"/>
      <c r="S810" s="79"/>
      <c r="T810" s="79"/>
      <c r="U810" s="34"/>
      <c r="V810" s="34"/>
    </row>
    <row r="811" spans="1:22" ht="15" customHeight="1" x14ac:dyDescent="0.2">
      <c r="A811" s="38"/>
      <c r="B811" s="38"/>
      <c r="C811" s="8"/>
      <c r="D811" s="8"/>
      <c r="E811" s="8"/>
      <c r="F811" s="8"/>
      <c r="G811" s="8"/>
      <c r="H811" s="8"/>
      <c r="I811" s="8"/>
      <c r="J811" s="8"/>
      <c r="K811" s="8"/>
      <c r="L811" s="8"/>
      <c r="M811" s="8"/>
      <c r="N811" s="8"/>
      <c r="O811" s="8"/>
      <c r="P811" s="8"/>
      <c r="Q811" s="8"/>
      <c r="R811" s="79"/>
      <c r="S811" s="79"/>
      <c r="T811" s="79"/>
      <c r="U811" s="34"/>
      <c r="V811" s="34"/>
    </row>
    <row r="812" spans="1:22" ht="15" customHeight="1" x14ac:dyDescent="0.2">
      <c r="A812" s="38"/>
      <c r="B812" s="38"/>
      <c r="C812" s="8"/>
      <c r="D812" s="8"/>
      <c r="E812" s="8"/>
      <c r="F812" s="8"/>
      <c r="G812" s="8"/>
      <c r="H812" s="8"/>
      <c r="I812" s="8"/>
      <c r="J812" s="8"/>
      <c r="K812" s="8"/>
      <c r="L812" s="8"/>
      <c r="M812" s="8"/>
      <c r="N812" s="8"/>
      <c r="O812" s="8"/>
      <c r="P812" s="8"/>
      <c r="Q812" s="8"/>
      <c r="R812" s="79"/>
      <c r="S812" s="79"/>
      <c r="T812" s="79"/>
      <c r="U812" s="34"/>
      <c r="V812" s="34"/>
    </row>
    <row r="813" spans="1:22" ht="15" customHeight="1" x14ac:dyDescent="0.2">
      <c r="A813" s="38"/>
      <c r="B813" s="38"/>
      <c r="C813" s="8"/>
      <c r="D813" s="8"/>
      <c r="E813" s="8"/>
      <c r="F813" s="8"/>
      <c r="G813" s="8"/>
      <c r="H813" s="8"/>
      <c r="I813" s="8"/>
      <c r="J813" s="8"/>
      <c r="K813" s="8"/>
      <c r="L813" s="8"/>
      <c r="M813" s="8"/>
      <c r="N813" s="8"/>
      <c r="O813" s="8"/>
      <c r="P813" s="8"/>
      <c r="Q813" s="8"/>
      <c r="R813" s="79"/>
      <c r="S813" s="79"/>
      <c r="T813" s="79"/>
      <c r="U813" s="34"/>
      <c r="V813" s="34"/>
    </row>
    <row r="814" spans="1:22" ht="15" customHeight="1" x14ac:dyDescent="0.2">
      <c r="A814" s="38"/>
      <c r="B814" s="38"/>
      <c r="C814" s="8"/>
      <c r="D814" s="8"/>
      <c r="E814" s="8"/>
      <c r="F814" s="8"/>
      <c r="G814" s="8"/>
      <c r="H814" s="8"/>
      <c r="I814" s="8"/>
      <c r="J814" s="8"/>
      <c r="K814" s="8"/>
      <c r="L814" s="8"/>
      <c r="M814" s="8"/>
      <c r="N814" s="8"/>
      <c r="O814" s="8"/>
      <c r="P814" s="8"/>
      <c r="Q814" s="8"/>
      <c r="R814" s="79"/>
      <c r="S814" s="79"/>
      <c r="T814" s="79"/>
      <c r="U814" s="34"/>
      <c r="V814" s="34"/>
    </row>
    <row r="815" spans="1:22" ht="15" customHeight="1" x14ac:dyDescent="0.2">
      <c r="A815" s="38"/>
      <c r="B815" s="38"/>
      <c r="C815" s="8"/>
      <c r="D815" s="8"/>
      <c r="E815" s="8"/>
      <c r="F815" s="8"/>
      <c r="G815" s="8"/>
      <c r="H815" s="8"/>
      <c r="I815" s="8"/>
      <c r="J815" s="8"/>
      <c r="K815" s="8"/>
      <c r="L815" s="8"/>
      <c r="M815" s="8"/>
      <c r="N815" s="8"/>
      <c r="O815" s="8"/>
      <c r="P815" s="8"/>
      <c r="Q815" s="8"/>
      <c r="R815" s="79"/>
      <c r="S815" s="79"/>
      <c r="T815" s="79"/>
      <c r="U815" s="34"/>
      <c r="V815" s="34"/>
    </row>
    <row r="816" spans="1:22" ht="15" customHeight="1" x14ac:dyDescent="0.2">
      <c r="A816" s="38"/>
      <c r="B816" s="38"/>
      <c r="C816" s="8"/>
      <c r="D816" s="8"/>
      <c r="E816" s="8"/>
      <c r="F816" s="8"/>
      <c r="G816" s="8"/>
      <c r="H816" s="8"/>
      <c r="I816" s="8"/>
      <c r="J816" s="8"/>
      <c r="K816" s="8"/>
      <c r="L816" s="8"/>
      <c r="M816" s="8"/>
      <c r="N816" s="8"/>
      <c r="O816" s="8"/>
      <c r="P816" s="8"/>
      <c r="Q816" s="8"/>
      <c r="R816" s="79"/>
      <c r="S816" s="79"/>
      <c r="T816" s="79"/>
      <c r="U816" s="34"/>
      <c r="V816" s="34"/>
    </row>
    <row r="817" spans="1:22" ht="15" customHeight="1" x14ac:dyDescent="0.2">
      <c r="A817" s="38"/>
      <c r="B817" s="38"/>
      <c r="C817" s="8"/>
      <c r="D817" s="8"/>
      <c r="E817" s="8"/>
      <c r="F817" s="8"/>
      <c r="G817" s="8"/>
      <c r="H817" s="8"/>
      <c r="I817" s="8"/>
      <c r="J817" s="8"/>
      <c r="K817" s="8"/>
      <c r="L817" s="8"/>
      <c r="M817" s="8"/>
      <c r="N817" s="8"/>
      <c r="O817" s="8"/>
      <c r="P817" s="8"/>
      <c r="Q817" s="8"/>
      <c r="R817" s="79"/>
      <c r="S817" s="79"/>
      <c r="T817" s="79"/>
      <c r="U817" s="34"/>
      <c r="V817" s="34"/>
    </row>
    <row r="818" spans="1:22" ht="15" customHeight="1" x14ac:dyDescent="0.2">
      <c r="A818" s="38"/>
      <c r="B818" s="38"/>
      <c r="C818" s="8"/>
      <c r="D818" s="8"/>
      <c r="E818" s="8"/>
      <c r="F818" s="8"/>
      <c r="G818" s="8"/>
      <c r="H818" s="8"/>
      <c r="I818" s="8"/>
      <c r="J818" s="8"/>
      <c r="K818" s="8"/>
      <c r="L818" s="8"/>
      <c r="M818" s="8"/>
      <c r="N818" s="8"/>
      <c r="O818" s="8"/>
      <c r="P818" s="8"/>
      <c r="Q818" s="8"/>
      <c r="R818" s="79"/>
      <c r="S818" s="79"/>
      <c r="T818" s="79"/>
      <c r="U818" s="34"/>
      <c r="V818" s="34"/>
    </row>
    <row r="819" spans="1:22" ht="15" customHeight="1" x14ac:dyDescent="0.2">
      <c r="A819" s="38"/>
      <c r="B819" s="38"/>
      <c r="C819" s="8"/>
      <c r="D819" s="8"/>
      <c r="E819" s="8"/>
      <c r="F819" s="8"/>
      <c r="G819" s="8"/>
      <c r="H819" s="8"/>
      <c r="I819" s="8"/>
      <c r="J819" s="8"/>
      <c r="K819" s="8"/>
      <c r="L819" s="8"/>
      <c r="M819" s="8"/>
      <c r="N819" s="8"/>
      <c r="O819" s="8"/>
      <c r="P819" s="8"/>
      <c r="Q819" s="8"/>
      <c r="R819" s="79"/>
      <c r="S819" s="79"/>
      <c r="T819" s="79"/>
      <c r="U819" s="34"/>
      <c r="V819" s="34"/>
    </row>
    <row r="820" spans="1:22" ht="15" customHeight="1" x14ac:dyDescent="0.2">
      <c r="A820" s="38"/>
      <c r="B820" s="38"/>
      <c r="C820" s="8"/>
      <c r="D820" s="8"/>
      <c r="E820" s="8"/>
      <c r="F820" s="8"/>
      <c r="G820" s="8"/>
      <c r="H820" s="8"/>
      <c r="I820" s="8"/>
      <c r="J820" s="8"/>
      <c r="K820" s="8"/>
      <c r="L820" s="8"/>
      <c r="M820" s="8"/>
      <c r="N820" s="8"/>
      <c r="O820" s="8"/>
      <c r="P820" s="8"/>
      <c r="Q820" s="8"/>
      <c r="R820" s="79"/>
      <c r="S820" s="79"/>
      <c r="T820" s="79"/>
      <c r="U820" s="34"/>
      <c r="V820" s="34"/>
    </row>
    <row r="821" spans="1:22" ht="15" customHeight="1" x14ac:dyDescent="0.2">
      <c r="A821" s="38"/>
      <c r="B821" s="38"/>
      <c r="C821" s="8"/>
      <c r="D821" s="8"/>
      <c r="E821" s="8"/>
      <c r="F821" s="8"/>
      <c r="G821" s="8"/>
      <c r="H821" s="8"/>
      <c r="I821" s="8"/>
      <c r="J821" s="8"/>
      <c r="K821" s="8"/>
      <c r="L821" s="8"/>
      <c r="M821" s="8"/>
      <c r="N821" s="8"/>
      <c r="O821" s="8"/>
      <c r="P821" s="8"/>
      <c r="Q821" s="8"/>
      <c r="R821" s="79"/>
      <c r="S821" s="79"/>
      <c r="T821" s="79"/>
      <c r="U821" s="34"/>
      <c r="V821" s="34"/>
    </row>
    <row r="822" spans="1:22" ht="15" customHeight="1" x14ac:dyDescent="0.2">
      <c r="A822" s="38"/>
      <c r="B822" s="38"/>
      <c r="C822" s="8"/>
      <c r="D822" s="8"/>
      <c r="E822" s="8"/>
      <c r="F822" s="8"/>
      <c r="G822" s="8"/>
      <c r="H822" s="8"/>
      <c r="I822" s="8"/>
      <c r="J822" s="8"/>
      <c r="K822" s="8"/>
      <c r="L822" s="8"/>
      <c r="M822" s="8"/>
      <c r="N822" s="8"/>
      <c r="O822" s="8"/>
      <c r="P822" s="8"/>
      <c r="Q822" s="8"/>
      <c r="R822" s="79"/>
      <c r="S822" s="79"/>
      <c r="T822" s="79"/>
      <c r="U822" s="34"/>
      <c r="V822" s="34"/>
    </row>
    <row r="823" spans="1:22" ht="15" customHeight="1" x14ac:dyDescent="0.2">
      <c r="A823" s="38"/>
      <c r="B823" s="38"/>
      <c r="C823" s="8"/>
      <c r="D823" s="8"/>
      <c r="E823" s="8"/>
      <c r="F823" s="8"/>
      <c r="G823" s="8"/>
      <c r="H823" s="8"/>
      <c r="I823" s="8"/>
      <c r="J823" s="8"/>
      <c r="K823" s="8"/>
      <c r="L823" s="8"/>
      <c r="M823" s="8"/>
      <c r="N823" s="8"/>
      <c r="O823" s="8"/>
      <c r="P823" s="8"/>
      <c r="Q823" s="8"/>
      <c r="R823" s="79"/>
      <c r="S823" s="79"/>
      <c r="T823" s="79"/>
      <c r="U823" s="34"/>
      <c r="V823" s="34"/>
    </row>
    <row r="824" spans="1:22" ht="15" customHeight="1" x14ac:dyDescent="0.2">
      <c r="A824" s="38"/>
      <c r="B824" s="38"/>
      <c r="C824" s="8"/>
      <c r="D824" s="8"/>
      <c r="E824" s="8"/>
      <c r="F824" s="8"/>
      <c r="G824" s="8"/>
      <c r="H824" s="8"/>
      <c r="I824" s="8"/>
      <c r="J824" s="8"/>
      <c r="K824" s="8"/>
      <c r="L824" s="8"/>
      <c r="M824" s="8"/>
      <c r="N824" s="8"/>
      <c r="O824" s="8"/>
      <c r="P824" s="8"/>
      <c r="Q824" s="8"/>
      <c r="R824" s="79"/>
      <c r="S824" s="79"/>
      <c r="T824" s="79"/>
      <c r="U824" s="34"/>
      <c r="V824" s="34"/>
    </row>
    <row r="825" spans="1:22" ht="15" customHeight="1" x14ac:dyDescent="0.2">
      <c r="A825" s="38"/>
      <c r="B825" s="38"/>
      <c r="C825" s="8"/>
      <c r="D825" s="8"/>
      <c r="E825" s="8"/>
      <c r="F825" s="8"/>
      <c r="G825" s="8"/>
      <c r="H825" s="8"/>
      <c r="I825" s="8"/>
      <c r="J825" s="8"/>
      <c r="K825" s="8"/>
      <c r="L825" s="8"/>
      <c r="M825" s="8"/>
      <c r="N825" s="8"/>
      <c r="O825" s="8"/>
      <c r="P825" s="8"/>
      <c r="Q825" s="8"/>
      <c r="R825" s="79"/>
      <c r="S825" s="79"/>
      <c r="T825" s="79"/>
      <c r="U825" s="34"/>
      <c r="V825" s="34"/>
    </row>
    <row r="826" spans="1:22" ht="15" customHeight="1" x14ac:dyDescent="0.2">
      <c r="A826" s="38"/>
      <c r="B826" s="38"/>
      <c r="C826" s="8"/>
      <c r="D826" s="8"/>
      <c r="E826" s="8"/>
      <c r="F826" s="8"/>
      <c r="G826" s="8"/>
      <c r="H826" s="8"/>
      <c r="I826" s="8"/>
      <c r="J826" s="8"/>
      <c r="K826" s="8"/>
      <c r="L826" s="8"/>
      <c r="M826" s="8"/>
      <c r="N826" s="8"/>
      <c r="O826" s="8"/>
      <c r="P826" s="8"/>
      <c r="Q826" s="8"/>
      <c r="R826" s="79"/>
      <c r="S826" s="79"/>
      <c r="T826" s="79"/>
      <c r="U826" s="34"/>
      <c r="V826" s="34"/>
    </row>
    <row r="827" spans="1:22" ht="15" customHeight="1" x14ac:dyDescent="0.2">
      <c r="A827" s="38"/>
      <c r="B827" s="38"/>
      <c r="C827" s="8"/>
      <c r="D827" s="8"/>
      <c r="E827" s="8"/>
      <c r="F827" s="8"/>
      <c r="G827" s="8"/>
      <c r="H827" s="8"/>
      <c r="I827" s="8"/>
      <c r="J827" s="8"/>
      <c r="K827" s="8"/>
      <c r="L827" s="8"/>
      <c r="M827" s="8"/>
      <c r="N827" s="8"/>
      <c r="O827" s="8"/>
      <c r="P827" s="8"/>
      <c r="Q827" s="8"/>
      <c r="R827" s="79"/>
      <c r="S827" s="79"/>
      <c r="T827" s="79"/>
      <c r="U827" s="34"/>
      <c r="V827" s="34"/>
    </row>
    <row r="828" spans="1:22" ht="15" customHeight="1" x14ac:dyDescent="0.2">
      <c r="A828" s="38"/>
      <c r="B828" s="38"/>
      <c r="C828" s="8"/>
      <c r="D828" s="8"/>
      <c r="E828" s="8"/>
      <c r="F828" s="8"/>
      <c r="G828" s="8"/>
      <c r="H828" s="8"/>
      <c r="I828" s="8"/>
      <c r="J828" s="8"/>
      <c r="K828" s="8"/>
      <c r="L828" s="8"/>
      <c r="M828" s="8"/>
      <c r="N828" s="8"/>
      <c r="O828" s="8"/>
      <c r="P828" s="8"/>
      <c r="Q828" s="8"/>
      <c r="R828" s="79"/>
      <c r="S828" s="79"/>
      <c r="T828" s="79"/>
      <c r="U828" s="34"/>
      <c r="V828" s="34"/>
    </row>
    <row r="829" spans="1:22" ht="15" customHeight="1" x14ac:dyDescent="0.2">
      <c r="A829" s="38"/>
      <c r="B829" s="38"/>
      <c r="C829" s="8"/>
      <c r="D829" s="8"/>
      <c r="E829" s="8"/>
      <c r="F829" s="8"/>
      <c r="G829" s="8"/>
      <c r="H829" s="8"/>
      <c r="I829" s="8"/>
      <c r="J829" s="8"/>
      <c r="K829" s="8"/>
      <c r="L829" s="8"/>
      <c r="M829" s="8"/>
      <c r="N829" s="8"/>
      <c r="O829" s="8"/>
      <c r="P829" s="8"/>
      <c r="Q829" s="8"/>
      <c r="R829" s="79"/>
      <c r="S829" s="79"/>
      <c r="T829" s="79"/>
      <c r="U829" s="34"/>
      <c r="V829" s="34"/>
    </row>
    <row r="830" spans="1:22" ht="15" customHeight="1" x14ac:dyDescent="0.2">
      <c r="A830" s="38"/>
      <c r="B830" s="38"/>
      <c r="C830" s="8"/>
      <c r="D830" s="8"/>
      <c r="E830" s="8"/>
      <c r="F830" s="8"/>
      <c r="G830" s="8"/>
      <c r="H830" s="8"/>
      <c r="I830" s="8"/>
      <c r="J830" s="8"/>
      <c r="K830" s="8"/>
      <c r="L830" s="8"/>
      <c r="M830" s="8"/>
      <c r="N830" s="8"/>
      <c r="O830" s="8"/>
      <c r="P830" s="8"/>
      <c r="Q830" s="8"/>
      <c r="R830" s="79"/>
      <c r="S830" s="79"/>
      <c r="T830" s="79"/>
      <c r="U830" s="34"/>
      <c r="V830" s="34"/>
    </row>
    <row r="831" spans="1:22" ht="15" customHeight="1" x14ac:dyDescent="0.2">
      <c r="A831" s="38"/>
      <c r="B831" s="38"/>
      <c r="C831" s="8"/>
      <c r="D831" s="8"/>
      <c r="E831" s="8"/>
      <c r="F831" s="8"/>
      <c r="G831" s="8"/>
      <c r="H831" s="8"/>
      <c r="I831" s="8"/>
      <c r="J831" s="8"/>
      <c r="K831" s="8"/>
      <c r="L831" s="8"/>
      <c r="M831" s="8"/>
      <c r="N831" s="8"/>
      <c r="O831" s="8"/>
      <c r="P831" s="8"/>
      <c r="Q831" s="8"/>
      <c r="R831" s="79"/>
      <c r="S831" s="79"/>
      <c r="T831" s="79"/>
      <c r="U831" s="34"/>
      <c r="V831" s="34"/>
    </row>
    <row r="832" spans="1:22" ht="15" customHeight="1" x14ac:dyDescent="0.2">
      <c r="A832" s="38"/>
      <c r="B832" s="38"/>
      <c r="C832" s="8"/>
      <c r="D832" s="8"/>
      <c r="E832" s="8"/>
      <c r="F832" s="8"/>
      <c r="G832" s="8"/>
      <c r="H832" s="8"/>
      <c r="I832" s="8"/>
      <c r="J832" s="8"/>
      <c r="K832" s="8"/>
      <c r="L832" s="8"/>
      <c r="M832" s="8"/>
      <c r="N832" s="8"/>
      <c r="O832" s="8"/>
      <c r="P832" s="8"/>
      <c r="Q832" s="8"/>
      <c r="R832" s="79"/>
      <c r="S832" s="79"/>
      <c r="T832" s="79"/>
      <c r="U832" s="34"/>
      <c r="V832" s="34"/>
    </row>
    <row r="833" spans="1:22" ht="15" customHeight="1" x14ac:dyDescent="0.2">
      <c r="A833" s="38"/>
      <c r="B833" s="38"/>
      <c r="C833" s="8"/>
      <c r="D833" s="8"/>
      <c r="E833" s="8"/>
      <c r="F833" s="8"/>
      <c r="G833" s="8"/>
      <c r="H833" s="8"/>
      <c r="I833" s="8"/>
      <c r="J833" s="8"/>
      <c r="K833" s="8"/>
      <c r="L833" s="8"/>
      <c r="M833" s="8"/>
      <c r="N833" s="8"/>
      <c r="O833" s="8"/>
      <c r="P833" s="8"/>
      <c r="Q833" s="8"/>
      <c r="R833" s="79"/>
      <c r="S833" s="79"/>
      <c r="T833" s="79"/>
      <c r="U833" s="34"/>
      <c r="V833" s="34"/>
    </row>
    <row r="834" spans="1:22" ht="15" customHeight="1" x14ac:dyDescent="0.2">
      <c r="A834" s="38"/>
      <c r="B834" s="38"/>
      <c r="C834" s="8"/>
      <c r="D834" s="8"/>
      <c r="E834" s="8"/>
      <c r="F834" s="8"/>
      <c r="G834" s="8"/>
      <c r="H834" s="8"/>
      <c r="I834" s="8"/>
      <c r="J834" s="8"/>
      <c r="K834" s="8"/>
      <c r="L834" s="8"/>
      <c r="M834" s="8"/>
      <c r="N834" s="8"/>
      <c r="O834" s="8"/>
      <c r="P834" s="8"/>
      <c r="Q834" s="8"/>
      <c r="R834" s="79"/>
      <c r="S834" s="79"/>
      <c r="T834" s="79"/>
      <c r="U834" s="34"/>
      <c r="V834" s="34"/>
    </row>
    <row r="835" spans="1:22" ht="15" customHeight="1" x14ac:dyDescent="0.2">
      <c r="A835" s="38"/>
      <c r="B835" s="38"/>
      <c r="C835" s="8"/>
      <c r="D835" s="8"/>
      <c r="E835" s="8"/>
      <c r="F835" s="8"/>
      <c r="G835" s="8"/>
      <c r="H835" s="8"/>
      <c r="I835" s="8"/>
      <c r="J835" s="8"/>
      <c r="K835" s="8"/>
      <c r="L835" s="8"/>
      <c r="M835" s="8"/>
      <c r="N835" s="8"/>
      <c r="O835" s="8"/>
      <c r="P835" s="8"/>
      <c r="Q835" s="8"/>
      <c r="R835" s="79"/>
      <c r="S835" s="79"/>
      <c r="T835" s="79"/>
      <c r="U835" s="34"/>
      <c r="V835" s="34"/>
    </row>
    <row r="836" spans="1:22" ht="15" customHeight="1" x14ac:dyDescent="0.2">
      <c r="A836" s="38"/>
      <c r="B836" s="38"/>
      <c r="C836" s="8"/>
      <c r="D836" s="8"/>
      <c r="E836" s="8"/>
      <c r="F836" s="8"/>
      <c r="G836" s="8"/>
      <c r="H836" s="8"/>
      <c r="I836" s="8"/>
      <c r="J836" s="8"/>
      <c r="K836" s="8"/>
      <c r="L836" s="8"/>
      <c r="M836" s="8"/>
      <c r="N836" s="8"/>
      <c r="O836" s="8"/>
      <c r="P836" s="8"/>
      <c r="Q836" s="8"/>
      <c r="R836" s="79"/>
      <c r="S836" s="79"/>
      <c r="T836" s="79"/>
      <c r="U836" s="34"/>
      <c r="V836" s="34"/>
    </row>
    <row r="837" spans="1:22" ht="15" customHeight="1" x14ac:dyDescent="0.2">
      <c r="A837" s="38"/>
      <c r="B837" s="38"/>
      <c r="C837" s="8"/>
      <c r="D837" s="8"/>
      <c r="E837" s="8"/>
      <c r="F837" s="8"/>
      <c r="G837" s="8"/>
      <c r="H837" s="8"/>
      <c r="I837" s="8"/>
      <c r="J837" s="8"/>
      <c r="K837" s="8"/>
      <c r="L837" s="8"/>
      <c r="M837" s="8"/>
      <c r="N837" s="8"/>
      <c r="O837" s="8"/>
      <c r="P837" s="8"/>
      <c r="Q837" s="8"/>
      <c r="R837" s="79"/>
      <c r="S837" s="79"/>
      <c r="T837" s="79"/>
      <c r="U837" s="34"/>
      <c r="V837" s="34"/>
    </row>
    <row r="838" spans="1:22" ht="15" customHeight="1" x14ac:dyDescent="0.2">
      <c r="A838" s="38"/>
      <c r="B838" s="38"/>
      <c r="C838" s="8"/>
      <c r="D838" s="8"/>
      <c r="E838" s="8"/>
      <c r="F838" s="8"/>
      <c r="G838" s="8"/>
      <c r="H838" s="8"/>
      <c r="I838" s="8"/>
      <c r="J838" s="8"/>
      <c r="K838" s="8"/>
      <c r="L838" s="8"/>
      <c r="M838" s="8"/>
      <c r="N838" s="8"/>
      <c r="O838" s="8"/>
      <c r="P838" s="8"/>
      <c r="Q838" s="8"/>
      <c r="R838" s="79"/>
      <c r="S838" s="79"/>
      <c r="T838" s="79"/>
      <c r="U838" s="34"/>
      <c r="V838" s="34"/>
    </row>
    <row r="839" spans="1:22" ht="15" customHeight="1" x14ac:dyDescent="0.2">
      <c r="A839" s="38"/>
      <c r="B839" s="38"/>
      <c r="C839" s="8"/>
      <c r="D839" s="8"/>
      <c r="E839" s="8"/>
      <c r="F839" s="8"/>
      <c r="G839" s="8"/>
      <c r="H839" s="8"/>
      <c r="I839" s="8"/>
      <c r="J839" s="8"/>
      <c r="K839" s="8"/>
      <c r="L839" s="8"/>
      <c r="M839" s="8"/>
      <c r="N839" s="8"/>
      <c r="O839" s="8"/>
      <c r="P839" s="8"/>
      <c r="Q839" s="8"/>
      <c r="R839" s="79"/>
      <c r="S839" s="79"/>
      <c r="T839" s="79"/>
      <c r="U839" s="34"/>
      <c r="V839" s="34"/>
    </row>
    <row r="840" spans="1:22" ht="15" customHeight="1" x14ac:dyDescent="0.2">
      <c r="A840" s="38"/>
      <c r="B840" s="38"/>
      <c r="C840" s="8"/>
      <c r="D840" s="8"/>
      <c r="E840" s="8"/>
      <c r="F840" s="8"/>
      <c r="G840" s="8"/>
      <c r="H840" s="8"/>
      <c r="I840" s="8"/>
      <c r="J840" s="8"/>
      <c r="K840" s="8"/>
      <c r="L840" s="8"/>
      <c r="M840" s="8"/>
      <c r="N840" s="8"/>
      <c r="O840" s="8"/>
      <c r="P840" s="8"/>
      <c r="Q840" s="8"/>
      <c r="R840" s="79"/>
      <c r="S840" s="79"/>
      <c r="T840" s="79"/>
      <c r="U840" s="34"/>
      <c r="V840" s="34"/>
    </row>
    <row r="841" spans="1:22" ht="15" customHeight="1" x14ac:dyDescent="0.2">
      <c r="A841" s="38"/>
      <c r="B841" s="38"/>
      <c r="C841" s="8"/>
      <c r="D841" s="8"/>
      <c r="E841" s="8"/>
      <c r="F841" s="8"/>
      <c r="G841" s="8"/>
      <c r="H841" s="8"/>
      <c r="I841" s="8"/>
      <c r="J841" s="8"/>
      <c r="K841" s="8"/>
      <c r="L841" s="8"/>
      <c r="M841" s="8"/>
      <c r="N841" s="8"/>
      <c r="O841" s="8"/>
      <c r="P841" s="8"/>
      <c r="Q841" s="8"/>
      <c r="R841" s="79"/>
      <c r="S841" s="79"/>
      <c r="T841" s="79"/>
      <c r="U841" s="34"/>
      <c r="V841" s="34"/>
    </row>
    <row r="842" spans="1:22" ht="15" customHeight="1" x14ac:dyDescent="0.2">
      <c r="A842" s="38"/>
      <c r="B842" s="38"/>
      <c r="C842" s="8"/>
      <c r="D842" s="8"/>
      <c r="E842" s="8"/>
      <c r="F842" s="8"/>
      <c r="G842" s="8"/>
      <c r="H842" s="8"/>
      <c r="I842" s="8"/>
      <c r="J842" s="8"/>
      <c r="K842" s="8"/>
      <c r="L842" s="8"/>
      <c r="M842" s="8"/>
      <c r="N842" s="8"/>
      <c r="O842" s="8"/>
      <c r="P842" s="8"/>
      <c r="Q842" s="8"/>
      <c r="R842" s="79"/>
      <c r="S842" s="79"/>
      <c r="T842" s="79"/>
      <c r="U842" s="34"/>
      <c r="V842" s="34"/>
    </row>
    <row r="843" spans="1:22" ht="15" customHeight="1" x14ac:dyDescent="0.2">
      <c r="A843" s="38"/>
      <c r="B843" s="38"/>
      <c r="C843" s="8"/>
      <c r="D843" s="8"/>
      <c r="E843" s="8"/>
      <c r="F843" s="8"/>
      <c r="G843" s="8"/>
      <c r="H843" s="8"/>
      <c r="I843" s="8"/>
      <c r="J843" s="8"/>
      <c r="K843" s="8"/>
      <c r="L843" s="8"/>
      <c r="M843" s="8"/>
      <c r="N843" s="8"/>
      <c r="O843" s="8"/>
      <c r="P843" s="8"/>
      <c r="Q843" s="8"/>
      <c r="R843" s="79"/>
      <c r="S843" s="79"/>
      <c r="T843" s="79"/>
      <c r="U843" s="34"/>
      <c r="V843" s="34"/>
    </row>
    <row r="844" spans="1:22" ht="15" customHeight="1" x14ac:dyDescent="0.2">
      <c r="A844" s="38"/>
      <c r="B844" s="38"/>
      <c r="C844" s="8"/>
      <c r="D844" s="8"/>
      <c r="E844" s="8"/>
      <c r="F844" s="8"/>
      <c r="G844" s="8"/>
      <c r="H844" s="8"/>
      <c r="I844" s="8"/>
      <c r="J844" s="8"/>
      <c r="K844" s="8"/>
      <c r="L844" s="8"/>
      <c r="M844" s="8"/>
      <c r="N844" s="8"/>
      <c r="O844" s="8"/>
      <c r="P844" s="8"/>
      <c r="Q844" s="8"/>
      <c r="R844" s="79"/>
      <c r="S844" s="79"/>
      <c r="T844" s="79"/>
      <c r="U844" s="34"/>
      <c r="V844" s="34"/>
    </row>
    <row r="845" spans="1:22" ht="15" customHeight="1" x14ac:dyDescent="0.2">
      <c r="A845" s="38"/>
      <c r="B845" s="38"/>
      <c r="C845" s="8"/>
      <c r="D845" s="8"/>
      <c r="E845" s="8"/>
      <c r="F845" s="8"/>
      <c r="G845" s="8"/>
      <c r="H845" s="8"/>
      <c r="I845" s="8"/>
      <c r="J845" s="8"/>
      <c r="K845" s="8"/>
      <c r="L845" s="8"/>
      <c r="M845" s="8"/>
      <c r="N845" s="8"/>
      <c r="O845" s="8"/>
      <c r="P845" s="8"/>
      <c r="Q845" s="8"/>
      <c r="R845" s="79"/>
      <c r="S845" s="79"/>
      <c r="T845" s="79"/>
      <c r="U845" s="34"/>
      <c r="V845" s="34"/>
    </row>
    <row r="846" spans="1:22" ht="15" customHeight="1" x14ac:dyDescent="0.2">
      <c r="A846" s="38"/>
      <c r="B846" s="38"/>
      <c r="C846" s="8"/>
      <c r="D846" s="8"/>
      <c r="E846" s="8"/>
      <c r="F846" s="8"/>
      <c r="G846" s="8"/>
      <c r="H846" s="8"/>
      <c r="I846" s="8"/>
      <c r="J846" s="8"/>
      <c r="K846" s="8"/>
      <c r="L846" s="8"/>
      <c r="M846" s="8"/>
      <c r="N846" s="8"/>
      <c r="O846" s="8"/>
      <c r="P846" s="8"/>
      <c r="Q846" s="8"/>
      <c r="R846" s="79"/>
      <c r="S846" s="79"/>
      <c r="T846" s="79"/>
      <c r="U846" s="34"/>
      <c r="V846" s="34"/>
    </row>
    <row r="847" spans="1:22" ht="15" customHeight="1" x14ac:dyDescent="0.2">
      <c r="A847" s="38"/>
      <c r="B847" s="38"/>
      <c r="C847" s="8"/>
      <c r="D847" s="8"/>
      <c r="E847" s="8"/>
      <c r="F847" s="8"/>
      <c r="G847" s="8"/>
      <c r="H847" s="8"/>
      <c r="I847" s="8"/>
      <c r="J847" s="8"/>
      <c r="K847" s="8"/>
      <c r="L847" s="8"/>
      <c r="M847" s="8"/>
      <c r="N847" s="8"/>
      <c r="O847" s="8"/>
      <c r="P847" s="8"/>
      <c r="Q847" s="8"/>
      <c r="R847" s="79"/>
      <c r="S847" s="79"/>
      <c r="T847" s="79"/>
      <c r="U847" s="34"/>
      <c r="V847" s="34"/>
    </row>
    <row r="848" spans="1:22" ht="15" customHeight="1" x14ac:dyDescent="0.2">
      <c r="A848" s="38"/>
      <c r="B848" s="38"/>
      <c r="C848" s="8"/>
      <c r="D848" s="8"/>
      <c r="E848" s="8"/>
      <c r="F848" s="8"/>
      <c r="G848" s="8"/>
      <c r="H848" s="8"/>
      <c r="I848" s="8"/>
      <c r="J848" s="8"/>
      <c r="K848" s="8"/>
      <c r="L848" s="8"/>
      <c r="M848" s="8"/>
      <c r="N848" s="8"/>
      <c r="O848" s="8"/>
      <c r="P848" s="8"/>
      <c r="Q848" s="8"/>
      <c r="R848" s="79"/>
      <c r="S848" s="79"/>
      <c r="T848" s="79"/>
      <c r="U848" s="34"/>
      <c r="V848" s="34"/>
    </row>
    <row r="849" spans="1:22" ht="15" customHeight="1" x14ac:dyDescent="0.2">
      <c r="A849" s="38"/>
      <c r="B849" s="38"/>
      <c r="C849" s="8"/>
      <c r="D849" s="8"/>
      <c r="E849" s="8"/>
      <c r="F849" s="8"/>
      <c r="G849" s="8"/>
      <c r="H849" s="8"/>
      <c r="I849" s="8"/>
      <c r="J849" s="8"/>
      <c r="K849" s="8"/>
      <c r="L849" s="8"/>
      <c r="M849" s="8"/>
      <c r="N849" s="8"/>
      <c r="O849" s="8"/>
      <c r="P849" s="8"/>
      <c r="Q849" s="8"/>
      <c r="R849" s="79"/>
      <c r="S849" s="79"/>
      <c r="T849" s="79"/>
      <c r="U849" s="34"/>
      <c r="V849" s="34"/>
    </row>
    <row r="850" spans="1:22" ht="15" customHeight="1" x14ac:dyDescent="0.2">
      <c r="A850" s="38"/>
      <c r="B850" s="38"/>
      <c r="C850" s="8"/>
      <c r="D850" s="8"/>
      <c r="E850" s="8"/>
      <c r="F850" s="8"/>
      <c r="G850" s="8"/>
      <c r="H850" s="8"/>
      <c r="I850" s="8"/>
      <c r="J850" s="8"/>
      <c r="K850" s="8"/>
      <c r="L850" s="8"/>
      <c r="M850" s="8"/>
      <c r="N850" s="8"/>
      <c r="O850" s="8"/>
      <c r="P850" s="8"/>
      <c r="Q850" s="8"/>
      <c r="R850" s="79"/>
      <c r="S850" s="79"/>
      <c r="T850" s="79"/>
      <c r="U850" s="34"/>
      <c r="V850" s="34"/>
    </row>
    <row r="851" spans="1:22" ht="15" customHeight="1" x14ac:dyDescent="0.2">
      <c r="A851" s="38"/>
      <c r="B851" s="38"/>
      <c r="C851" s="8"/>
      <c r="D851" s="8"/>
      <c r="E851" s="8"/>
      <c r="F851" s="8"/>
      <c r="G851" s="8"/>
      <c r="H851" s="8"/>
      <c r="I851" s="8"/>
      <c r="J851" s="8"/>
      <c r="K851" s="8"/>
      <c r="L851" s="8"/>
      <c r="M851" s="8"/>
      <c r="N851" s="8"/>
      <c r="O851" s="8"/>
      <c r="P851" s="8"/>
      <c r="Q851" s="8"/>
      <c r="R851" s="79"/>
      <c r="S851" s="79"/>
      <c r="T851" s="79"/>
      <c r="U851" s="34"/>
      <c r="V851" s="34"/>
    </row>
    <row r="852" spans="1:22" ht="15" customHeight="1" x14ac:dyDescent="0.2">
      <c r="A852" s="38"/>
      <c r="B852" s="38"/>
      <c r="C852" s="8"/>
      <c r="D852" s="8"/>
      <c r="E852" s="8"/>
      <c r="F852" s="8"/>
      <c r="G852" s="8"/>
      <c r="H852" s="8"/>
      <c r="I852" s="8"/>
      <c r="J852" s="8"/>
      <c r="K852" s="8"/>
      <c r="L852" s="8"/>
      <c r="M852" s="8"/>
      <c r="N852" s="8"/>
      <c r="O852" s="8"/>
      <c r="P852" s="8"/>
      <c r="Q852" s="8"/>
      <c r="R852" s="79"/>
      <c r="S852" s="79"/>
      <c r="T852" s="79"/>
      <c r="U852" s="34"/>
      <c r="V852" s="34"/>
    </row>
    <row r="853" spans="1:22" ht="15" customHeight="1" x14ac:dyDescent="0.2">
      <c r="A853" s="38"/>
      <c r="B853" s="38"/>
      <c r="C853" s="8"/>
      <c r="D853" s="8"/>
      <c r="E853" s="8"/>
      <c r="F853" s="8"/>
      <c r="G853" s="8"/>
      <c r="H853" s="8"/>
      <c r="I853" s="8"/>
      <c r="J853" s="8"/>
      <c r="K853" s="8"/>
      <c r="L853" s="8"/>
      <c r="M853" s="8"/>
      <c r="N853" s="8"/>
      <c r="O853" s="8"/>
      <c r="P853" s="8"/>
      <c r="Q853" s="8"/>
      <c r="R853" s="79"/>
      <c r="S853" s="79"/>
      <c r="T853" s="79"/>
      <c r="U853" s="34"/>
      <c r="V853" s="34"/>
    </row>
    <row r="854" spans="1:22" ht="15" customHeight="1" x14ac:dyDescent="0.2">
      <c r="A854" s="38"/>
      <c r="B854" s="38"/>
      <c r="C854" s="8"/>
      <c r="D854" s="8"/>
      <c r="E854" s="8"/>
      <c r="F854" s="8"/>
      <c r="G854" s="8"/>
      <c r="H854" s="8"/>
      <c r="I854" s="8"/>
      <c r="J854" s="8"/>
      <c r="K854" s="8"/>
      <c r="L854" s="8"/>
      <c r="M854" s="8"/>
      <c r="N854" s="8"/>
      <c r="O854" s="8"/>
      <c r="P854" s="8"/>
      <c r="Q854" s="8"/>
      <c r="R854" s="79"/>
      <c r="S854" s="79"/>
      <c r="T854" s="79"/>
      <c r="U854" s="34"/>
      <c r="V854" s="34"/>
    </row>
    <row r="855" spans="1:22" ht="15" customHeight="1" x14ac:dyDescent="0.2">
      <c r="A855" s="38"/>
      <c r="B855" s="38"/>
      <c r="C855" s="8"/>
      <c r="D855" s="8"/>
      <c r="E855" s="8"/>
      <c r="F855" s="8"/>
      <c r="G855" s="8"/>
      <c r="H855" s="8"/>
      <c r="I855" s="8"/>
      <c r="J855" s="8"/>
      <c r="K855" s="8"/>
      <c r="L855" s="8"/>
      <c r="M855" s="8"/>
      <c r="N855" s="8"/>
      <c r="O855" s="8"/>
      <c r="P855" s="8"/>
      <c r="Q855" s="8"/>
      <c r="R855" s="79"/>
      <c r="S855" s="79"/>
      <c r="T855" s="79"/>
      <c r="U855" s="34"/>
      <c r="V855" s="34"/>
    </row>
    <row r="856" spans="1:22" ht="15" customHeight="1" x14ac:dyDescent="0.2">
      <c r="A856" s="38"/>
      <c r="B856" s="38"/>
      <c r="C856" s="8"/>
      <c r="D856" s="8"/>
      <c r="E856" s="8"/>
      <c r="F856" s="8"/>
      <c r="G856" s="8"/>
      <c r="H856" s="8"/>
      <c r="I856" s="8"/>
      <c r="J856" s="8"/>
      <c r="K856" s="8"/>
      <c r="L856" s="8"/>
      <c r="M856" s="8"/>
      <c r="N856" s="8"/>
      <c r="O856" s="8"/>
      <c r="P856" s="8"/>
      <c r="Q856" s="8"/>
      <c r="R856" s="79"/>
      <c r="S856" s="79"/>
      <c r="T856" s="79"/>
      <c r="U856" s="34"/>
      <c r="V856" s="34"/>
    </row>
    <row r="857" spans="1:22" ht="15" customHeight="1" x14ac:dyDescent="0.2">
      <c r="A857" s="38"/>
      <c r="B857" s="38"/>
      <c r="C857" s="8"/>
      <c r="D857" s="8"/>
      <c r="E857" s="8"/>
      <c r="F857" s="8"/>
      <c r="G857" s="8"/>
      <c r="H857" s="8"/>
      <c r="I857" s="8"/>
      <c r="J857" s="8"/>
      <c r="K857" s="8"/>
      <c r="L857" s="8"/>
      <c r="M857" s="8"/>
      <c r="N857" s="8"/>
      <c r="O857" s="8"/>
      <c r="P857" s="8"/>
      <c r="Q857" s="8"/>
      <c r="R857" s="79"/>
      <c r="S857" s="79"/>
      <c r="T857" s="79"/>
      <c r="U857" s="34"/>
      <c r="V857" s="34"/>
    </row>
    <row r="858" spans="1:22" ht="15" customHeight="1" x14ac:dyDescent="0.2">
      <c r="A858" s="38"/>
      <c r="B858" s="38"/>
      <c r="C858" s="8"/>
      <c r="D858" s="8"/>
      <c r="E858" s="8"/>
      <c r="F858" s="8"/>
      <c r="G858" s="8"/>
      <c r="H858" s="8"/>
      <c r="I858" s="8"/>
      <c r="J858" s="8"/>
      <c r="K858" s="8"/>
      <c r="L858" s="8"/>
      <c r="M858" s="8"/>
      <c r="N858" s="8"/>
      <c r="O858" s="8"/>
      <c r="P858" s="8"/>
      <c r="Q858" s="8"/>
      <c r="R858" s="79"/>
      <c r="S858" s="79"/>
      <c r="T858" s="79"/>
      <c r="U858" s="34"/>
      <c r="V858" s="34"/>
    </row>
    <row r="859" spans="1:22" ht="15" customHeight="1" x14ac:dyDescent="0.2">
      <c r="A859" s="38"/>
      <c r="B859" s="38"/>
      <c r="C859" s="8"/>
      <c r="D859" s="8"/>
      <c r="E859" s="8"/>
      <c r="F859" s="8"/>
      <c r="G859" s="8"/>
      <c r="H859" s="8"/>
      <c r="I859" s="8"/>
      <c r="J859" s="8"/>
      <c r="K859" s="8"/>
      <c r="L859" s="8"/>
      <c r="M859" s="8"/>
      <c r="N859" s="8"/>
      <c r="O859" s="8"/>
      <c r="P859" s="8"/>
      <c r="Q859" s="8"/>
      <c r="R859" s="79"/>
      <c r="S859" s="79"/>
      <c r="T859" s="79"/>
      <c r="U859" s="34"/>
      <c r="V859" s="34"/>
    </row>
    <row r="860" spans="1:22" ht="15" customHeight="1" x14ac:dyDescent="0.2">
      <c r="A860" s="38"/>
      <c r="B860" s="38"/>
      <c r="C860" s="8"/>
      <c r="D860" s="8"/>
      <c r="E860" s="8"/>
      <c r="F860" s="8"/>
      <c r="G860" s="8"/>
      <c r="H860" s="8"/>
      <c r="I860" s="8"/>
      <c r="J860" s="8"/>
      <c r="K860" s="8"/>
      <c r="L860" s="8"/>
      <c r="M860" s="8"/>
      <c r="N860" s="8"/>
      <c r="O860" s="8"/>
      <c r="P860" s="8"/>
      <c r="Q860" s="8"/>
      <c r="R860" s="79"/>
      <c r="S860" s="79"/>
      <c r="T860" s="79"/>
      <c r="U860" s="34"/>
      <c r="V860" s="34"/>
    </row>
    <row r="861" spans="1:22" ht="15" customHeight="1" x14ac:dyDescent="0.2">
      <c r="A861" s="38"/>
      <c r="B861" s="38"/>
      <c r="C861" s="8"/>
      <c r="D861" s="8"/>
      <c r="E861" s="8"/>
      <c r="F861" s="8"/>
      <c r="G861" s="8"/>
      <c r="H861" s="8"/>
      <c r="I861" s="8"/>
      <c r="J861" s="8"/>
      <c r="K861" s="8"/>
      <c r="L861" s="8"/>
      <c r="M861" s="8"/>
      <c r="N861" s="8"/>
      <c r="O861" s="8"/>
      <c r="P861" s="8"/>
      <c r="Q861" s="8"/>
      <c r="R861" s="79"/>
      <c r="S861" s="79"/>
      <c r="T861" s="79"/>
      <c r="U861" s="34"/>
      <c r="V861" s="34"/>
    </row>
    <row r="862" spans="1:22" ht="15" customHeight="1" x14ac:dyDescent="0.2">
      <c r="A862" s="38"/>
      <c r="B862" s="38"/>
      <c r="C862" s="8"/>
      <c r="D862" s="8"/>
      <c r="E862" s="8"/>
      <c r="F862" s="8"/>
      <c r="G862" s="8"/>
      <c r="H862" s="8"/>
      <c r="I862" s="8"/>
      <c r="J862" s="8"/>
      <c r="K862" s="8"/>
      <c r="L862" s="8"/>
      <c r="M862" s="8"/>
      <c r="N862" s="8"/>
      <c r="O862" s="8"/>
      <c r="P862" s="8"/>
      <c r="Q862" s="8"/>
      <c r="R862" s="79"/>
      <c r="S862" s="79"/>
      <c r="T862" s="79"/>
      <c r="U862" s="34"/>
      <c r="V862" s="34"/>
    </row>
    <row r="863" spans="1:22" ht="15" customHeight="1" x14ac:dyDescent="0.2">
      <c r="A863" s="38"/>
      <c r="B863" s="38"/>
      <c r="C863" s="8"/>
      <c r="D863" s="8"/>
      <c r="E863" s="8"/>
      <c r="F863" s="8"/>
      <c r="G863" s="8"/>
      <c r="H863" s="8"/>
      <c r="I863" s="8"/>
      <c r="J863" s="8"/>
      <c r="K863" s="8"/>
      <c r="L863" s="8"/>
      <c r="M863" s="8"/>
      <c r="N863" s="8"/>
      <c r="O863" s="8"/>
      <c r="P863" s="8"/>
      <c r="Q863" s="8"/>
      <c r="R863" s="79"/>
      <c r="S863" s="79"/>
      <c r="T863" s="79"/>
      <c r="U863" s="34"/>
      <c r="V863" s="34"/>
    </row>
    <row r="864" spans="1:22" ht="15" customHeight="1" x14ac:dyDescent="0.2">
      <c r="A864" s="38"/>
      <c r="B864" s="38"/>
      <c r="C864" s="8"/>
      <c r="D864" s="8"/>
      <c r="E864" s="8"/>
      <c r="F864" s="8"/>
      <c r="G864" s="8"/>
      <c r="H864" s="8"/>
      <c r="I864" s="8"/>
      <c r="J864" s="8"/>
      <c r="K864" s="8"/>
      <c r="L864" s="8"/>
      <c r="M864" s="8"/>
      <c r="N864" s="8"/>
      <c r="O864" s="8"/>
      <c r="P864" s="8"/>
      <c r="Q864" s="8"/>
      <c r="R864" s="79"/>
      <c r="S864" s="79"/>
      <c r="T864" s="79"/>
      <c r="U864" s="34"/>
      <c r="V864" s="34"/>
    </row>
    <row r="865" spans="1:22" ht="15" customHeight="1" x14ac:dyDescent="0.2">
      <c r="A865" s="38"/>
      <c r="B865" s="38"/>
      <c r="C865" s="8"/>
      <c r="D865" s="8"/>
      <c r="E865" s="8"/>
      <c r="F865" s="8"/>
      <c r="G865" s="8"/>
      <c r="H865" s="8"/>
      <c r="I865" s="8"/>
      <c r="J865" s="8"/>
      <c r="K865" s="8"/>
      <c r="L865" s="8"/>
      <c r="M865" s="8"/>
      <c r="N865" s="8"/>
      <c r="O865" s="8"/>
      <c r="P865" s="8"/>
      <c r="Q865" s="8"/>
      <c r="R865" s="79"/>
      <c r="S865" s="79"/>
      <c r="T865" s="79"/>
      <c r="U865" s="34"/>
      <c r="V865" s="34"/>
    </row>
    <row r="866" spans="1:22" ht="15" customHeight="1" x14ac:dyDescent="0.2">
      <c r="A866" s="38"/>
      <c r="B866" s="38"/>
      <c r="C866" s="8"/>
      <c r="D866" s="8"/>
      <c r="E866" s="8"/>
      <c r="F866" s="8"/>
      <c r="G866" s="8"/>
      <c r="H866" s="8"/>
      <c r="I866" s="8"/>
      <c r="J866" s="8"/>
      <c r="K866" s="8"/>
      <c r="L866" s="8"/>
      <c r="M866" s="8"/>
      <c r="N866" s="8"/>
      <c r="O866" s="8"/>
      <c r="P866" s="8"/>
      <c r="Q866" s="8"/>
      <c r="R866" s="79"/>
      <c r="S866" s="79"/>
      <c r="T866" s="79"/>
      <c r="U866" s="34"/>
      <c r="V866" s="34"/>
    </row>
    <row r="867" spans="1:22" ht="15" customHeight="1" x14ac:dyDescent="0.2">
      <c r="A867" s="38"/>
      <c r="B867" s="38"/>
      <c r="C867" s="8"/>
      <c r="D867" s="8"/>
      <c r="E867" s="8"/>
      <c r="F867" s="8"/>
      <c r="G867" s="8"/>
      <c r="H867" s="8"/>
      <c r="I867" s="8"/>
      <c r="J867" s="8"/>
      <c r="K867" s="8"/>
      <c r="L867" s="8"/>
      <c r="M867" s="8"/>
      <c r="N867" s="8"/>
      <c r="O867" s="8"/>
      <c r="P867" s="8"/>
      <c r="Q867" s="8"/>
      <c r="R867" s="79"/>
      <c r="S867" s="79"/>
      <c r="T867" s="79"/>
      <c r="U867" s="34"/>
      <c r="V867" s="34"/>
    </row>
    <row r="868" spans="1:22" ht="15" customHeight="1" x14ac:dyDescent="0.2">
      <c r="A868" s="38"/>
      <c r="B868" s="38"/>
      <c r="C868" s="8"/>
      <c r="D868" s="8"/>
      <c r="E868" s="8"/>
      <c r="F868" s="8"/>
      <c r="G868" s="8"/>
      <c r="H868" s="8"/>
      <c r="I868" s="8"/>
      <c r="J868" s="8"/>
      <c r="K868" s="8"/>
      <c r="L868" s="8"/>
      <c r="M868" s="8"/>
      <c r="N868" s="8"/>
      <c r="O868" s="8"/>
      <c r="P868" s="8"/>
      <c r="Q868" s="8"/>
      <c r="R868" s="79"/>
      <c r="S868" s="79"/>
      <c r="T868" s="79"/>
      <c r="U868" s="34"/>
      <c r="V868" s="34"/>
    </row>
    <row r="869" spans="1:22" ht="15" customHeight="1" x14ac:dyDescent="0.2">
      <c r="A869" s="38"/>
      <c r="B869" s="38"/>
      <c r="C869" s="8"/>
      <c r="D869" s="8"/>
      <c r="E869" s="8"/>
      <c r="F869" s="8"/>
      <c r="G869" s="8"/>
      <c r="H869" s="8"/>
      <c r="I869" s="8"/>
      <c r="J869" s="8"/>
      <c r="K869" s="8"/>
      <c r="L869" s="8"/>
      <c r="M869" s="8"/>
      <c r="N869" s="8"/>
      <c r="O869" s="8"/>
      <c r="P869" s="8"/>
      <c r="Q869" s="8"/>
      <c r="R869" s="79"/>
      <c r="S869" s="79"/>
      <c r="T869" s="79"/>
      <c r="U869" s="34"/>
      <c r="V869" s="34"/>
    </row>
    <row r="870" spans="1:22" ht="15" customHeight="1" x14ac:dyDescent="0.2">
      <c r="A870" s="38"/>
      <c r="B870" s="38"/>
      <c r="C870" s="8"/>
      <c r="D870" s="8"/>
      <c r="E870" s="8"/>
      <c r="F870" s="8"/>
      <c r="G870" s="8"/>
      <c r="H870" s="8"/>
      <c r="I870" s="8"/>
      <c r="J870" s="8"/>
      <c r="K870" s="8"/>
      <c r="L870" s="8"/>
      <c r="M870" s="8"/>
      <c r="N870" s="8"/>
      <c r="O870" s="8"/>
      <c r="P870" s="8"/>
      <c r="Q870" s="8"/>
      <c r="R870" s="79"/>
      <c r="S870" s="79"/>
      <c r="T870" s="79"/>
      <c r="U870" s="34"/>
      <c r="V870" s="34"/>
    </row>
    <row r="871" spans="1:22" ht="15" customHeight="1" x14ac:dyDescent="0.2">
      <c r="A871" s="38"/>
      <c r="B871" s="38"/>
      <c r="C871" s="8"/>
      <c r="D871" s="8"/>
      <c r="E871" s="8"/>
      <c r="F871" s="8"/>
      <c r="G871" s="8"/>
      <c r="H871" s="8"/>
      <c r="I871" s="8"/>
      <c r="J871" s="8"/>
      <c r="K871" s="8"/>
      <c r="L871" s="8"/>
      <c r="M871" s="8"/>
      <c r="N871" s="8"/>
      <c r="O871" s="8"/>
      <c r="P871" s="8"/>
      <c r="Q871" s="8"/>
      <c r="R871" s="79"/>
      <c r="S871" s="79"/>
      <c r="T871" s="79"/>
      <c r="U871" s="34"/>
      <c r="V871" s="34"/>
    </row>
    <row r="872" spans="1:22" ht="15" customHeight="1" x14ac:dyDescent="0.2">
      <c r="A872" s="38"/>
      <c r="B872" s="38"/>
      <c r="C872" s="8"/>
      <c r="D872" s="8"/>
      <c r="E872" s="8"/>
      <c r="F872" s="8"/>
      <c r="G872" s="8"/>
      <c r="H872" s="8"/>
      <c r="I872" s="8"/>
      <c r="J872" s="8"/>
      <c r="K872" s="8"/>
      <c r="L872" s="8"/>
      <c r="M872" s="8"/>
      <c r="N872" s="8"/>
      <c r="O872" s="8"/>
      <c r="P872" s="8"/>
      <c r="Q872" s="8"/>
      <c r="R872" s="79"/>
      <c r="S872" s="79"/>
      <c r="T872" s="79"/>
      <c r="U872" s="34"/>
      <c r="V872" s="34"/>
    </row>
    <row r="873" spans="1:22" ht="15" customHeight="1" x14ac:dyDescent="0.2">
      <c r="A873" s="38"/>
      <c r="B873" s="38"/>
      <c r="C873" s="8"/>
      <c r="D873" s="8"/>
      <c r="E873" s="8"/>
      <c r="F873" s="8"/>
      <c r="G873" s="8"/>
      <c r="H873" s="8"/>
      <c r="I873" s="8"/>
      <c r="J873" s="8"/>
      <c r="K873" s="8"/>
      <c r="L873" s="8"/>
      <c r="M873" s="8"/>
      <c r="N873" s="8"/>
      <c r="O873" s="8"/>
      <c r="P873" s="8"/>
      <c r="Q873" s="8"/>
      <c r="R873" s="79"/>
      <c r="S873" s="79"/>
      <c r="T873" s="79"/>
      <c r="U873" s="34"/>
      <c r="V873" s="34"/>
    </row>
    <row r="874" spans="1:22" ht="15" customHeight="1" x14ac:dyDescent="0.2">
      <c r="A874" s="38"/>
      <c r="B874" s="38"/>
      <c r="C874" s="8"/>
      <c r="D874" s="8"/>
      <c r="E874" s="8"/>
      <c r="F874" s="8"/>
      <c r="G874" s="8"/>
      <c r="H874" s="8"/>
      <c r="I874" s="8"/>
      <c r="J874" s="8"/>
      <c r="K874" s="8"/>
      <c r="L874" s="8"/>
      <c r="M874" s="8"/>
      <c r="N874" s="8"/>
      <c r="O874" s="8"/>
      <c r="P874" s="8"/>
      <c r="Q874" s="8"/>
      <c r="R874" s="79"/>
      <c r="S874" s="79"/>
      <c r="T874" s="79"/>
      <c r="U874" s="34"/>
      <c r="V874" s="34"/>
    </row>
    <row r="875" spans="1:22" ht="15" customHeight="1" x14ac:dyDescent="0.2">
      <c r="A875" s="38"/>
      <c r="B875" s="38"/>
      <c r="C875" s="8"/>
      <c r="D875" s="8"/>
      <c r="E875" s="8"/>
      <c r="F875" s="8"/>
      <c r="G875" s="8"/>
      <c r="H875" s="8"/>
      <c r="I875" s="8"/>
      <c r="J875" s="8"/>
      <c r="K875" s="8"/>
      <c r="L875" s="8"/>
      <c r="M875" s="8"/>
      <c r="N875" s="8"/>
      <c r="O875" s="8"/>
      <c r="P875" s="8"/>
      <c r="Q875" s="8"/>
      <c r="R875" s="79"/>
      <c r="S875" s="79"/>
      <c r="T875" s="79"/>
      <c r="U875" s="34"/>
      <c r="V875" s="34"/>
    </row>
    <row r="876" spans="1:22" ht="15" customHeight="1" x14ac:dyDescent="0.2">
      <c r="A876" s="38"/>
      <c r="B876" s="38"/>
      <c r="C876" s="8"/>
      <c r="D876" s="8"/>
      <c r="E876" s="8"/>
      <c r="F876" s="8"/>
      <c r="G876" s="8"/>
      <c r="H876" s="8"/>
      <c r="I876" s="8"/>
      <c r="J876" s="8"/>
      <c r="K876" s="8"/>
      <c r="L876" s="8"/>
      <c r="M876" s="8"/>
      <c r="N876" s="8"/>
      <c r="O876" s="8"/>
      <c r="P876" s="8"/>
      <c r="Q876" s="8"/>
      <c r="R876" s="79"/>
      <c r="S876" s="79"/>
      <c r="T876" s="79"/>
      <c r="U876" s="34"/>
      <c r="V876" s="34"/>
    </row>
    <row r="877" spans="1:22" ht="15" customHeight="1" x14ac:dyDescent="0.2">
      <c r="A877" s="38"/>
      <c r="B877" s="38"/>
      <c r="C877" s="8"/>
      <c r="D877" s="8"/>
      <c r="E877" s="8"/>
      <c r="F877" s="8"/>
      <c r="G877" s="8"/>
      <c r="H877" s="8"/>
      <c r="I877" s="8"/>
      <c r="J877" s="8"/>
      <c r="K877" s="8"/>
      <c r="L877" s="8"/>
      <c r="M877" s="8"/>
      <c r="N877" s="8"/>
      <c r="O877" s="8"/>
      <c r="P877" s="8"/>
      <c r="Q877" s="8"/>
      <c r="R877" s="79"/>
      <c r="S877" s="79"/>
      <c r="T877" s="79"/>
      <c r="U877" s="34"/>
      <c r="V877" s="34"/>
    </row>
    <row r="878" spans="1:22" ht="15" customHeight="1" x14ac:dyDescent="0.2">
      <c r="A878" s="38"/>
      <c r="B878" s="38"/>
      <c r="C878" s="8"/>
      <c r="D878" s="8"/>
      <c r="E878" s="8"/>
      <c r="F878" s="8"/>
      <c r="G878" s="8"/>
      <c r="H878" s="8"/>
      <c r="I878" s="8"/>
      <c r="J878" s="8"/>
      <c r="K878" s="8"/>
      <c r="L878" s="8"/>
      <c r="M878" s="8"/>
      <c r="N878" s="8"/>
      <c r="O878" s="8"/>
      <c r="P878" s="8"/>
      <c r="Q878" s="8"/>
      <c r="R878" s="79"/>
      <c r="S878" s="79"/>
      <c r="T878" s="79"/>
      <c r="U878" s="34"/>
      <c r="V878" s="34"/>
    </row>
    <row r="879" spans="1:22" ht="15" customHeight="1" x14ac:dyDescent="0.2">
      <c r="A879" s="38"/>
      <c r="B879" s="38"/>
      <c r="C879" s="8"/>
      <c r="D879" s="8"/>
      <c r="E879" s="8"/>
      <c r="F879" s="8"/>
      <c r="G879" s="8"/>
      <c r="H879" s="8"/>
      <c r="I879" s="8"/>
      <c r="J879" s="8"/>
      <c r="K879" s="8"/>
      <c r="L879" s="8"/>
      <c r="M879" s="8"/>
      <c r="N879" s="8"/>
      <c r="O879" s="8"/>
      <c r="P879" s="8"/>
      <c r="Q879" s="8"/>
      <c r="R879" s="79"/>
      <c r="S879" s="79"/>
      <c r="T879" s="79"/>
      <c r="U879" s="34"/>
      <c r="V879" s="34"/>
    </row>
    <row r="880" spans="1:22" ht="15" customHeight="1" x14ac:dyDescent="0.2">
      <c r="A880" s="38"/>
      <c r="B880" s="38"/>
      <c r="C880" s="8"/>
      <c r="D880" s="8"/>
      <c r="E880" s="8"/>
      <c r="F880" s="8"/>
      <c r="G880" s="8"/>
      <c r="H880" s="8"/>
      <c r="I880" s="8"/>
      <c r="J880" s="8"/>
      <c r="K880" s="8"/>
      <c r="L880" s="8"/>
      <c r="M880" s="8"/>
      <c r="N880" s="8"/>
      <c r="O880" s="8"/>
      <c r="P880" s="8"/>
      <c r="Q880" s="8"/>
      <c r="R880" s="79"/>
      <c r="S880" s="79"/>
      <c r="T880" s="79"/>
      <c r="U880" s="34"/>
      <c r="V880" s="34"/>
    </row>
    <row r="881" spans="1:22" ht="15" customHeight="1" x14ac:dyDescent="0.2">
      <c r="A881" s="38"/>
      <c r="B881" s="38"/>
      <c r="C881" s="8"/>
      <c r="D881" s="8"/>
      <c r="E881" s="8"/>
      <c r="F881" s="8"/>
      <c r="G881" s="8"/>
      <c r="H881" s="8"/>
      <c r="I881" s="8"/>
      <c r="J881" s="8"/>
      <c r="K881" s="8"/>
      <c r="L881" s="8"/>
      <c r="M881" s="8"/>
      <c r="N881" s="8"/>
      <c r="O881" s="8"/>
      <c r="P881" s="8"/>
      <c r="Q881" s="8"/>
      <c r="R881" s="79"/>
      <c r="S881" s="79"/>
      <c r="T881" s="79"/>
      <c r="U881" s="34"/>
      <c r="V881" s="34"/>
    </row>
    <row r="882" spans="1:22" ht="15" customHeight="1" x14ac:dyDescent="0.2">
      <c r="A882" s="38"/>
      <c r="B882" s="38"/>
      <c r="C882" s="8"/>
      <c r="D882" s="8"/>
      <c r="E882" s="8"/>
      <c r="F882" s="8"/>
      <c r="G882" s="8"/>
      <c r="H882" s="8"/>
      <c r="I882" s="8"/>
      <c r="J882" s="8"/>
      <c r="K882" s="8"/>
      <c r="L882" s="8"/>
      <c r="M882" s="8"/>
      <c r="N882" s="8"/>
      <c r="O882" s="8"/>
      <c r="P882" s="8"/>
      <c r="Q882" s="8"/>
      <c r="R882" s="79"/>
      <c r="S882" s="79"/>
      <c r="T882" s="79"/>
      <c r="U882" s="34"/>
      <c r="V882" s="34"/>
    </row>
    <row r="883" spans="1:22" ht="15" customHeight="1" x14ac:dyDescent="0.2">
      <c r="A883" s="38"/>
      <c r="B883" s="38"/>
      <c r="C883" s="8"/>
      <c r="D883" s="8"/>
      <c r="E883" s="8"/>
      <c r="F883" s="8"/>
      <c r="G883" s="8"/>
      <c r="H883" s="8"/>
      <c r="I883" s="8"/>
      <c r="J883" s="8"/>
      <c r="K883" s="8"/>
      <c r="L883" s="8"/>
      <c r="M883" s="8"/>
      <c r="N883" s="8"/>
      <c r="O883" s="8"/>
      <c r="P883" s="8"/>
      <c r="Q883" s="8"/>
      <c r="R883" s="79"/>
      <c r="S883" s="79"/>
      <c r="T883" s="79"/>
      <c r="U883" s="34"/>
      <c r="V883" s="34"/>
    </row>
    <row r="884" spans="1:22" ht="15" customHeight="1" x14ac:dyDescent="0.2">
      <c r="A884" s="38"/>
      <c r="B884" s="38"/>
      <c r="C884" s="8"/>
      <c r="D884" s="8"/>
      <c r="E884" s="8"/>
      <c r="F884" s="8"/>
      <c r="G884" s="8"/>
      <c r="H884" s="8"/>
      <c r="I884" s="8"/>
      <c r="J884" s="8"/>
      <c r="K884" s="8"/>
      <c r="L884" s="8"/>
      <c r="M884" s="8"/>
      <c r="N884" s="8"/>
      <c r="O884" s="8"/>
      <c r="P884" s="8"/>
      <c r="Q884" s="8"/>
      <c r="R884" s="79"/>
      <c r="S884" s="79"/>
      <c r="T884" s="79"/>
      <c r="U884" s="34"/>
      <c r="V884" s="34"/>
    </row>
    <row r="885" spans="1:22" ht="15" customHeight="1" x14ac:dyDescent="0.2">
      <c r="A885" s="38"/>
      <c r="B885" s="38"/>
      <c r="C885" s="8"/>
      <c r="D885" s="8"/>
      <c r="E885" s="8"/>
      <c r="F885" s="8"/>
      <c r="G885" s="8"/>
      <c r="H885" s="8"/>
      <c r="I885" s="8"/>
      <c r="J885" s="8"/>
      <c r="K885" s="8"/>
      <c r="L885" s="8"/>
      <c r="M885" s="8"/>
      <c r="N885" s="8"/>
      <c r="O885" s="8"/>
      <c r="P885" s="8"/>
      <c r="Q885" s="8"/>
      <c r="R885" s="79"/>
      <c r="S885" s="79"/>
      <c r="T885" s="79"/>
      <c r="U885" s="34"/>
      <c r="V885" s="34"/>
    </row>
    <row r="886" spans="1:22" ht="15" customHeight="1" x14ac:dyDescent="0.2">
      <c r="A886" s="38"/>
      <c r="B886" s="38"/>
      <c r="C886" s="8"/>
      <c r="D886" s="8"/>
      <c r="E886" s="8"/>
      <c r="F886" s="8"/>
      <c r="G886" s="8"/>
      <c r="H886" s="8"/>
      <c r="I886" s="8"/>
      <c r="J886" s="8"/>
      <c r="K886" s="8"/>
      <c r="L886" s="8"/>
      <c r="M886" s="8"/>
      <c r="N886" s="8"/>
      <c r="O886" s="8"/>
      <c r="P886" s="8"/>
      <c r="Q886" s="8"/>
      <c r="R886" s="79"/>
      <c r="S886" s="79"/>
      <c r="T886" s="79"/>
      <c r="U886" s="34"/>
      <c r="V886" s="34"/>
    </row>
    <row r="887" spans="1:22" ht="15" customHeight="1" x14ac:dyDescent="0.2">
      <c r="A887" s="38"/>
      <c r="B887" s="38"/>
      <c r="C887" s="8"/>
      <c r="D887" s="8"/>
      <c r="E887" s="8"/>
      <c r="F887" s="8"/>
      <c r="G887" s="8"/>
      <c r="H887" s="8"/>
      <c r="I887" s="8"/>
      <c r="J887" s="8"/>
      <c r="K887" s="8"/>
      <c r="L887" s="8"/>
      <c r="M887" s="8"/>
      <c r="N887" s="8"/>
      <c r="O887" s="8"/>
      <c r="P887" s="8"/>
      <c r="Q887" s="8"/>
      <c r="R887" s="79"/>
      <c r="S887" s="79"/>
      <c r="T887" s="79"/>
      <c r="U887" s="34"/>
      <c r="V887" s="34"/>
    </row>
    <row r="888" spans="1:22" ht="15" customHeight="1" x14ac:dyDescent="0.2">
      <c r="A888" s="38"/>
      <c r="B888" s="38"/>
      <c r="C888" s="8"/>
      <c r="D888" s="8"/>
      <c r="E888" s="8"/>
      <c r="F888" s="8"/>
      <c r="G888" s="8"/>
      <c r="H888" s="8"/>
      <c r="I888" s="8"/>
      <c r="J888" s="8"/>
      <c r="K888" s="8"/>
      <c r="L888" s="8"/>
      <c r="M888" s="8"/>
      <c r="N888" s="8"/>
      <c r="O888" s="8"/>
      <c r="P888" s="8"/>
      <c r="Q888" s="8"/>
      <c r="R888" s="79"/>
      <c r="S888" s="79"/>
      <c r="T888" s="79"/>
      <c r="U888" s="34"/>
      <c r="V888" s="34"/>
    </row>
    <row r="889" spans="1:22" ht="15" customHeight="1" x14ac:dyDescent="0.2">
      <c r="A889" s="38"/>
      <c r="B889" s="38"/>
      <c r="C889" s="8"/>
      <c r="D889" s="8"/>
      <c r="E889" s="8"/>
      <c r="F889" s="8"/>
      <c r="G889" s="8"/>
      <c r="H889" s="8"/>
      <c r="I889" s="8"/>
      <c r="J889" s="8"/>
      <c r="K889" s="8"/>
      <c r="L889" s="8"/>
      <c r="M889" s="8"/>
      <c r="N889" s="8"/>
      <c r="O889" s="8"/>
      <c r="P889" s="8"/>
      <c r="Q889" s="8"/>
      <c r="R889" s="79"/>
      <c r="S889" s="79"/>
      <c r="T889" s="79"/>
      <c r="U889" s="34"/>
      <c r="V889" s="34"/>
    </row>
    <row r="890" spans="1:22" ht="15" customHeight="1" x14ac:dyDescent="0.2">
      <c r="A890" s="38"/>
      <c r="B890" s="38"/>
      <c r="C890" s="8"/>
      <c r="D890" s="8"/>
      <c r="E890" s="8"/>
      <c r="F890" s="8"/>
      <c r="G890" s="8"/>
      <c r="H890" s="8"/>
      <c r="I890" s="8"/>
      <c r="J890" s="8"/>
      <c r="K890" s="8"/>
      <c r="L890" s="8"/>
      <c r="M890" s="8"/>
      <c r="N890" s="8"/>
      <c r="O890" s="8"/>
      <c r="P890" s="8"/>
      <c r="Q890" s="8"/>
      <c r="R890" s="79"/>
      <c r="S890" s="79"/>
      <c r="T890" s="79"/>
      <c r="U890" s="34"/>
      <c r="V890" s="34"/>
    </row>
    <row r="891" spans="1:22" ht="15" customHeight="1" x14ac:dyDescent="0.2">
      <c r="A891" s="38"/>
      <c r="B891" s="38"/>
      <c r="C891" s="8"/>
      <c r="D891" s="8"/>
      <c r="E891" s="8"/>
      <c r="F891" s="8"/>
      <c r="G891" s="8"/>
      <c r="H891" s="8"/>
      <c r="I891" s="8"/>
      <c r="J891" s="8"/>
      <c r="K891" s="8"/>
      <c r="L891" s="8"/>
      <c r="M891" s="8"/>
      <c r="N891" s="8"/>
      <c r="O891" s="8"/>
      <c r="P891" s="8"/>
      <c r="Q891" s="8"/>
      <c r="R891" s="79"/>
      <c r="S891" s="79"/>
      <c r="T891" s="79"/>
      <c r="U891" s="34"/>
      <c r="V891" s="34"/>
    </row>
    <row r="892" spans="1:22" ht="15" customHeight="1" x14ac:dyDescent="0.2">
      <c r="A892" s="38"/>
      <c r="B892" s="38"/>
      <c r="C892" s="8"/>
      <c r="D892" s="8"/>
      <c r="E892" s="8"/>
      <c r="F892" s="8"/>
      <c r="G892" s="8"/>
      <c r="H892" s="8"/>
      <c r="I892" s="8"/>
      <c r="J892" s="8"/>
      <c r="K892" s="8"/>
      <c r="L892" s="8"/>
      <c r="M892" s="8"/>
      <c r="N892" s="8"/>
      <c r="O892" s="8"/>
      <c r="P892" s="8"/>
      <c r="Q892" s="8"/>
      <c r="R892" s="79"/>
      <c r="S892" s="79"/>
      <c r="T892" s="79"/>
      <c r="U892" s="34"/>
      <c r="V892" s="34"/>
    </row>
    <row r="893" spans="1:22" ht="15" customHeight="1" x14ac:dyDescent="0.2">
      <c r="A893" s="38"/>
      <c r="B893" s="38"/>
      <c r="C893" s="8"/>
      <c r="D893" s="8"/>
      <c r="E893" s="8"/>
      <c r="F893" s="8"/>
      <c r="G893" s="8"/>
      <c r="H893" s="8"/>
      <c r="I893" s="8"/>
      <c r="J893" s="8"/>
      <c r="K893" s="8"/>
      <c r="L893" s="8"/>
      <c r="M893" s="8"/>
      <c r="N893" s="8"/>
      <c r="O893" s="8"/>
      <c r="P893" s="8"/>
      <c r="Q893" s="8"/>
      <c r="R893" s="79"/>
      <c r="S893" s="79"/>
      <c r="T893" s="79"/>
      <c r="U893" s="34"/>
      <c r="V893" s="34"/>
    </row>
    <row r="894" spans="1:22" ht="15" customHeight="1" x14ac:dyDescent="0.2">
      <c r="A894" s="38"/>
      <c r="B894" s="38"/>
      <c r="C894" s="8"/>
      <c r="D894" s="8"/>
      <c r="E894" s="8"/>
      <c r="F894" s="8"/>
      <c r="G894" s="8"/>
      <c r="H894" s="8"/>
      <c r="I894" s="8"/>
      <c r="J894" s="8"/>
      <c r="K894" s="8"/>
      <c r="L894" s="8"/>
      <c r="M894" s="8"/>
      <c r="N894" s="8"/>
      <c r="O894" s="8"/>
      <c r="P894" s="8"/>
      <c r="Q894" s="8"/>
      <c r="R894" s="79"/>
      <c r="S894" s="79"/>
      <c r="T894" s="79"/>
      <c r="U894" s="34"/>
      <c r="V894" s="34"/>
    </row>
    <row r="895" spans="1:22" ht="15" customHeight="1" x14ac:dyDescent="0.2">
      <c r="A895" s="38"/>
      <c r="B895" s="38"/>
      <c r="C895" s="8"/>
      <c r="D895" s="8"/>
      <c r="E895" s="8"/>
      <c r="F895" s="8"/>
      <c r="G895" s="8"/>
      <c r="H895" s="8"/>
      <c r="I895" s="8"/>
      <c r="J895" s="8"/>
      <c r="K895" s="8"/>
      <c r="L895" s="8"/>
      <c r="M895" s="8"/>
      <c r="N895" s="8"/>
      <c r="O895" s="8"/>
      <c r="P895" s="8"/>
      <c r="Q895" s="8"/>
      <c r="R895" s="79"/>
      <c r="S895" s="79"/>
      <c r="T895" s="79"/>
      <c r="U895" s="34"/>
      <c r="V895" s="34"/>
    </row>
    <row r="896" spans="1:22" ht="15" customHeight="1" x14ac:dyDescent="0.2">
      <c r="A896" s="38"/>
      <c r="B896" s="38"/>
      <c r="C896" s="8"/>
      <c r="D896" s="8"/>
      <c r="E896" s="8"/>
      <c r="F896" s="8"/>
      <c r="G896" s="8"/>
      <c r="H896" s="8"/>
      <c r="I896" s="8"/>
      <c r="J896" s="8"/>
      <c r="K896" s="8"/>
      <c r="L896" s="8"/>
      <c r="M896" s="8"/>
      <c r="N896" s="8"/>
      <c r="O896" s="8"/>
      <c r="P896" s="8"/>
      <c r="Q896" s="8"/>
      <c r="R896" s="79"/>
      <c r="S896" s="79"/>
      <c r="T896" s="79"/>
      <c r="U896" s="34"/>
      <c r="V896" s="34"/>
    </row>
    <row r="897" spans="1:22" ht="15" customHeight="1" x14ac:dyDescent="0.2">
      <c r="A897" s="38"/>
      <c r="B897" s="38"/>
      <c r="C897" s="8"/>
      <c r="D897" s="8"/>
      <c r="E897" s="8"/>
      <c r="F897" s="8"/>
      <c r="G897" s="8"/>
      <c r="H897" s="8"/>
      <c r="I897" s="8"/>
      <c r="J897" s="8"/>
      <c r="K897" s="8"/>
      <c r="L897" s="8"/>
      <c r="M897" s="8"/>
      <c r="N897" s="8"/>
      <c r="O897" s="8"/>
      <c r="P897" s="8"/>
      <c r="Q897" s="8"/>
      <c r="R897" s="79"/>
      <c r="S897" s="79"/>
      <c r="T897" s="79"/>
      <c r="U897" s="34"/>
      <c r="V897" s="34"/>
    </row>
    <row r="898" spans="1:22" ht="15" customHeight="1" x14ac:dyDescent="0.2">
      <c r="A898" s="38"/>
      <c r="B898" s="38"/>
      <c r="C898" s="8"/>
      <c r="D898" s="8"/>
      <c r="E898" s="8"/>
      <c r="F898" s="8"/>
      <c r="G898" s="8"/>
      <c r="H898" s="8"/>
      <c r="I898" s="8"/>
      <c r="J898" s="8"/>
      <c r="K898" s="8"/>
      <c r="L898" s="8"/>
      <c r="M898" s="8"/>
      <c r="N898" s="8"/>
      <c r="O898" s="8"/>
      <c r="P898" s="8"/>
      <c r="Q898" s="8"/>
      <c r="R898" s="79"/>
      <c r="S898" s="79"/>
      <c r="T898" s="79"/>
      <c r="U898" s="34"/>
      <c r="V898" s="34"/>
    </row>
    <row r="899" spans="1:22" ht="15" customHeight="1" x14ac:dyDescent="0.2">
      <c r="A899" s="38"/>
      <c r="B899" s="38"/>
      <c r="C899" s="8"/>
      <c r="D899" s="8"/>
      <c r="E899" s="8"/>
      <c r="F899" s="8"/>
      <c r="G899" s="8"/>
      <c r="H899" s="8"/>
      <c r="I899" s="8"/>
      <c r="J899" s="8"/>
      <c r="K899" s="8"/>
      <c r="L899" s="8"/>
      <c r="M899" s="8"/>
      <c r="N899" s="8"/>
      <c r="O899" s="8"/>
      <c r="P899" s="8"/>
      <c r="Q899" s="8"/>
      <c r="R899" s="79"/>
      <c r="S899" s="79"/>
      <c r="T899" s="79"/>
      <c r="U899" s="34"/>
      <c r="V899" s="34"/>
    </row>
    <row r="900" spans="1:22" ht="15" customHeight="1" x14ac:dyDescent="0.2">
      <c r="A900" s="38"/>
      <c r="B900" s="38"/>
      <c r="C900" s="8"/>
      <c r="D900" s="8"/>
      <c r="E900" s="8"/>
      <c r="F900" s="8"/>
      <c r="G900" s="8"/>
      <c r="H900" s="8"/>
      <c r="I900" s="8"/>
      <c r="J900" s="8"/>
      <c r="K900" s="8"/>
      <c r="L900" s="8"/>
      <c r="M900" s="8"/>
      <c r="N900" s="8"/>
      <c r="O900" s="8"/>
      <c r="P900" s="8"/>
      <c r="Q900" s="8"/>
      <c r="R900" s="79"/>
      <c r="S900" s="79"/>
      <c r="T900" s="79"/>
      <c r="U900" s="34"/>
      <c r="V900" s="34"/>
    </row>
    <row r="901" spans="1:22" ht="15" customHeight="1" x14ac:dyDescent="0.2">
      <c r="A901" s="38"/>
      <c r="B901" s="38"/>
      <c r="C901" s="8"/>
      <c r="D901" s="8"/>
      <c r="E901" s="8"/>
      <c r="F901" s="8"/>
      <c r="G901" s="8"/>
      <c r="H901" s="8"/>
      <c r="I901" s="8"/>
      <c r="J901" s="8"/>
      <c r="K901" s="8"/>
      <c r="L901" s="8"/>
      <c r="M901" s="8"/>
      <c r="N901" s="8"/>
      <c r="O901" s="8"/>
      <c r="P901" s="8"/>
      <c r="Q901" s="8"/>
      <c r="R901" s="79"/>
      <c r="S901" s="79"/>
      <c r="T901" s="79"/>
      <c r="U901" s="34"/>
      <c r="V901" s="34"/>
    </row>
    <row r="902" spans="1:22" ht="15" customHeight="1" x14ac:dyDescent="0.2">
      <c r="A902" s="38"/>
      <c r="B902" s="38"/>
      <c r="C902" s="8"/>
      <c r="D902" s="8"/>
      <c r="E902" s="8"/>
      <c r="F902" s="8"/>
      <c r="G902" s="8"/>
      <c r="H902" s="8"/>
      <c r="I902" s="8"/>
      <c r="J902" s="8"/>
      <c r="K902" s="8"/>
      <c r="L902" s="8"/>
      <c r="M902" s="8"/>
      <c r="N902" s="8"/>
      <c r="O902" s="8"/>
      <c r="P902" s="8"/>
      <c r="Q902" s="8"/>
      <c r="R902" s="79"/>
      <c r="S902" s="79"/>
      <c r="T902" s="79"/>
      <c r="U902" s="34"/>
      <c r="V902" s="34"/>
    </row>
    <row r="903" spans="1:22" ht="15" customHeight="1" x14ac:dyDescent="0.2">
      <c r="A903" s="38"/>
      <c r="B903" s="38"/>
      <c r="C903" s="8"/>
      <c r="D903" s="8"/>
      <c r="E903" s="8"/>
      <c r="F903" s="8"/>
      <c r="G903" s="8"/>
      <c r="H903" s="8"/>
      <c r="I903" s="8"/>
      <c r="J903" s="8"/>
      <c r="K903" s="8"/>
      <c r="L903" s="8"/>
      <c r="M903" s="8"/>
      <c r="N903" s="8"/>
      <c r="O903" s="8"/>
      <c r="P903" s="8"/>
      <c r="Q903" s="8"/>
      <c r="R903" s="79"/>
      <c r="S903" s="79"/>
      <c r="T903" s="79"/>
      <c r="U903" s="34"/>
      <c r="V903" s="34"/>
    </row>
    <row r="904" spans="1:22" ht="15" customHeight="1" x14ac:dyDescent="0.2">
      <c r="A904" s="38"/>
      <c r="B904" s="38"/>
      <c r="C904" s="8"/>
      <c r="D904" s="8"/>
      <c r="E904" s="8"/>
      <c r="F904" s="8"/>
      <c r="G904" s="8"/>
      <c r="H904" s="8"/>
      <c r="I904" s="8"/>
      <c r="J904" s="8"/>
      <c r="K904" s="8"/>
      <c r="L904" s="8"/>
      <c r="M904" s="8"/>
      <c r="N904" s="8"/>
      <c r="O904" s="8"/>
      <c r="P904" s="8"/>
      <c r="Q904" s="8"/>
      <c r="R904" s="79"/>
      <c r="S904" s="79"/>
      <c r="T904" s="79"/>
      <c r="U904" s="34"/>
      <c r="V904" s="34"/>
    </row>
    <row r="905" spans="1:22" ht="15" customHeight="1" x14ac:dyDescent="0.2">
      <c r="A905" s="38"/>
      <c r="B905" s="38"/>
      <c r="C905" s="8"/>
      <c r="D905" s="8"/>
      <c r="E905" s="8"/>
      <c r="F905" s="8"/>
      <c r="G905" s="8"/>
      <c r="H905" s="8"/>
      <c r="I905" s="8"/>
      <c r="J905" s="8"/>
      <c r="K905" s="8"/>
      <c r="L905" s="8"/>
      <c r="M905" s="8"/>
      <c r="N905" s="8"/>
      <c r="O905" s="8"/>
      <c r="P905" s="8"/>
      <c r="Q905" s="8"/>
      <c r="R905" s="79"/>
      <c r="S905" s="79"/>
      <c r="T905" s="79"/>
      <c r="U905" s="34"/>
      <c r="V905" s="34"/>
    </row>
    <row r="906" spans="1:22" ht="15" customHeight="1" x14ac:dyDescent="0.2">
      <c r="A906" s="38"/>
      <c r="B906" s="38"/>
      <c r="C906" s="8"/>
      <c r="D906" s="8"/>
      <c r="E906" s="8"/>
      <c r="F906" s="8"/>
      <c r="G906" s="8"/>
      <c r="H906" s="8"/>
      <c r="I906" s="8"/>
      <c r="J906" s="8"/>
      <c r="K906" s="8"/>
      <c r="L906" s="8"/>
      <c r="M906" s="8"/>
      <c r="N906" s="8"/>
      <c r="O906" s="8"/>
      <c r="P906" s="8"/>
      <c r="Q906" s="8"/>
      <c r="R906" s="79"/>
      <c r="S906" s="79"/>
      <c r="T906" s="79"/>
      <c r="U906" s="34"/>
      <c r="V906" s="34"/>
    </row>
    <row r="907" spans="1:22" ht="15" customHeight="1" x14ac:dyDescent="0.2">
      <c r="A907" s="38"/>
      <c r="B907" s="38"/>
      <c r="C907" s="8"/>
      <c r="D907" s="8"/>
      <c r="E907" s="8"/>
      <c r="F907" s="8"/>
      <c r="G907" s="8"/>
      <c r="H907" s="8"/>
      <c r="I907" s="8"/>
      <c r="J907" s="8"/>
      <c r="K907" s="8"/>
      <c r="L907" s="8"/>
      <c r="M907" s="8"/>
      <c r="N907" s="8"/>
      <c r="O907" s="8"/>
      <c r="P907" s="8"/>
      <c r="Q907" s="8"/>
      <c r="R907" s="79"/>
      <c r="S907" s="79"/>
      <c r="T907" s="79"/>
      <c r="U907" s="34"/>
      <c r="V907" s="34"/>
    </row>
    <row r="908" spans="1:22" ht="15" customHeight="1" x14ac:dyDescent="0.2">
      <c r="A908" s="38"/>
      <c r="B908" s="38"/>
      <c r="C908" s="8"/>
      <c r="D908" s="8"/>
      <c r="E908" s="8"/>
      <c r="F908" s="8"/>
      <c r="G908" s="8"/>
      <c r="H908" s="8"/>
      <c r="I908" s="8"/>
      <c r="J908" s="8"/>
      <c r="K908" s="8"/>
      <c r="L908" s="8"/>
      <c r="M908" s="8"/>
      <c r="N908" s="8"/>
      <c r="O908" s="8"/>
      <c r="P908" s="8"/>
      <c r="Q908" s="8"/>
      <c r="R908" s="79"/>
      <c r="S908" s="79"/>
      <c r="T908" s="79"/>
      <c r="U908" s="34"/>
      <c r="V908" s="34"/>
    </row>
    <row r="909" spans="1:22" ht="15" customHeight="1" x14ac:dyDescent="0.2">
      <c r="A909" s="38"/>
      <c r="B909" s="38"/>
      <c r="C909" s="8"/>
      <c r="D909" s="8"/>
      <c r="E909" s="8"/>
      <c r="F909" s="8"/>
      <c r="G909" s="8"/>
      <c r="H909" s="8"/>
      <c r="I909" s="8"/>
      <c r="J909" s="8"/>
      <c r="K909" s="8"/>
      <c r="L909" s="8"/>
      <c r="M909" s="8"/>
      <c r="N909" s="8"/>
      <c r="O909" s="8"/>
      <c r="P909" s="8"/>
      <c r="Q909" s="8"/>
      <c r="R909" s="79"/>
      <c r="S909" s="79"/>
      <c r="T909" s="79"/>
      <c r="U909" s="34"/>
      <c r="V909" s="34"/>
    </row>
    <row r="910" spans="1:22" ht="15" customHeight="1" x14ac:dyDescent="0.2">
      <c r="A910" s="38"/>
      <c r="B910" s="38"/>
      <c r="C910" s="8"/>
      <c r="D910" s="8"/>
      <c r="E910" s="8"/>
      <c r="F910" s="8"/>
      <c r="G910" s="8"/>
      <c r="H910" s="8"/>
      <c r="I910" s="8"/>
      <c r="J910" s="8"/>
      <c r="K910" s="8"/>
      <c r="L910" s="8"/>
      <c r="M910" s="8"/>
      <c r="N910" s="8"/>
      <c r="O910" s="8"/>
      <c r="P910" s="8"/>
      <c r="Q910" s="8"/>
      <c r="R910" s="79"/>
      <c r="S910" s="79"/>
      <c r="T910" s="79"/>
      <c r="U910" s="34"/>
      <c r="V910" s="34"/>
    </row>
    <row r="911" spans="1:22" ht="15" customHeight="1" x14ac:dyDescent="0.2">
      <c r="A911" s="38"/>
      <c r="B911" s="38"/>
      <c r="C911" s="8"/>
      <c r="D911" s="8"/>
      <c r="E911" s="8"/>
      <c r="F911" s="8"/>
      <c r="G911" s="8"/>
      <c r="H911" s="8"/>
      <c r="I911" s="8"/>
      <c r="J911" s="8"/>
      <c r="K911" s="8"/>
      <c r="L911" s="8"/>
      <c r="M911" s="8"/>
      <c r="N911" s="8"/>
      <c r="O911" s="8"/>
      <c r="P911" s="8"/>
      <c r="Q911" s="8"/>
      <c r="R911" s="79"/>
      <c r="S911" s="79"/>
      <c r="T911" s="79"/>
      <c r="U911" s="34"/>
      <c r="V911" s="34"/>
    </row>
    <row r="912" spans="1:22" ht="15" customHeight="1" x14ac:dyDescent="0.2">
      <c r="A912" s="38"/>
      <c r="B912" s="38"/>
      <c r="C912" s="8"/>
      <c r="D912" s="8"/>
      <c r="E912" s="8"/>
      <c r="F912" s="8"/>
      <c r="G912" s="8"/>
      <c r="H912" s="8"/>
      <c r="I912" s="8"/>
      <c r="J912" s="8"/>
      <c r="K912" s="8"/>
      <c r="L912" s="8"/>
      <c r="M912" s="8"/>
      <c r="N912" s="8"/>
      <c r="O912" s="8"/>
      <c r="P912" s="8"/>
      <c r="Q912" s="8"/>
      <c r="R912" s="79"/>
      <c r="S912" s="79"/>
      <c r="T912" s="79"/>
      <c r="U912" s="34"/>
      <c r="V912" s="34"/>
    </row>
    <row r="913" spans="1:22" ht="15" customHeight="1" x14ac:dyDescent="0.2">
      <c r="A913" s="38"/>
      <c r="B913" s="38"/>
      <c r="C913" s="8"/>
      <c r="D913" s="8"/>
      <c r="E913" s="8"/>
      <c r="F913" s="8"/>
      <c r="G913" s="8"/>
      <c r="H913" s="8"/>
      <c r="I913" s="8"/>
      <c r="J913" s="8"/>
      <c r="K913" s="8"/>
      <c r="L913" s="8"/>
      <c r="M913" s="8"/>
      <c r="N913" s="8"/>
      <c r="O913" s="8"/>
      <c r="P913" s="8"/>
      <c r="Q913" s="8"/>
      <c r="R913" s="79"/>
      <c r="S913" s="79"/>
      <c r="T913" s="79"/>
      <c r="U913" s="34"/>
      <c r="V913" s="34"/>
    </row>
    <row r="914" spans="1:22" ht="15" customHeight="1" x14ac:dyDescent="0.2">
      <c r="A914" s="38"/>
      <c r="B914" s="38"/>
      <c r="C914" s="8"/>
      <c r="D914" s="8"/>
      <c r="E914" s="8"/>
      <c r="F914" s="8"/>
      <c r="G914" s="8"/>
      <c r="H914" s="8"/>
      <c r="I914" s="8"/>
      <c r="J914" s="8"/>
      <c r="K914" s="8"/>
      <c r="L914" s="8"/>
      <c r="M914" s="8"/>
      <c r="N914" s="8"/>
      <c r="O914" s="8"/>
      <c r="P914" s="8"/>
      <c r="Q914" s="8"/>
      <c r="R914" s="79"/>
      <c r="S914" s="79"/>
      <c r="T914" s="79"/>
      <c r="U914" s="34"/>
      <c r="V914" s="34"/>
    </row>
    <row r="915" spans="1:22" ht="15" customHeight="1" x14ac:dyDescent="0.2">
      <c r="A915" s="38"/>
      <c r="B915" s="38"/>
      <c r="C915" s="8"/>
      <c r="D915" s="8"/>
      <c r="E915" s="8"/>
      <c r="F915" s="8"/>
      <c r="G915" s="8"/>
      <c r="H915" s="8"/>
      <c r="I915" s="8"/>
      <c r="J915" s="8"/>
      <c r="K915" s="8"/>
      <c r="L915" s="8"/>
      <c r="M915" s="8"/>
      <c r="N915" s="8"/>
      <c r="O915" s="8"/>
      <c r="P915" s="8"/>
      <c r="Q915" s="8"/>
      <c r="R915" s="79"/>
      <c r="S915" s="79"/>
      <c r="T915" s="79"/>
      <c r="U915" s="34"/>
      <c r="V915" s="34"/>
    </row>
    <row r="916" spans="1:22" ht="15" customHeight="1" x14ac:dyDescent="0.2">
      <c r="A916" s="38"/>
      <c r="B916" s="38"/>
      <c r="C916" s="8"/>
      <c r="D916" s="8"/>
      <c r="E916" s="8"/>
      <c r="F916" s="8"/>
      <c r="G916" s="8"/>
      <c r="H916" s="8"/>
      <c r="I916" s="8"/>
      <c r="J916" s="8"/>
      <c r="K916" s="8"/>
      <c r="L916" s="8"/>
      <c r="M916" s="8"/>
      <c r="N916" s="8"/>
      <c r="O916" s="8"/>
      <c r="P916" s="8"/>
      <c r="Q916" s="8"/>
      <c r="R916" s="79"/>
      <c r="S916" s="79"/>
      <c r="T916" s="79"/>
      <c r="U916" s="34"/>
      <c r="V916" s="34"/>
    </row>
    <row r="917" spans="1:22" ht="15" customHeight="1" x14ac:dyDescent="0.2">
      <c r="A917" s="38"/>
      <c r="B917" s="38"/>
      <c r="C917" s="8"/>
      <c r="D917" s="8"/>
      <c r="E917" s="8"/>
      <c r="F917" s="8"/>
      <c r="G917" s="8"/>
      <c r="H917" s="8"/>
      <c r="I917" s="8"/>
      <c r="J917" s="8"/>
      <c r="K917" s="8"/>
      <c r="L917" s="8"/>
      <c r="M917" s="8"/>
      <c r="N917" s="8"/>
      <c r="O917" s="8"/>
      <c r="P917" s="8"/>
      <c r="Q917" s="8"/>
      <c r="R917" s="79"/>
      <c r="S917" s="79"/>
      <c r="T917" s="79"/>
      <c r="U917" s="34"/>
      <c r="V917" s="34"/>
    </row>
    <row r="918" spans="1:22" ht="15" customHeight="1" x14ac:dyDescent="0.2">
      <c r="A918" s="38"/>
      <c r="B918" s="38"/>
      <c r="C918" s="8"/>
      <c r="D918" s="8"/>
      <c r="E918" s="8"/>
      <c r="F918" s="8"/>
      <c r="G918" s="8"/>
      <c r="H918" s="8"/>
      <c r="I918" s="8"/>
      <c r="J918" s="8"/>
      <c r="K918" s="8"/>
      <c r="L918" s="8"/>
      <c r="M918" s="8"/>
      <c r="N918" s="8"/>
      <c r="O918" s="8"/>
      <c r="P918" s="8"/>
      <c r="Q918" s="8"/>
      <c r="R918" s="79"/>
      <c r="S918" s="79"/>
      <c r="T918" s="79"/>
      <c r="U918" s="34"/>
      <c r="V918" s="34"/>
    </row>
    <row r="919" spans="1:22" ht="15" customHeight="1" x14ac:dyDescent="0.2">
      <c r="A919" s="38"/>
      <c r="B919" s="38"/>
      <c r="C919" s="8"/>
      <c r="D919" s="8"/>
      <c r="E919" s="8"/>
      <c r="F919" s="8"/>
      <c r="G919" s="8"/>
      <c r="H919" s="8"/>
      <c r="I919" s="8"/>
      <c r="J919" s="8"/>
      <c r="K919" s="8"/>
      <c r="L919" s="8"/>
      <c r="M919" s="8"/>
      <c r="N919" s="8"/>
      <c r="O919" s="8"/>
      <c r="P919" s="8"/>
      <c r="Q919" s="8"/>
      <c r="R919" s="79"/>
      <c r="S919" s="79"/>
      <c r="T919" s="79"/>
      <c r="U919" s="34"/>
      <c r="V919" s="34"/>
    </row>
    <row r="920" spans="1:22" ht="15" customHeight="1" x14ac:dyDescent="0.2">
      <c r="A920" s="38"/>
      <c r="B920" s="38"/>
      <c r="C920" s="8"/>
      <c r="D920" s="8"/>
      <c r="E920" s="8"/>
      <c r="F920" s="8"/>
      <c r="G920" s="8"/>
      <c r="H920" s="8"/>
      <c r="I920" s="8"/>
      <c r="J920" s="8"/>
      <c r="K920" s="8"/>
      <c r="L920" s="8"/>
      <c r="M920" s="8"/>
      <c r="N920" s="8"/>
      <c r="O920" s="8"/>
      <c r="P920" s="8"/>
      <c r="Q920" s="8"/>
      <c r="R920" s="79"/>
      <c r="S920" s="79"/>
      <c r="T920" s="79"/>
      <c r="U920" s="34"/>
      <c r="V920" s="34"/>
    </row>
    <row r="921" spans="1:22" ht="15" customHeight="1" x14ac:dyDescent="0.2">
      <c r="A921" s="38"/>
      <c r="B921" s="38"/>
      <c r="C921" s="8"/>
      <c r="D921" s="8"/>
      <c r="E921" s="8"/>
      <c r="F921" s="8"/>
      <c r="G921" s="8"/>
      <c r="H921" s="8"/>
      <c r="I921" s="8"/>
      <c r="J921" s="8"/>
      <c r="K921" s="8"/>
      <c r="L921" s="8"/>
      <c r="M921" s="8"/>
      <c r="N921" s="8"/>
      <c r="O921" s="8"/>
      <c r="P921" s="8"/>
      <c r="Q921" s="8"/>
      <c r="R921" s="79"/>
      <c r="S921" s="79"/>
      <c r="T921" s="79"/>
      <c r="U921" s="34"/>
      <c r="V921" s="34"/>
    </row>
    <row r="922" spans="1:22" ht="15" customHeight="1" x14ac:dyDescent="0.2">
      <c r="A922" s="38"/>
      <c r="B922" s="38"/>
      <c r="C922" s="8"/>
      <c r="D922" s="8"/>
      <c r="E922" s="8"/>
      <c r="F922" s="8"/>
      <c r="G922" s="8"/>
      <c r="H922" s="8"/>
      <c r="I922" s="8"/>
      <c r="J922" s="8"/>
      <c r="K922" s="8"/>
      <c r="L922" s="8"/>
      <c r="M922" s="8"/>
      <c r="N922" s="8"/>
      <c r="O922" s="8"/>
      <c r="P922" s="8"/>
      <c r="Q922" s="8"/>
      <c r="R922" s="79"/>
      <c r="S922" s="79"/>
      <c r="T922" s="79"/>
      <c r="U922" s="34"/>
      <c r="V922" s="34"/>
    </row>
    <row r="923" spans="1:22" ht="15" customHeight="1" x14ac:dyDescent="0.2">
      <c r="A923" s="38"/>
      <c r="B923" s="38"/>
      <c r="C923" s="8"/>
      <c r="D923" s="8"/>
      <c r="E923" s="8"/>
      <c r="F923" s="8"/>
      <c r="G923" s="8"/>
      <c r="H923" s="8"/>
      <c r="I923" s="8"/>
      <c r="J923" s="8"/>
      <c r="K923" s="8"/>
      <c r="L923" s="8"/>
      <c r="M923" s="8"/>
      <c r="N923" s="8"/>
      <c r="O923" s="8"/>
      <c r="P923" s="8"/>
      <c r="Q923" s="8"/>
      <c r="R923" s="79"/>
      <c r="S923" s="79"/>
      <c r="T923" s="79"/>
      <c r="U923" s="34"/>
      <c r="V923" s="34"/>
    </row>
    <row r="924" spans="1:22" ht="15" customHeight="1" x14ac:dyDescent="0.2">
      <c r="A924" s="38"/>
      <c r="B924" s="38"/>
      <c r="C924" s="8"/>
      <c r="D924" s="8"/>
      <c r="E924" s="8"/>
      <c r="F924" s="8"/>
      <c r="G924" s="8"/>
      <c r="H924" s="8"/>
      <c r="I924" s="8"/>
      <c r="J924" s="8"/>
      <c r="K924" s="8"/>
      <c r="L924" s="8"/>
      <c r="M924" s="8"/>
      <c r="N924" s="8"/>
      <c r="O924" s="8"/>
      <c r="P924" s="8"/>
      <c r="Q924" s="8"/>
      <c r="R924" s="79"/>
      <c r="S924" s="79"/>
      <c r="T924" s="79"/>
      <c r="U924" s="34"/>
      <c r="V924" s="34"/>
    </row>
    <row r="925" spans="1:22" ht="15" customHeight="1" x14ac:dyDescent="0.2">
      <c r="A925" s="38"/>
      <c r="B925" s="38"/>
      <c r="C925" s="8"/>
      <c r="D925" s="8"/>
      <c r="E925" s="8"/>
      <c r="F925" s="8"/>
      <c r="G925" s="8"/>
      <c r="H925" s="8"/>
      <c r="I925" s="8"/>
      <c r="J925" s="8"/>
      <c r="K925" s="8"/>
      <c r="L925" s="8"/>
      <c r="M925" s="8"/>
      <c r="N925" s="8"/>
      <c r="O925" s="8"/>
      <c r="P925" s="8"/>
      <c r="Q925" s="8"/>
      <c r="R925" s="79"/>
      <c r="S925" s="79"/>
      <c r="T925" s="79"/>
      <c r="U925" s="34"/>
      <c r="V925" s="34"/>
    </row>
    <row r="926" spans="1:22" ht="15" customHeight="1" x14ac:dyDescent="0.2">
      <c r="A926" s="38"/>
      <c r="B926" s="38"/>
      <c r="C926" s="8"/>
      <c r="D926" s="8"/>
      <c r="E926" s="8"/>
      <c r="F926" s="8"/>
      <c r="G926" s="8"/>
      <c r="H926" s="8"/>
      <c r="I926" s="8"/>
      <c r="J926" s="8"/>
      <c r="K926" s="8"/>
      <c r="L926" s="8"/>
      <c r="M926" s="8"/>
      <c r="N926" s="8"/>
      <c r="O926" s="8"/>
      <c r="P926" s="8"/>
      <c r="Q926" s="8"/>
      <c r="R926" s="79"/>
      <c r="S926" s="79"/>
      <c r="T926" s="79"/>
      <c r="U926" s="34"/>
      <c r="V926" s="34"/>
    </row>
    <row r="927" spans="1:22" ht="15" customHeight="1" x14ac:dyDescent="0.2">
      <c r="A927" s="38"/>
      <c r="B927" s="38"/>
      <c r="C927" s="8"/>
      <c r="D927" s="8"/>
      <c r="E927" s="8"/>
      <c r="F927" s="8"/>
      <c r="G927" s="8"/>
      <c r="H927" s="8"/>
      <c r="I927" s="8"/>
      <c r="J927" s="8"/>
      <c r="K927" s="8"/>
      <c r="L927" s="8"/>
      <c r="M927" s="8"/>
      <c r="N927" s="8"/>
      <c r="O927" s="8"/>
      <c r="P927" s="8"/>
      <c r="Q927" s="8"/>
      <c r="R927" s="79"/>
      <c r="S927" s="79"/>
      <c r="T927" s="79"/>
      <c r="U927" s="34"/>
      <c r="V927" s="34"/>
    </row>
    <row r="928" spans="1:22" ht="15" customHeight="1" x14ac:dyDescent="0.2">
      <c r="A928" s="38"/>
      <c r="B928" s="38"/>
      <c r="C928" s="8"/>
      <c r="D928" s="8"/>
      <c r="E928" s="8"/>
      <c r="F928" s="8"/>
      <c r="G928" s="8"/>
      <c r="H928" s="8"/>
      <c r="I928" s="8"/>
      <c r="J928" s="8"/>
      <c r="K928" s="8"/>
      <c r="L928" s="8"/>
      <c r="M928" s="8"/>
      <c r="N928" s="8"/>
      <c r="O928" s="8"/>
      <c r="P928" s="8"/>
      <c r="Q928" s="8"/>
      <c r="R928" s="79"/>
      <c r="S928" s="79"/>
      <c r="T928" s="79"/>
      <c r="U928" s="34"/>
      <c r="V928" s="34"/>
    </row>
    <row r="929" spans="1:22" ht="15" customHeight="1" x14ac:dyDescent="0.2">
      <c r="A929" s="38"/>
      <c r="B929" s="38"/>
      <c r="C929" s="8"/>
      <c r="D929" s="8"/>
      <c r="E929" s="8"/>
      <c r="F929" s="8"/>
      <c r="G929" s="8"/>
      <c r="H929" s="8"/>
      <c r="I929" s="8"/>
      <c r="J929" s="8"/>
      <c r="K929" s="8"/>
      <c r="L929" s="8"/>
      <c r="M929" s="8"/>
      <c r="N929" s="8"/>
      <c r="O929" s="8"/>
      <c r="P929" s="8"/>
      <c r="Q929" s="8"/>
      <c r="R929" s="79"/>
      <c r="S929" s="79"/>
      <c r="T929" s="79"/>
      <c r="U929" s="34"/>
      <c r="V929" s="34"/>
    </row>
    <row r="930" spans="1:22" ht="15" customHeight="1" x14ac:dyDescent="0.2">
      <c r="A930" s="38"/>
      <c r="B930" s="38"/>
      <c r="C930" s="8"/>
      <c r="D930" s="8"/>
      <c r="E930" s="8"/>
      <c r="F930" s="8"/>
      <c r="G930" s="8"/>
      <c r="H930" s="8"/>
      <c r="I930" s="8"/>
      <c r="J930" s="8"/>
      <c r="K930" s="8"/>
      <c r="L930" s="8"/>
      <c r="M930" s="8"/>
      <c r="N930" s="8"/>
      <c r="O930" s="8"/>
      <c r="P930" s="8"/>
      <c r="Q930" s="8"/>
      <c r="R930" s="79"/>
      <c r="S930" s="79"/>
      <c r="T930" s="79"/>
      <c r="U930" s="34"/>
      <c r="V930" s="34"/>
    </row>
    <row r="931" spans="1:22" ht="15" customHeight="1" x14ac:dyDescent="0.2">
      <c r="A931" s="38"/>
      <c r="B931" s="38"/>
      <c r="C931" s="8"/>
      <c r="D931" s="8"/>
      <c r="E931" s="8"/>
      <c r="F931" s="8"/>
      <c r="G931" s="8"/>
      <c r="H931" s="8"/>
      <c r="I931" s="8"/>
      <c r="J931" s="8"/>
      <c r="K931" s="8"/>
      <c r="L931" s="8"/>
      <c r="M931" s="8"/>
      <c r="N931" s="8"/>
      <c r="O931" s="8"/>
      <c r="P931" s="8"/>
      <c r="Q931" s="8"/>
      <c r="R931" s="79"/>
      <c r="S931" s="79"/>
      <c r="T931" s="79"/>
      <c r="U931" s="34"/>
      <c r="V931" s="34"/>
    </row>
    <row r="932" spans="1:22" ht="15" customHeight="1" x14ac:dyDescent="0.2">
      <c r="A932" s="38"/>
      <c r="B932" s="38"/>
      <c r="C932" s="8"/>
      <c r="D932" s="8"/>
      <c r="E932" s="8"/>
      <c r="F932" s="8"/>
      <c r="G932" s="8"/>
      <c r="H932" s="8"/>
      <c r="I932" s="8"/>
      <c r="J932" s="8"/>
      <c r="K932" s="8"/>
      <c r="L932" s="8"/>
      <c r="M932" s="8"/>
      <c r="N932" s="8"/>
      <c r="O932" s="8"/>
      <c r="P932" s="8"/>
      <c r="Q932" s="8"/>
      <c r="R932" s="79"/>
      <c r="S932" s="79"/>
      <c r="T932" s="79"/>
      <c r="U932" s="34"/>
      <c r="V932" s="34"/>
    </row>
    <row r="933" spans="1:22" ht="15" customHeight="1" x14ac:dyDescent="0.2">
      <c r="A933" s="38"/>
      <c r="B933" s="38"/>
      <c r="C933" s="8"/>
      <c r="D933" s="8"/>
      <c r="E933" s="8"/>
      <c r="F933" s="8"/>
      <c r="G933" s="8"/>
      <c r="H933" s="8"/>
      <c r="I933" s="8"/>
      <c r="J933" s="8"/>
      <c r="K933" s="8"/>
      <c r="L933" s="8"/>
      <c r="M933" s="8"/>
      <c r="N933" s="8"/>
      <c r="O933" s="8"/>
      <c r="P933" s="8"/>
      <c r="Q933" s="8"/>
      <c r="R933" s="79"/>
      <c r="S933" s="79"/>
      <c r="T933" s="79"/>
      <c r="U933" s="34"/>
      <c r="V933" s="34"/>
    </row>
    <row r="934" spans="1:22" ht="15" customHeight="1" x14ac:dyDescent="0.2">
      <c r="A934" s="38"/>
      <c r="B934" s="38"/>
      <c r="C934" s="8"/>
      <c r="D934" s="8"/>
      <c r="E934" s="8"/>
      <c r="F934" s="8"/>
      <c r="G934" s="8"/>
      <c r="H934" s="8"/>
      <c r="I934" s="8"/>
      <c r="J934" s="8"/>
      <c r="K934" s="8"/>
      <c r="L934" s="8"/>
      <c r="M934" s="8"/>
      <c r="N934" s="8"/>
      <c r="O934" s="8"/>
      <c r="P934" s="8"/>
      <c r="Q934" s="8"/>
      <c r="R934" s="79"/>
      <c r="S934" s="79"/>
      <c r="T934" s="79"/>
      <c r="U934" s="34"/>
      <c r="V934" s="34"/>
    </row>
    <row r="935" spans="1:22" ht="15" customHeight="1" x14ac:dyDescent="0.2">
      <c r="A935" s="38"/>
      <c r="B935" s="38"/>
      <c r="C935" s="8"/>
      <c r="D935" s="8"/>
      <c r="E935" s="8"/>
      <c r="F935" s="8"/>
      <c r="G935" s="8"/>
      <c r="H935" s="8"/>
      <c r="I935" s="8"/>
      <c r="J935" s="8"/>
      <c r="K935" s="8"/>
      <c r="L935" s="8"/>
      <c r="M935" s="8"/>
      <c r="N935" s="8"/>
      <c r="O935" s="8"/>
      <c r="P935" s="8"/>
      <c r="Q935" s="8"/>
      <c r="R935" s="79"/>
      <c r="S935" s="79"/>
      <c r="T935" s="79"/>
      <c r="U935" s="34"/>
      <c r="V935" s="34"/>
    </row>
    <row r="936" spans="1:22" ht="15" customHeight="1" x14ac:dyDescent="0.2">
      <c r="A936" s="38"/>
      <c r="B936" s="38"/>
      <c r="C936" s="8"/>
      <c r="D936" s="8"/>
      <c r="E936" s="8"/>
      <c r="F936" s="8"/>
      <c r="G936" s="8"/>
      <c r="H936" s="8"/>
      <c r="I936" s="8"/>
      <c r="J936" s="8"/>
      <c r="K936" s="8"/>
      <c r="L936" s="8"/>
      <c r="M936" s="8"/>
      <c r="N936" s="8"/>
      <c r="O936" s="8"/>
      <c r="P936" s="8"/>
      <c r="Q936" s="8"/>
      <c r="R936" s="79"/>
      <c r="S936" s="79"/>
      <c r="T936" s="79"/>
      <c r="U936" s="34"/>
      <c r="V936" s="34"/>
    </row>
    <row r="937" spans="1:22" ht="15" customHeight="1" x14ac:dyDescent="0.2">
      <c r="A937" s="38"/>
      <c r="B937" s="38"/>
      <c r="C937" s="8"/>
      <c r="D937" s="8"/>
      <c r="E937" s="8"/>
      <c r="F937" s="8"/>
      <c r="G937" s="8"/>
      <c r="H937" s="8"/>
      <c r="I937" s="8"/>
      <c r="J937" s="8"/>
      <c r="K937" s="8"/>
      <c r="L937" s="8"/>
      <c r="M937" s="8"/>
      <c r="N937" s="8"/>
      <c r="O937" s="8"/>
      <c r="P937" s="8"/>
      <c r="Q937" s="8"/>
      <c r="R937" s="79"/>
      <c r="S937" s="79"/>
      <c r="T937" s="79"/>
      <c r="U937" s="34"/>
      <c r="V937" s="34"/>
    </row>
    <row r="938" spans="1:22" ht="15" customHeight="1" x14ac:dyDescent="0.2">
      <c r="A938" s="38"/>
      <c r="B938" s="38"/>
      <c r="C938" s="8"/>
      <c r="D938" s="8"/>
      <c r="E938" s="8"/>
      <c r="F938" s="8"/>
      <c r="G938" s="8"/>
      <c r="H938" s="8"/>
      <c r="I938" s="8"/>
      <c r="J938" s="8"/>
      <c r="K938" s="8"/>
      <c r="L938" s="8"/>
      <c r="M938" s="8"/>
      <c r="N938" s="8"/>
      <c r="O938" s="8"/>
      <c r="P938" s="8"/>
      <c r="Q938" s="8"/>
      <c r="R938" s="79"/>
      <c r="S938" s="79"/>
      <c r="T938" s="79"/>
      <c r="U938" s="34"/>
      <c r="V938" s="34"/>
    </row>
    <row r="939" spans="1:22" ht="15" customHeight="1" x14ac:dyDescent="0.2">
      <c r="A939" s="38"/>
      <c r="B939" s="38"/>
      <c r="C939" s="8"/>
      <c r="D939" s="8"/>
      <c r="E939" s="8"/>
      <c r="F939" s="8"/>
      <c r="G939" s="8"/>
      <c r="H939" s="8"/>
      <c r="I939" s="8"/>
      <c r="J939" s="8"/>
      <c r="K939" s="8"/>
      <c r="L939" s="8"/>
      <c r="M939" s="8"/>
      <c r="N939" s="8"/>
      <c r="O939" s="8"/>
      <c r="P939" s="8"/>
      <c r="Q939" s="8"/>
      <c r="R939" s="79"/>
      <c r="S939" s="79"/>
      <c r="T939" s="79"/>
      <c r="U939" s="34"/>
      <c r="V939" s="34"/>
    </row>
    <row r="940" spans="1:22" ht="15" customHeight="1" x14ac:dyDescent="0.2">
      <c r="A940" s="38"/>
      <c r="B940" s="38"/>
      <c r="C940" s="8"/>
      <c r="D940" s="8"/>
      <c r="E940" s="8"/>
      <c r="F940" s="8"/>
      <c r="G940" s="8"/>
      <c r="H940" s="8"/>
      <c r="I940" s="8"/>
      <c r="J940" s="8"/>
      <c r="K940" s="8"/>
      <c r="L940" s="8"/>
      <c r="M940" s="8"/>
      <c r="N940" s="8"/>
      <c r="O940" s="8"/>
      <c r="P940" s="8"/>
      <c r="Q940" s="8"/>
      <c r="R940" s="79"/>
      <c r="S940" s="79"/>
      <c r="T940" s="79"/>
      <c r="U940" s="34"/>
      <c r="V940" s="34"/>
    </row>
    <row r="941" spans="1:22" ht="15" customHeight="1" x14ac:dyDescent="0.2">
      <c r="A941" s="38"/>
      <c r="B941" s="38"/>
      <c r="C941" s="8"/>
      <c r="D941" s="8"/>
      <c r="E941" s="8"/>
      <c r="F941" s="8"/>
      <c r="G941" s="8"/>
      <c r="H941" s="8"/>
      <c r="I941" s="8"/>
      <c r="J941" s="8"/>
      <c r="K941" s="8"/>
      <c r="L941" s="8"/>
      <c r="M941" s="8"/>
      <c r="N941" s="8"/>
      <c r="O941" s="8"/>
      <c r="P941" s="8"/>
      <c r="Q941" s="8"/>
      <c r="R941" s="79"/>
      <c r="S941" s="79"/>
      <c r="T941" s="79"/>
      <c r="U941" s="34"/>
      <c r="V941" s="34"/>
    </row>
    <row r="942" spans="1:22" ht="15" customHeight="1" x14ac:dyDescent="0.2">
      <c r="A942" s="38"/>
      <c r="B942" s="38"/>
      <c r="C942" s="8"/>
      <c r="D942" s="8"/>
      <c r="E942" s="8"/>
      <c r="F942" s="8"/>
      <c r="G942" s="8"/>
      <c r="H942" s="8"/>
      <c r="I942" s="8"/>
      <c r="J942" s="8"/>
      <c r="K942" s="8"/>
      <c r="L942" s="8"/>
      <c r="M942" s="8"/>
      <c r="N942" s="8"/>
      <c r="O942" s="8"/>
      <c r="P942" s="8"/>
      <c r="Q942" s="8"/>
      <c r="R942" s="79"/>
      <c r="S942" s="79"/>
      <c r="T942" s="79"/>
      <c r="U942" s="34"/>
      <c r="V942" s="34"/>
    </row>
    <row r="943" spans="1:22" ht="15" customHeight="1" x14ac:dyDescent="0.2">
      <c r="A943" s="38"/>
      <c r="B943" s="38"/>
      <c r="C943" s="8"/>
      <c r="D943" s="8"/>
      <c r="E943" s="8"/>
      <c r="F943" s="8"/>
      <c r="G943" s="8"/>
      <c r="H943" s="8"/>
      <c r="I943" s="8"/>
      <c r="J943" s="8"/>
      <c r="K943" s="8"/>
      <c r="L943" s="8"/>
      <c r="M943" s="8"/>
      <c r="N943" s="8"/>
      <c r="O943" s="8"/>
      <c r="P943" s="8"/>
      <c r="Q943" s="8"/>
      <c r="R943" s="79"/>
      <c r="S943" s="79"/>
      <c r="T943" s="79"/>
      <c r="U943" s="34"/>
      <c r="V943" s="34"/>
    </row>
    <row r="944" spans="1:22" ht="15" customHeight="1" x14ac:dyDescent="0.2">
      <c r="A944" s="38"/>
      <c r="B944" s="38"/>
      <c r="C944" s="8"/>
      <c r="D944" s="8"/>
      <c r="E944" s="8"/>
      <c r="F944" s="8"/>
      <c r="G944" s="8"/>
      <c r="H944" s="8"/>
      <c r="I944" s="8"/>
      <c r="J944" s="8"/>
      <c r="K944" s="8"/>
      <c r="L944" s="8"/>
      <c r="M944" s="8"/>
      <c r="N944" s="8"/>
      <c r="O944" s="8"/>
      <c r="P944" s="8"/>
      <c r="Q944" s="8"/>
      <c r="R944" s="79"/>
      <c r="S944" s="79"/>
      <c r="T944" s="79"/>
      <c r="U944" s="34"/>
      <c r="V944" s="34"/>
    </row>
    <row r="945" spans="1:22" ht="15" customHeight="1" x14ac:dyDescent="0.2">
      <c r="A945" s="38"/>
      <c r="B945" s="38"/>
      <c r="C945" s="8"/>
      <c r="D945" s="8"/>
      <c r="E945" s="8"/>
      <c r="F945" s="8"/>
      <c r="G945" s="8"/>
      <c r="H945" s="8"/>
      <c r="I945" s="8"/>
      <c r="J945" s="8"/>
      <c r="K945" s="8"/>
      <c r="L945" s="8"/>
      <c r="M945" s="8"/>
      <c r="N945" s="8"/>
      <c r="O945" s="8"/>
      <c r="P945" s="8"/>
      <c r="Q945" s="8"/>
      <c r="R945" s="79"/>
      <c r="S945" s="79"/>
      <c r="T945" s="79"/>
      <c r="U945" s="34"/>
      <c r="V945" s="34"/>
    </row>
    <row r="946" spans="1:22" ht="15" customHeight="1" x14ac:dyDescent="0.2">
      <c r="A946" s="38"/>
      <c r="B946" s="38"/>
      <c r="C946" s="8"/>
      <c r="D946" s="8"/>
      <c r="E946" s="8"/>
      <c r="F946" s="8"/>
      <c r="G946" s="8"/>
      <c r="H946" s="8"/>
      <c r="I946" s="8"/>
      <c r="J946" s="8"/>
      <c r="K946" s="8"/>
      <c r="L946" s="8"/>
      <c r="M946" s="8"/>
      <c r="N946" s="8"/>
      <c r="O946" s="8"/>
      <c r="P946" s="8"/>
      <c r="Q946" s="8"/>
      <c r="R946" s="79"/>
      <c r="S946" s="79"/>
      <c r="T946" s="79"/>
      <c r="U946" s="34"/>
      <c r="V946" s="34"/>
    </row>
    <row r="947" spans="1:22" ht="15" customHeight="1" x14ac:dyDescent="0.2">
      <c r="A947" s="38"/>
      <c r="B947" s="38"/>
      <c r="C947" s="8"/>
      <c r="D947" s="8"/>
      <c r="E947" s="8"/>
      <c r="F947" s="8"/>
      <c r="G947" s="8"/>
      <c r="H947" s="8"/>
      <c r="I947" s="8"/>
      <c r="J947" s="8"/>
      <c r="K947" s="8"/>
      <c r="L947" s="8"/>
      <c r="M947" s="8"/>
      <c r="N947" s="8"/>
      <c r="O947" s="8"/>
      <c r="P947" s="8"/>
      <c r="Q947" s="8"/>
      <c r="R947" s="79"/>
      <c r="S947" s="79"/>
      <c r="T947" s="79"/>
      <c r="U947" s="34"/>
      <c r="V947" s="34"/>
    </row>
    <row r="948" spans="1:22" ht="15" customHeight="1" x14ac:dyDescent="0.2">
      <c r="A948" s="38"/>
      <c r="B948" s="38"/>
      <c r="C948" s="8"/>
      <c r="D948" s="8"/>
      <c r="E948" s="8"/>
      <c r="F948" s="8"/>
      <c r="G948" s="8"/>
      <c r="H948" s="8"/>
      <c r="I948" s="8"/>
      <c r="J948" s="8"/>
      <c r="K948" s="8"/>
      <c r="L948" s="8"/>
      <c r="M948" s="8"/>
      <c r="N948" s="8"/>
      <c r="O948" s="8"/>
      <c r="P948" s="8"/>
      <c r="Q948" s="8"/>
      <c r="R948" s="79"/>
      <c r="S948" s="79"/>
      <c r="T948" s="79"/>
      <c r="U948" s="34"/>
      <c r="V948" s="34"/>
    </row>
    <row r="949" spans="1:22" ht="15" customHeight="1" x14ac:dyDescent="0.2">
      <c r="A949" s="38"/>
      <c r="B949" s="38"/>
      <c r="C949" s="8"/>
      <c r="D949" s="8"/>
      <c r="E949" s="8"/>
      <c r="F949" s="8"/>
      <c r="G949" s="8"/>
      <c r="H949" s="8"/>
      <c r="I949" s="8"/>
      <c r="J949" s="8"/>
      <c r="K949" s="8"/>
      <c r="L949" s="8"/>
      <c r="M949" s="8"/>
      <c r="N949" s="8"/>
      <c r="O949" s="8"/>
      <c r="P949" s="8"/>
      <c r="Q949" s="8"/>
      <c r="R949" s="79"/>
      <c r="S949" s="79"/>
      <c r="T949" s="79"/>
      <c r="U949" s="34"/>
      <c r="V949" s="34"/>
    </row>
    <row r="950" spans="1:22" ht="15" customHeight="1" x14ac:dyDescent="0.2">
      <c r="A950" s="38"/>
      <c r="B950" s="38"/>
      <c r="C950" s="8"/>
      <c r="D950" s="8"/>
      <c r="E950" s="8"/>
      <c r="F950" s="8"/>
      <c r="G950" s="8"/>
      <c r="H950" s="8"/>
      <c r="I950" s="8"/>
      <c r="J950" s="8"/>
      <c r="K950" s="8"/>
      <c r="L950" s="8"/>
      <c r="M950" s="8"/>
      <c r="N950" s="8"/>
      <c r="O950" s="8"/>
      <c r="P950" s="8"/>
      <c r="Q950" s="8"/>
      <c r="R950" s="79"/>
      <c r="S950" s="79"/>
      <c r="T950" s="79"/>
      <c r="U950" s="34"/>
      <c r="V950" s="34"/>
    </row>
    <row r="951" spans="1:22" ht="15" customHeight="1" x14ac:dyDescent="0.2">
      <c r="A951" s="38"/>
      <c r="B951" s="38"/>
      <c r="C951" s="8"/>
      <c r="D951" s="8"/>
      <c r="E951" s="8"/>
      <c r="F951" s="8"/>
      <c r="G951" s="8"/>
      <c r="H951" s="8"/>
      <c r="I951" s="8"/>
      <c r="J951" s="8"/>
      <c r="K951" s="8"/>
      <c r="L951" s="8"/>
      <c r="M951" s="8"/>
      <c r="N951" s="8"/>
      <c r="O951" s="8"/>
      <c r="P951" s="8"/>
      <c r="Q951" s="8"/>
      <c r="R951" s="79"/>
      <c r="S951" s="79"/>
      <c r="T951" s="79"/>
      <c r="U951" s="34"/>
      <c r="V951" s="34"/>
    </row>
    <row r="952" spans="1:22" ht="15" customHeight="1" x14ac:dyDescent="0.2">
      <c r="A952" s="38"/>
      <c r="B952" s="38"/>
      <c r="C952" s="8"/>
      <c r="D952" s="8"/>
      <c r="E952" s="8"/>
      <c r="F952" s="8"/>
      <c r="G952" s="8"/>
      <c r="H952" s="8"/>
      <c r="I952" s="8"/>
      <c r="J952" s="8"/>
      <c r="K952" s="8"/>
      <c r="L952" s="8"/>
      <c r="M952" s="8"/>
      <c r="N952" s="8"/>
      <c r="O952" s="8"/>
      <c r="P952" s="8"/>
      <c r="Q952" s="8"/>
      <c r="R952" s="79"/>
      <c r="S952" s="79"/>
      <c r="T952" s="79"/>
      <c r="U952" s="34"/>
      <c r="V952" s="34"/>
    </row>
    <row r="953" spans="1:22" ht="15" customHeight="1" x14ac:dyDescent="0.2">
      <c r="A953" s="38"/>
      <c r="B953" s="38"/>
      <c r="C953" s="8"/>
      <c r="D953" s="8"/>
      <c r="E953" s="8"/>
      <c r="F953" s="8"/>
      <c r="G953" s="8"/>
      <c r="H953" s="8"/>
      <c r="I953" s="8"/>
      <c r="J953" s="8"/>
      <c r="K953" s="8"/>
      <c r="L953" s="8"/>
      <c r="M953" s="8"/>
      <c r="N953" s="8"/>
      <c r="O953" s="8"/>
      <c r="P953" s="8"/>
      <c r="Q953" s="8"/>
      <c r="R953" s="79"/>
      <c r="S953" s="79"/>
      <c r="T953" s="79"/>
      <c r="U953" s="34"/>
      <c r="V953" s="34"/>
    </row>
    <row r="954" spans="1:22" ht="15" customHeight="1" x14ac:dyDescent="0.2">
      <c r="A954" s="38"/>
      <c r="B954" s="38"/>
      <c r="C954" s="8"/>
      <c r="D954" s="8"/>
      <c r="E954" s="8"/>
      <c r="F954" s="8"/>
      <c r="G954" s="8"/>
      <c r="H954" s="8"/>
      <c r="I954" s="8"/>
      <c r="J954" s="8"/>
      <c r="K954" s="8"/>
      <c r="L954" s="8"/>
      <c r="M954" s="8"/>
      <c r="N954" s="8"/>
      <c r="O954" s="8"/>
      <c r="P954" s="8"/>
      <c r="Q954" s="8"/>
      <c r="R954" s="79"/>
      <c r="S954" s="79"/>
      <c r="T954" s="79"/>
      <c r="U954" s="34"/>
      <c r="V954" s="34"/>
    </row>
    <row r="955" spans="1:22" ht="15" customHeight="1" x14ac:dyDescent="0.2">
      <c r="A955" s="38"/>
      <c r="B955" s="38"/>
      <c r="C955" s="8"/>
      <c r="D955" s="8"/>
      <c r="E955" s="8"/>
      <c r="F955" s="8"/>
      <c r="G955" s="8"/>
      <c r="H955" s="8"/>
      <c r="I955" s="8"/>
      <c r="J955" s="8"/>
      <c r="K955" s="8"/>
      <c r="L955" s="8"/>
      <c r="M955" s="8"/>
      <c r="N955" s="8"/>
      <c r="O955" s="8"/>
      <c r="P955" s="8"/>
      <c r="Q955" s="8"/>
      <c r="R955" s="79"/>
      <c r="S955" s="79"/>
      <c r="T955" s="79"/>
      <c r="U955" s="34"/>
      <c r="V955" s="34"/>
    </row>
    <row r="956" spans="1:22" ht="15" customHeight="1" x14ac:dyDescent="0.2">
      <c r="A956" s="38"/>
      <c r="B956" s="38"/>
      <c r="C956" s="8"/>
      <c r="D956" s="8"/>
      <c r="E956" s="8"/>
      <c r="F956" s="8"/>
      <c r="G956" s="8"/>
      <c r="H956" s="8"/>
      <c r="I956" s="8"/>
      <c r="J956" s="8"/>
      <c r="K956" s="8"/>
      <c r="L956" s="8"/>
      <c r="M956" s="8"/>
      <c r="N956" s="8"/>
      <c r="O956" s="8"/>
      <c r="P956" s="8"/>
      <c r="Q956" s="8"/>
      <c r="R956" s="79"/>
      <c r="S956" s="79"/>
      <c r="T956" s="79"/>
      <c r="U956" s="34"/>
      <c r="V956" s="34"/>
    </row>
    <row r="957" spans="1:22" ht="15" customHeight="1" x14ac:dyDescent="0.2">
      <c r="A957" s="38"/>
      <c r="B957" s="38"/>
      <c r="C957" s="8"/>
      <c r="D957" s="8"/>
      <c r="E957" s="8"/>
      <c r="F957" s="8"/>
      <c r="G957" s="8"/>
      <c r="H957" s="8"/>
      <c r="I957" s="8"/>
      <c r="J957" s="8"/>
      <c r="K957" s="8"/>
      <c r="L957" s="8"/>
      <c r="M957" s="8"/>
      <c r="N957" s="8"/>
      <c r="O957" s="8"/>
      <c r="P957" s="8"/>
      <c r="Q957" s="8"/>
      <c r="R957" s="79"/>
      <c r="S957" s="79"/>
      <c r="T957" s="79"/>
      <c r="U957" s="34"/>
      <c r="V957" s="34"/>
    </row>
    <row r="958" spans="1:22" ht="15" customHeight="1" x14ac:dyDescent="0.2">
      <c r="A958" s="38"/>
      <c r="B958" s="38"/>
      <c r="C958" s="8"/>
      <c r="D958" s="8"/>
      <c r="E958" s="8"/>
      <c r="F958" s="8"/>
      <c r="G958" s="8"/>
      <c r="H958" s="8"/>
      <c r="I958" s="8"/>
      <c r="J958" s="8"/>
      <c r="K958" s="8"/>
      <c r="L958" s="8"/>
      <c r="M958" s="8"/>
      <c r="N958" s="8"/>
      <c r="O958" s="8"/>
      <c r="P958" s="8"/>
      <c r="Q958" s="8"/>
      <c r="R958" s="79"/>
      <c r="S958" s="79"/>
      <c r="T958" s="79"/>
      <c r="U958" s="34"/>
      <c r="V958" s="34"/>
    </row>
    <row r="959" spans="1:22" ht="15" customHeight="1" x14ac:dyDescent="0.2">
      <c r="A959" s="38"/>
      <c r="B959" s="38"/>
      <c r="C959" s="8"/>
      <c r="D959" s="8"/>
      <c r="E959" s="8"/>
      <c r="F959" s="8"/>
      <c r="G959" s="8"/>
      <c r="H959" s="8"/>
      <c r="I959" s="8"/>
      <c r="J959" s="8"/>
      <c r="K959" s="8"/>
      <c r="L959" s="8"/>
      <c r="M959" s="8"/>
      <c r="N959" s="8"/>
      <c r="O959" s="8"/>
      <c r="P959" s="8"/>
      <c r="Q959" s="8"/>
      <c r="R959" s="79"/>
      <c r="S959" s="79"/>
      <c r="T959" s="79"/>
      <c r="U959" s="34"/>
      <c r="V959" s="34"/>
    </row>
    <row r="960" spans="1:22" ht="15" customHeight="1" x14ac:dyDescent="0.2">
      <c r="A960" s="38"/>
      <c r="B960" s="38"/>
      <c r="C960" s="8"/>
      <c r="D960" s="8"/>
      <c r="E960" s="8"/>
      <c r="F960" s="8"/>
      <c r="G960" s="8"/>
      <c r="H960" s="8"/>
      <c r="I960" s="8"/>
      <c r="J960" s="8"/>
      <c r="K960" s="8"/>
      <c r="L960" s="8"/>
      <c r="M960" s="8"/>
      <c r="N960" s="8"/>
      <c r="O960" s="8"/>
      <c r="P960" s="8"/>
      <c r="Q960" s="8"/>
      <c r="R960" s="79"/>
      <c r="S960" s="79"/>
      <c r="T960" s="79"/>
      <c r="U960" s="34"/>
      <c r="V960" s="34"/>
    </row>
    <row r="961" spans="1:22" ht="15" customHeight="1" x14ac:dyDescent="0.2">
      <c r="A961" s="38"/>
      <c r="B961" s="38"/>
      <c r="C961" s="8"/>
      <c r="D961" s="8"/>
      <c r="E961" s="8"/>
      <c r="F961" s="8"/>
      <c r="G961" s="8"/>
      <c r="H961" s="8"/>
      <c r="I961" s="8"/>
      <c r="J961" s="8"/>
      <c r="K961" s="8"/>
      <c r="L961" s="8"/>
      <c r="M961" s="8"/>
      <c r="N961" s="8"/>
      <c r="O961" s="8"/>
      <c r="P961" s="8"/>
      <c r="Q961" s="8"/>
      <c r="R961" s="79"/>
      <c r="S961" s="79"/>
      <c r="T961" s="79"/>
      <c r="U961" s="34"/>
      <c r="V961" s="34"/>
    </row>
    <row r="962" spans="1:22" ht="15" customHeight="1" x14ac:dyDescent="0.2">
      <c r="A962" s="38"/>
      <c r="B962" s="38"/>
      <c r="C962" s="8"/>
      <c r="D962" s="8"/>
      <c r="E962" s="8"/>
      <c r="F962" s="8"/>
      <c r="G962" s="8"/>
      <c r="H962" s="8"/>
      <c r="I962" s="8"/>
      <c r="J962" s="8"/>
      <c r="K962" s="8"/>
      <c r="L962" s="8"/>
      <c r="M962" s="8"/>
      <c r="N962" s="8"/>
      <c r="O962" s="8"/>
      <c r="P962" s="8"/>
      <c r="Q962" s="8"/>
      <c r="R962" s="79"/>
      <c r="S962" s="79"/>
      <c r="T962" s="79"/>
      <c r="U962" s="34"/>
      <c r="V962" s="34"/>
    </row>
    <row r="963" spans="1:22" ht="15" customHeight="1" x14ac:dyDescent="0.2">
      <c r="A963" s="38"/>
      <c r="B963" s="38"/>
      <c r="C963" s="8"/>
      <c r="D963" s="8"/>
      <c r="E963" s="8"/>
      <c r="F963" s="8"/>
      <c r="G963" s="8"/>
      <c r="H963" s="8"/>
      <c r="I963" s="8"/>
      <c r="J963" s="8"/>
      <c r="K963" s="8"/>
      <c r="L963" s="8"/>
      <c r="M963" s="8"/>
      <c r="N963" s="8"/>
      <c r="O963" s="8"/>
      <c r="P963" s="8"/>
      <c r="Q963" s="8"/>
      <c r="R963" s="79"/>
      <c r="S963" s="79"/>
      <c r="T963" s="79"/>
      <c r="U963" s="34"/>
      <c r="V963" s="34"/>
    </row>
    <row r="964" spans="1:22" ht="15" customHeight="1" x14ac:dyDescent="0.2">
      <c r="A964" s="38"/>
      <c r="B964" s="38"/>
      <c r="C964" s="8"/>
      <c r="D964" s="8"/>
      <c r="E964" s="8"/>
      <c r="F964" s="8"/>
      <c r="G964" s="8"/>
      <c r="H964" s="8"/>
      <c r="I964" s="8"/>
      <c r="J964" s="8"/>
      <c r="K964" s="8"/>
      <c r="L964" s="8"/>
      <c r="M964" s="8"/>
      <c r="N964" s="8"/>
      <c r="O964" s="8"/>
      <c r="P964" s="8"/>
      <c r="Q964" s="8"/>
      <c r="R964" s="79"/>
      <c r="S964" s="79"/>
      <c r="T964" s="79"/>
      <c r="U964" s="34"/>
      <c r="V964" s="34"/>
    </row>
    <row r="965" spans="1:22" ht="15" customHeight="1" x14ac:dyDescent="0.2">
      <c r="A965" s="38"/>
      <c r="B965" s="38"/>
      <c r="C965" s="8"/>
      <c r="D965" s="8"/>
      <c r="E965" s="8"/>
      <c r="F965" s="8"/>
      <c r="G965" s="8"/>
      <c r="H965" s="8"/>
      <c r="I965" s="8"/>
      <c r="J965" s="8"/>
      <c r="K965" s="8"/>
      <c r="L965" s="8"/>
      <c r="M965" s="8"/>
      <c r="N965" s="8"/>
      <c r="O965" s="8"/>
      <c r="P965" s="8"/>
      <c r="Q965" s="8"/>
      <c r="R965" s="79"/>
      <c r="S965" s="79"/>
      <c r="T965" s="79"/>
      <c r="U965" s="34"/>
      <c r="V965" s="34"/>
    </row>
    <row r="966" spans="1:22" ht="15" customHeight="1" x14ac:dyDescent="0.2">
      <c r="A966" s="38"/>
      <c r="B966" s="38"/>
      <c r="C966" s="8"/>
      <c r="D966" s="8"/>
      <c r="E966" s="8"/>
      <c r="F966" s="8"/>
      <c r="G966" s="8"/>
      <c r="H966" s="8"/>
      <c r="I966" s="8"/>
      <c r="J966" s="8"/>
      <c r="K966" s="8"/>
      <c r="L966" s="8"/>
      <c r="M966" s="8"/>
      <c r="N966" s="8"/>
      <c r="O966" s="8"/>
      <c r="P966" s="8"/>
      <c r="Q966" s="8"/>
      <c r="R966" s="79"/>
      <c r="S966" s="79"/>
      <c r="T966" s="79"/>
      <c r="U966" s="34"/>
      <c r="V966" s="34"/>
    </row>
    <row r="967" spans="1:22" ht="15" customHeight="1" x14ac:dyDescent="0.2">
      <c r="A967" s="38"/>
      <c r="B967" s="38"/>
      <c r="C967" s="8"/>
      <c r="D967" s="8"/>
      <c r="E967" s="8"/>
      <c r="F967" s="8"/>
      <c r="G967" s="8"/>
      <c r="H967" s="8"/>
      <c r="I967" s="8"/>
      <c r="J967" s="8"/>
      <c r="K967" s="8"/>
      <c r="L967" s="8"/>
      <c r="M967" s="8"/>
      <c r="N967" s="8"/>
      <c r="O967" s="8"/>
      <c r="P967" s="8"/>
      <c r="Q967" s="8"/>
      <c r="R967" s="79"/>
      <c r="S967" s="79"/>
      <c r="T967" s="79"/>
      <c r="U967" s="34"/>
      <c r="V967" s="34"/>
    </row>
    <row r="968" spans="1:22" ht="15" customHeight="1" x14ac:dyDescent="0.2">
      <c r="A968" s="38"/>
      <c r="B968" s="38"/>
      <c r="C968" s="8"/>
      <c r="D968" s="8"/>
      <c r="E968" s="8"/>
      <c r="F968" s="8"/>
      <c r="G968" s="8"/>
      <c r="H968" s="8"/>
      <c r="I968" s="8"/>
      <c r="J968" s="8"/>
      <c r="K968" s="8"/>
      <c r="L968" s="8"/>
      <c r="M968" s="8"/>
      <c r="N968" s="8"/>
      <c r="O968" s="8"/>
      <c r="P968" s="8"/>
      <c r="Q968" s="8"/>
      <c r="R968" s="79"/>
      <c r="S968" s="79"/>
      <c r="T968" s="79"/>
      <c r="U968" s="34"/>
      <c r="V968" s="34"/>
    </row>
    <row r="969" spans="1:22" ht="15" customHeight="1" x14ac:dyDescent="0.2">
      <c r="A969" s="38"/>
      <c r="B969" s="38"/>
      <c r="C969" s="8"/>
      <c r="D969" s="8"/>
      <c r="E969" s="8"/>
      <c r="F969" s="8"/>
      <c r="G969" s="8"/>
      <c r="H969" s="8"/>
      <c r="I969" s="8"/>
      <c r="J969" s="8"/>
      <c r="K969" s="8"/>
      <c r="L969" s="8"/>
      <c r="M969" s="8"/>
      <c r="N969" s="8"/>
      <c r="O969" s="8"/>
      <c r="P969" s="8"/>
      <c r="Q969" s="8"/>
      <c r="R969" s="79"/>
      <c r="S969" s="79"/>
      <c r="T969" s="79"/>
      <c r="U969" s="34"/>
      <c r="V969" s="34"/>
    </row>
    <row r="970" spans="1:22" ht="15" customHeight="1" x14ac:dyDescent="0.2">
      <c r="A970" s="38"/>
      <c r="B970" s="38"/>
      <c r="C970" s="8"/>
      <c r="D970" s="8"/>
      <c r="E970" s="8"/>
      <c r="F970" s="8"/>
      <c r="G970" s="8"/>
      <c r="H970" s="8"/>
      <c r="I970" s="8"/>
      <c r="J970" s="8"/>
      <c r="K970" s="8"/>
      <c r="L970" s="8"/>
      <c r="M970" s="8"/>
      <c r="N970" s="8"/>
      <c r="O970" s="8"/>
      <c r="P970" s="8"/>
      <c r="Q970" s="8"/>
      <c r="R970" s="79"/>
      <c r="S970" s="79"/>
      <c r="T970" s="79"/>
      <c r="U970" s="34"/>
      <c r="V970" s="34"/>
    </row>
    <row r="971" spans="1:22" ht="15" customHeight="1" x14ac:dyDescent="0.2">
      <c r="A971" s="38"/>
      <c r="B971" s="38"/>
      <c r="C971" s="8"/>
      <c r="D971" s="8"/>
      <c r="E971" s="8"/>
      <c r="F971" s="8"/>
      <c r="G971" s="8"/>
      <c r="H971" s="8"/>
      <c r="I971" s="8"/>
      <c r="J971" s="8"/>
      <c r="K971" s="8"/>
      <c r="L971" s="8"/>
      <c r="M971" s="8"/>
      <c r="N971" s="8"/>
      <c r="O971" s="8"/>
      <c r="P971" s="8"/>
      <c r="Q971" s="8"/>
      <c r="R971" s="79"/>
      <c r="S971" s="79"/>
      <c r="T971" s="79"/>
      <c r="U971" s="34"/>
      <c r="V971" s="34"/>
    </row>
    <row r="972" spans="1:22" ht="15" customHeight="1" x14ac:dyDescent="0.2">
      <c r="A972" s="38"/>
      <c r="B972" s="38"/>
      <c r="C972" s="8"/>
      <c r="D972" s="8"/>
      <c r="E972" s="8"/>
      <c r="F972" s="8"/>
      <c r="G972" s="8"/>
      <c r="H972" s="8"/>
      <c r="I972" s="8"/>
      <c r="J972" s="8"/>
      <c r="K972" s="8"/>
      <c r="L972" s="8"/>
      <c r="M972" s="8"/>
      <c r="N972" s="8"/>
      <c r="O972" s="8"/>
      <c r="P972" s="8"/>
      <c r="Q972" s="8"/>
      <c r="R972" s="79"/>
      <c r="S972" s="79"/>
      <c r="T972" s="79"/>
      <c r="U972" s="34"/>
      <c r="V972" s="34"/>
    </row>
    <row r="973" spans="1:22" ht="15" customHeight="1" x14ac:dyDescent="0.2">
      <c r="A973" s="38"/>
      <c r="B973" s="38"/>
      <c r="C973" s="8"/>
      <c r="D973" s="8"/>
      <c r="E973" s="8"/>
      <c r="F973" s="8"/>
      <c r="G973" s="8"/>
      <c r="H973" s="8"/>
      <c r="I973" s="8"/>
      <c r="J973" s="8"/>
      <c r="K973" s="8"/>
      <c r="L973" s="8"/>
      <c r="M973" s="8"/>
      <c r="N973" s="8"/>
      <c r="O973" s="8"/>
      <c r="P973" s="8"/>
      <c r="Q973" s="8"/>
      <c r="R973" s="79"/>
      <c r="S973" s="79"/>
      <c r="T973" s="79"/>
      <c r="U973" s="34"/>
      <c r="V973" s="34"/>
    </row>
    <row r="974" spans="1:22" ht="15" customHeight="1" x14ac:dyDescent="0.2">
      <c r="A974" s="38"/>
      <c r="B974" s="38"/>
      <c r="C974" s="8"/>
      <c r="D974" s="8"/>
      <c r="E974" s="8"/>
      <c r="F974" s="8"/>
      <c r="G974" s="8"/>
      <c r="H974" s="8"/>
      <c r="I974" s="8"/>
      <c r="J974" s="8"/>
      <c r="K974" s="8"/>
      <c r="L974" s="8"/>
      <c r="M974" s="8"/>
      <c r="N974" s="8"/>
      <c r="O974" s="8"/>
      <c r="P974" s="8"/>
      <c r="Q974" s="8"/>
      <c r="R974" s="79"/>
      <c r="S974" s="79"/>
      <c r="T974" s="79"/>
      <c r="U974" s="34"/>
      <c r="V974" s="34"/>
    </row>
    <row r="975" spans="1:22" ht="15" customHeight="1" x14ac:dyDescent="0.2">
      <c r="A975" s="38"/>
      <c r="B975" s="38"/>
      <c r="C975" s="8"/>
      <c r="D975" s="8"/>
      <c r="E975" s="8"/>
      <c r="F975" s="8"/>
      <c r="G975" s="8"/>
      <c r="H975" s="8"/>
      <c r="I975" s="8"/>
      <c r="J975" s="8"/>
      <c r="K975" s="8"/>
      <c r="L975" s="8"/>
      <c r="M975" s="8"/>
      <c r="N975" s="8"/>
      <c r="O975" s="8"/>
      <c r="P975" s="8"/>
      <c r="Q975" s="8"/>
      <c r="R975" s="79"/>
      <c r="S975" s="79"/>
      <c r="T975" s="79"/>
      <c r="U975" s="34"/>
      <c r="V975" s="34"/>
    </row>
    <row r="976" spans="1:22" ht="15" customHeight="1" x14ac:dyDescent="0.2">
      <c r="A976" s="38"/>
      <c r="B976" s="38"/>
      <c r="C976" s="8"/>
      <c r="D976" s="8"/>
      <c r="E976" s="8"/>
      <c r="F976" s="8"/>
      <c r="G976" s="8"/>
      <c r="H976" s="8"/>
      <c r="I976" s="8"/>
      <c r="J976" s="8"/>
      <c r="K976" s="8"/>
      <c r="L976" s="8"/>
      <c r="M976" s="8"/>
      <c r="N976" s="8"/>
      <c r="O976" s="8"/>
      <c r="P976" s="8"/>
      <c r="Q976" s="8"/>
      <c r="R976" s="79"/>
      <c r="S976" s="79"/>
      <c r="T976" s="79"/>
      <c r="U976" s="34"/>
      <c r="V976" s="34"/>
    </row>
    <row r="977" spans="1:22" ht="15" customHeight="1" x14ac:dyDescent="0.2">
      <c r="A977" s="38"/>
      <c r="B977" s="38"/>
      <c r="C977" s="8"/>
      <c r="D977" s="8"/>
      <c r="E977" s="8"/>
      <c r="F977" s="8"/>
      <c r="G977" s="8"/>
      <c r="H977" s="8"/>
      <c r="I977" s="8"/>
      <c r="J977" s="8"/>
      <c r="K977" s="8"/>
      <c r="L977" s="8"/>
      <c r="M977" s="8"/>
      <c r="N977" s="8"/>
      <c r="O977" s="8"/>
      <c r="P977" s="8"/>
      <c r="Q977" s="8"/>
      <c r="R977" s="79"/>
      <c r="S977" s="79"/>
      <c r="T977" s="79"/>
      <c r="U977" s="34"/>
      <c r="V977" s="34"/>
    </row>
    <row r="978" spans="1:22" ht="15" customHeight="1" x14ac:dyDescent="0.2">
      <c r="A978" s="38"/>
      <c r="B978" s="38"/>
      <c r="C978" s="8"/>
      <c r="D978" s="8"/>
      <c r="E978" s="8"/>
      <c r="F978" s="8"/>
      <c r="G978" s="8"/>
      <c r="H978" s="8"/>
      <c r="I978" s="8"/>
      <c r="J978" s="8"/>
      <c r="K978" s="8"/>
      <c r="L978" s="8"/>
      <c r="M978" s="8"/>
      <c r="N978" s="8"/>
      <c r="O978" s="8"/>
      <c r="P978" s="8"/>
      <c r="Q978" s="8"/>
      <c r="R978" s="79"/>
      <c r="S978" s="79"/>
      <c r="T978" s="79"/>
      <c r="U978" s="34"/>
      <c r="V978" s="34"/>
    </row>
    <row r="979" spans="1:22" ht="15" customHeight="1" x14ac:dyDescent="0.2">
      <c r="A979" s="38"/>
      <c r="B979" s="38"/>
      <c r="C979" s="8"/>
      <c r="D979" s="8"/>
      <c r="E979" s="8"/>
      <c r="F979" s="8"/>
      <c r="G979" s="8"/>
      <c r="H979" s="8"/>
      <c r="I979" s="8"/>
      <c r="J979" s="8"/>
      <c r="K979" s="8"/>
      <c r="L979" s="8"/>
      <c r="M979" s="8"/>
      <c r="N979" s="8"/>
      <c r="O979" s="8"/>
      <c r="P979" s="8"/>
      <c r="Q979" s="8"/>
      <c r="R979" s="79"/>
      <c r="S979" s="79"/>
      <c r="T979" s="79"/>
      <c r="U979" s="34"/>
      <c r="V979" s="34"/>
    </row>
    <row r="980" spans="1:22" ht="15" customHeight="1" x14ac:dyDescent="0.2">
      <c r="A980" s="38"/>
      <c r="B980" s="38"/>
      <c r="C980" s="8"/>
      <c r="D980" s="8"/>
      <c r="E980" s="8"/>
      <c r="F980" s="8"/>
      <c r="G980" s="8"/>
      <c r="H980" s="8"/>
      <c r="I980" s="8"/>
      <c r="J980" s="8"/>
      <c r="K980" s="8"/>
      <c r="L980" s="8"/>
      <c r="M980" s="8"/>
      <c r="N980" s="8"/>
      <c r="O980" s="8"/>
      <c r="P980" s="8"/>
      <c r="Q980" s="8"/>
      <c r="R980" s="79"/>
      <c r="S980" s="79"/>
      <c r="T980" s="79"/>
      <c r="U980" s="34"/>
      <c r="V980" s="34"/>
    </row>
    <row r="981" spans="1:22" ht="15" customHeight="1" x14ac:dyDescent="0.2">
      <c r="A981" s="38"/>
      <c r="B981" s="38"/>
      <c r="C981" s="8"/>
      <c r="D981" s="8"/>
      <c r="E981" s="8"/>
      <c r="F981" s="8"/>
      <c r="G981" s="8"/>
      <c r="H981" s="8"/>
      <c r="I981" s="8"/>
      <c r="J981" s="8"/>
      <c r="K981" s="8"/>
      <c r="L981" s="8"/>
      <c r="M981" s="8"/>
      <c r="N981" s="8"/>
      <c r="O981" s="8"/>
      <c r="P981" s="8"/>
      <c r="Q981" s="8"/>
      <c r="R981" s="79"/>
      <c r="S981" s="79"/>
      <c r="T981" s="79"/>
      <c r="U981" s="34"/>
      <c r="V981" s="34"/>
    </row>
    <row r="982" spans="1:22" ht="15" customHeight="1" x14ac:dyDescent="0.2">
      <c r="A982" s="38"/>
      <c r="B982" s="38"/>
      <c r="C982" s="8"/>
      <c r="D982" s="8"/>
      <c r="E982" s="8"/>
      <c r="F982" s="8"/>
      <c r="G982" s="8"/>
      <c r="H982" s="8"/>
      <c r="I982" s="8"/>
      <c r="J982" s="8"/>
      <c r="K982" s="8"/>
      <c r="L982" s="8"/>
      <c r="M982" s="8"/>
      <c r="N982" s="8"/>
      <c r="O982" s="8"/>
      <c r="P982" s="8"/>
      <c r="Q982" s="8"/>
      <c r="R982" s="79"/>
      <c r="S982" s="79"/>
      <c r="T982" s="79"/>
      <c r="U982" s="34"/>
      <c r="V982" s="34"/>
    </row>
    <row r="983" spans="1:22" ht="15" customHeight="1" x14ac:dyDescent="0.2">
      <c r="A983" s="38"/>
      <c r="B983" s="38"/>
      <c r="C983" s="8"/>
      <c r="D983" s="8"/>
      <c r="E983" s="8"/>
      <c r="F983" s="8"/>
      <c r="G983" s="8"/>
      <c r="H983" s="8"/>
      <c r="I983" s="8"/>
      <c r="J983" s="8"/>
      <c r="K983" s="8"/>
      <c r="L983" s="8"/>
      <c r="M983" s="8"/>
      <c r="N983" s="8"/>
      <c r="O983" s="8"/>
      <c r="P983" s="8"/>
      <c r="Q983" s="8"/>
      <c r="R983" s="79"/>
      <c r="S983" s="79"/>
      <c r="T983" s="79"/>
      <c r="U983" s="34"/>
      <c r="V983" s="34"/>
    </row>
    <row r="984" spans="1:22" ht="15" customHeight="1" x14ac:dyDescent="0.2">
      <c r="A984" s="38"/>
      <c r="B984" s="38"/>
      <c r="C984" s="8"/>
      <c r="D984" s="8"/>
      <c r="E984" s="8"/>
      <c r="F984" s="8"/>
      <c r="G984" s="8"/>
      <c r="H984" s="8"/>
      <c r="I984" s="8"/>
      <c r="J984" s="8"/>
      <c r="K984" s="8"/>
      <c r="L984" s="8"/>
      <c r="M984" s="8"/>
      <c r="N984" s="8"/>
      <c r="O984" s="8"/>
      <c r="P984" s="8"/>
      <c r="Q984" s="8"/>
      <c r="R984" s="79"/>
      <c r="S984" s="79"/>
      <c r="T984" s="79"/>
      <c r="U984" s="34"/>
      <c r="V984" s="34"/>
    </row>
    <row r="985" spans="1:22" ht="15" customHeight="1" x14ac:dyDescent="0.2">
      <c r="A985" s="38"/>
      <c r="B985" s="38"/>
      <c r="C985" s="8"/>
      <c r="D985" s="8"/>
      <c r="E985" s="8"/>
      <c r="F985" s="8"/>
      <c r="G985" s="8"/>
      <c r="H985" s="8"/>
      <c r="I985" s="8"/>
      <c r="J985" s="8"/>
      <c r="K985" s="8"/>
      <c r="L985" s="8"/>
      <c r="M985" s="8"/>
      <c r="N985" s="8"/>
      <c r="O985" s="8"/>
      <c r="P985" s="8"/>
      <c r="Q985" s="8"/>
      <c r="R985" s="79"/>
      <c r="S985" s="79"/>
      <c r="T985" s="79"/>
      <c r="U985" s="34"/>
      <c r="V985" s="34"/>
    </row>
    <row r="986" spans="1:22" ht="15" customHeight="1" x14ac:dyDescent="0.2">
      <c r="A986" s="38"/>
      <c r="B986" s="38"/>
      <c r="C986" s="8"/>
      <c r="D986" s="8"/>
      <c r="E986" s="8"/>
      <c r="F986" s="8"/>
      <c r="G986" s="8"/>
      <c r="H986" s="8"/>
      <c r="I986" s="8"/>
      <c r="J986" s="8"/>
      <c r="K986" s="8"/>
      <c r="L986" s="8"/>
      <c r="M986" s="8"/>
      <c r="N986" s="8"/>
      <c r="O986" s="8"/>
      <c r="P986" s="8"/>
      <c r="Q986" s="8"/>
      <c r="R986" s="79"/>
      <c r="S986" s="79"/>
      <c r="T986" s="79"/>
      <c r="U986" s="34"/>
      <c r="V986" s="34"/>
    </row>
    <row r="987" spans="1:22" ht="15" customHeight="1" x14ac:dyDescent="0.2">
      <c r="A987" s="38"/>
      <c r="B987" s="38"/>
      <c r="C987" s="8"/>
      <c r="D987" s="8"/>
      <c r="E987" s="8"/>
      <c r="F987" s="8"/>
      <c r="G987" s="8"/>
      <c r="H987" s="8"/>
      <c r="I987" s="8"/>
      <c r="J987" s="8"/>
      <c r="K987" s="8"/>
      <c r="L987" s="8"/>
      <c r="M987" s="8"/>
      <c r="N987" s="8"/>
      <c r="O987" s="8"/>
      <c r="P987" s="8"/>
      <c r="Q987" s="8"/>
      <c r="R987" s="79"/>
      <c r="S987" s="79"/>
      <c r="T987" s="79"/>
      <c r="U987" s="34"/>
      <c r="V987" s="34"/>
    </row>
    <row r="988" spans="1:22" ht="15" customHeight="1" x14ac:dyDescent="0.2">
      <c r="A988" s="38"/>
      <c r="B988" s="38"/>
      <c r="C988" s="8"/>
      <c r="D988" s="8"/>
      <c r="E988" s="8"/>
      <c r="F988" s="8"/>
      <c r="G988" s="8"/>
      <c r="H988" s="8"/>
      <c r="I988" s="8"/>
      <c r="J988" s="8"/>
      <c r="K988" s="8"/>
      <c r="L988" s="8"/>
      <c r="M988" s="8"/>
      <c r="N988" s="8"/>
      <c r="O988" s="8"/>
      <c r="P988" s="8"/>
      <c r="Q988" s="8"/>
      <c r="R988" s="79"/>
      <c r="S988" s="79"/>
      <c r="T988" s="79"/>
      <c r="U988" s="34"/>
      <c r="V988" s="34"/>
    </row>
    <row r="989" spans="1:22" ht="15" customHeight="1" x14ac:dyDescent="0.2">
      <c r="A989" s="38"/>
      <c r="B989" s="38"/>
      <c r="C989" s="8"/>
      <c r="D989" s="8"/>
      <c r="E989" s="8"/>
      <c r="F989" s="8"/>
      <c r="G989" s="8"/>
      <c r="H989" s="8"/>
      <c r="I989" s="8"/>
      <c r="J989" s="8"/>
      <c r="K989" s="8"/>
      <c r="L989" s="8"/>
      <c r="M989" s="8"/>
      <c r="N989" s="8"/>
      <c r="O989" s="8"/>
      <c r="P989" s="8"/>
      <c r="Q989" s="8"/>
      <c r="R989" s="79"/>
      <c r="S989" s="79"/>
      <c r="T989" s="79"/>
      <c r="U989" s="34"/>
      <c r="V989" s="34"/>
    </row>
    <row r="990" spans="1:22" ht="15" customHeight="1" x14ac:dyDescent="0.2">
      <c r="A990" s="38"/>
      <c r="B990" s="38"/>
      <c r="C990" s="8"/>
      <c r="D990" s="8"/>
      <c r="E990" s="8"/>
      <c r="F990" s="8"/>
      <c r="G990" s="8"/>
      <c r="H990" s="8"/>
      <c r="I990" s="8"/>
      <c r="J990" s="8"/>
      <c r="K990" s="8"/>
      <c r="L990" s="8"/>
      <c r="M990" s="8"/>
      <c r="N990" s="8"/>
      <c r="O990" s="8"/>
      <c r="P990" s="8"/>
      <c r="Q990" s="8"/>
      <c r="R990" s="79"/>
      <c r="S990" s="79"/>
      <c r="T990" s="79"/>
      <c r="U990" s="34"/>
      <c r="V990" s="34"/>
    </row>
    <row r="991" spans="1:22" ht="15" customHeight="1" x14ac:dyDescent="0.2">
      <c r="A991" s="38"/>
      <c r="B991" s="38"/>
      <c r="C991" s="8"/>
      <c r="D991" s="8"/>
      <c r="E991" s="8"/>
      <c r="F991" s="8"/>
      <c r="G991" s="8"/>
      <c r="H991" s="8"/>
      <c r="I991" s="8"/>
      <c r="J991" s="8"/>
      <c r="K991" s="8"/>
      <c r="L991" s="8"/>
      <c r="M991" s="8"/>
      <c r="N991" s="8"/>
      <c r="O991" s="8"/>
      <c r="P991" s="8"/>
      <c r="Q991" s="8"/>
      <c r="R991" s="79"/>
      <c r="S991" s="79"/>
      <c r="T991" s="79"/>
      <c r="U991" s="34"/>
      <c r="V991" s="34"/>
    </row>
    <row r="992" spans="1:22" ht="15" customHeight="1" x14ac:dyDescent="0.2">
      <c r="A992" s="38"/>
      <c r="B992" s="38"/>
      <c r="C992" s="8"/>
      <c r="D992" s="8"/>
      <c r="E992" s="8"/>
      <c r="F992" s="8"/>
      <c r="G992" s="8"/>
      <c r="H992" s="8"/>
      <c r="I992" s="8"/>
      <c r="J992" s="8"/>
      <c r="K992" s="8"/>
      <c r="L992" s="8"/>
      <c r="M992" s="8"/>
      <c r="N992" s="8"/>
      <c r="O992" s="8"/>
      <c r="P992" s="8"/>
      <c r="Q992" s="8"/>
      <c r="R992" s="79"/>
      <c r="S992" s="79"/>
      <c r="T992" s="79"/>
      <c r="U992" s="34"/>
      <c r="V992" s="34"/>
    </row>
    <row r="993" spans="1:22" ht="15" customHeight="1" x14ac:dyDescent="0.2">
      <c r="A993" s="38"/>
      <c r="B993" s="38"/>
      <c r="C993" s="8"/>
      <c r="D993" s="8"/>
      <c r="E993" s="8"/>
      <c r="F993" s="8"/>
      <c r="G993" s="8"/>
      <c r="H993" s="8"/>
      <c r="I993" s="8"/>
      <c r="J993" s="8"/>
      <c r="K993" s="8"/>
      <c r="L993" s="8"/>
      <c r="M993" s="8"/>
      <c r="N993" s="8"/>
      <c r="O993" s="8"/>
      <c r="P993" s="8"/>
      <c r="Q993" s="8"/>
      <c r="R993" s="79"/>
      <c r="S993" s="79"/>
      <c r="T993" s="79"/>
      <c r="U993" s="34"/>
      <c r="V993" s="34"/>
    </row>
    <row r="994" spans="1:22" ht="15" customHeight="1" x14ac:dyDescent="0.2">
      <c r="A994" s="38"/>
      <c r="B994" s="38"/>
      <c r="C994" s="8"/>
      <c r="D994" s="8"/>
      <c r="E994" s="8"/>
      <c r="F994" s="8"/>
      <c r="G994" s="8"/>
      <c r="H994" s="8"/>
      <c r="I994" s="8"/>
      <c r="J994" s="8"/>
      <c r="K994" s="8"/>
      <c r="L994" s="8"/>
      <c r="M994" s="8"/>
      <c r="N994" s="8"/>
      <c r="O994" s="8"/>
      <c r="P994" s="8"/>
      <c r="Q994" s="8"/>
      <c r="R994" s="79"/>
      <c r="S994" s="79"/>
      <c r="T994" s="79"/>
      <c r="U994" s="34"/>
      <c r="V994" s="34"/>
    </row>
    <row r="995" spans="1:22" ht="15" customHeight="1" x14ac:dyDescent="0.2">
      <c r="A995" s="38"/>
      <c r="B995" s="38"/>
      <c r="C995" s="8"/>
      <c r="D995" s="8"/>
      <c r="E995" s="8"/>
      <c r="F995" s="8"/>
      <c r="G995" s="8"/>
      <c r="H995" s="8"/>
      <c r="I995" s="8"/>
      <c r="J995" s="8"/>
      <c r="K995" s="8"/>
      <c r="L995" s="8"/>
      <c r="M995" s="8"/>
      <c r="N995" s="8"/>
      <c r="O995" s="8"/>
      <c r="P995" s="8"/>
      <c r="Q995" s="8"/>
      <c r="R995" s="79"/>
      <c r="S995" s="79"/>
      <c r="T995" s="79"/>
      <c r="U995" s="34"/>
      <c r="V995" s="34"/>
    </row>
    <row r="996" spans="1:22" ht="15" customHeight="1" x14ac:dyDescent="0.2">
      <c r="A996" s="38"/>
      <c r="B996" s="38"/>
      <c r="C996" s="8"/>
      <c r="D996" s="8"/>
      <c r="E996" s="8"/>
      <c r="F996" s="8"/>
      <c r="G996" s="8"/>
      <c r="H996" s="8"/>
      <c r="I996" s="8"/>
      <c r="J996" s="8"/>
      <c r="K996" s="8"/>
      <c r="L996" s="8"/>
      <c r="M996" s="8"/>
      <c r="N996" s="8"/>
      <c r="O996" s="8"/>
      <c r="P996" s="8"/>
      <c r="Q996" s="8"/>
      <c r="R996" s="79"/>
      <c r="S996" s="79"/>
      <c r="T996" s="79"/>
      <c r="U996" s="34"/>
      <c r="V996" s="34"/>
    </row>
    <row r="997" spans="1:22" ht="15" customHeight="1" x14ac:dyDescent="0.2">
      <c r="A997" s="38"/>
      <c r="B997" s="38"/>
      <c r="C997" s="8"/>
      <c r="D997" s="8"/>
      <c r="E997" s="8"/>
      <c r="F997" s="8"/>
      <c r="G997" s="8"/>
      <c r="H997" s="8"/>
      <c r="I997" s="8"/>
      <c r="J997" s="8"/>
      <c r="K997" s="8"/>
      <c r="L997" s="8"/>
      <c r="M997" s="8"/>
      <c r="N997" s="8"/>
      <c r="O997" s="8"/>
      <c r="P997" s="8"/>
      <c r="Q997" s="8"/>
      <c r="R997" s="79"/>
      <c r="S997" s="79"/>
      <c r="T997" s="79"/>
      <c r="U997" s="34"/>
      <c r="V997" s="34"/>
    </row>
    <row r="998" spans="1:22" ht="15" customHeight="1" x14ac:dyDescent="0.2">
      <c r="A998" s="38"/>
      <c r="B998" s="38"/>
      <c r="C998" s="8"/>
      <c r="D998" s="8"/>
      <c r="E998" s="8"/>
      <c r="F998" s="8"/>
      <c r="G998" s="8"/>
      <c r="H998" s="8"/>
      <c r="I998" s="8"/>
      <c r="J998" s="8"/>
      <c r="K998" s="8"/>
      <c r="L998" s="8"/>
      <c r="M998" s="8"/>
      <c r="N998" s="8"/>
      <c r="O998" s="8"/>
      <c r="P998" s="8"/>
      <c r="Q998" s="8"/>
      <c r="R998" s="79"/>
      <c r="S998" s="79"/>
      <c r="T998" s="79"/>
      <c r="U998" s="34"/>
      <c r="V998" s="34"/>
    </row>
    <row r="999" spans="1:22" ht="15" customHeight="1" x14ac:dyDescent="0.2">
      <c r="A999" s="38"/>
      <c r="B999" s="38"/>
      <c r="C999" s="8"/>
      <c r="D999" s="8"/>
      <c r="E999" s="8"/>
      <c r="F999" s="8"/>
      <c r="G999" s="8"/>
      <c r="H999" s="8"/>
      <c r="I999" s="8"/>
      <c r="J999" s="8"/>
      <c r="K999" s="8"/>
      <c r="L999" s="8"/>
      <c r="M999" s="8"/>
      <c r="N999" s="8"/>
      <c r="O999" s="8"/>
      <c r="P999" s="8"/>
      <c r="Q999" s="8"/>
      <c r="R999" s="79"/>
      <c r="S999" s="79"/>
      <c r="T999" s="79"/>
      <c r="U999" s="34"/>
      <c r="V999" s="34"/>
    </row>
    <row r="1000" spans="1:22" ht="15" customHeight="1" x14ac:dyDescent="0.2">
      <c r="A1000" s="38"/>
      <c r="B1000" s="38"/>
      <c r="C1000" s="8"/>
      <c r="D1000" s="8"/>
      <c r="E1000" s="8"/>
      <c r="F1000" s="8"/>
      <c r="G1000" s="8"/>
      <c r="H1000" s="8"/>
      <c r="I1000" s="8"/>
      <c r="J1000" s="8"/>
      <c r="K1000" s="8"/>
      <c r="L1000" s="8"/>
      <c r="M1000" s="8"/>
      <c r="N1000" s="8"/>
      <c r="O1000" s="8"/>
      <c r="P1000" s="8"/>
      <c r="Q1000" s="8"/>
      <c r="R1000" s="79"/>
      <c r="S1000" s="79"/>
      <c r="T1000" s="79"/>
      <c r="U1000" s="34"/>
      <c r="V1000" s="34"/>
    </row>
    <row r="1001" spans="1:22" ht="15" customHeight="1" x14ac:dyDescent="0.2">
      <c r="A1001" s="38"/>
      <c r="B1001" s="38"/>
      <c r="C1001" s="8"/>
      <c r="D1001" s="8"/>
      <c r="E1001" s="8"/>
      <c r="F1001" s="8"/>
      <c r="G1001" s="8"/>
      <c r="H1001" s="8"/>
      <c r="I1001" s="8"/>
      <c r="J1001" s="8"/>
      <c r="K1001" s="8"/>
      <c r="L1001" s="8"/>
      <c r="M1001" s="8"/>
      <c r="N1001" s="8"/>
      <c r="O1001" s="8"/>
      <c r="P1001" s="8"/>
      <c r="Q1001" s="8"/>
      <c r="R1001" s="79"/>
      <c r="S1001" s="79"/>
      <c r="T1001" s="79"/>
      <c r="U1001" s="34"/>
      <c r="V1001" s="34"/>
    </row>
    <row r="1002" spans="1:22" ht="15" customHeight="1" x14ac:dyDescent="0.2">
      <c r="A1002" s="38"/>
      <c r="B1002" s="38"/>
      <c r="C1002" s="8"/>
      <c r="D1002" s="8"/>
      <c r="E1002" s="8"/>
      <c r="F1002" s="8"/>
      <c r="G1002" s="8"/>
      <c r="H1002" s="8"/>
      <c r="I1002" s="8"/>
      <c r="J1002" s="8"/>
      <c r="K1002" s="8"/>
      <c r="L1002" s="8"/>
      <c r="M1002" s="8"/>
      <c r="N1002" s="8"/>
      <c r="O1002" s="8"/>
      <c r="P1002" s="8"/>
      <c r="Q1002" s="8"/>
      <c r="R1002" s="79"/>
      <c r="S1002" s="79"/>
      <c r="T1002" s="79"/>
      <c r="U1002" s="34"/>
      <c r="V1002" s="34"/>
    </row>
    <row r="1003" spans="1:22" ht="15" customHeight="1" x14ac:dyDescent="0.2">
      <c r="A1003" s="38"/>
      <c r="B1003" s="38"/>
      <c r="C1003" s="8"/>
      <c r="D1003" s="8"/>
      <c r="E1003" s="8"/>
      <c r="F1003" s="8"/>
      <c r="G1003" s="8"/>
      <c r="H1003" s="8"/>
      <c r="I1003" s="8"/>
      <c r="J1003" s="8"/>
      <c r="K1003" s="8"/>
      <c r="L1003" s="8"/>
      <c r="M1003" s="8"/>
      <c r="N1003" s="8"/>
      <c r="O1003" s="8"/>
      <c r="P1003" s="8"/>
      <c r="Q1003" s="8"/>
      <c r="R1003" s="79"/>
      <c r="S1003" s="79"/>
      <c r="T1003" s="79"/>
      <c r="U1003" s="34"/>
      <c r="V1003" s="34"/>
    </row>
    <row r="1004" spans="1:22" ht="15" customHeight="1" x14ac:dyDescent="0.2">
      <c r="A1004" s="38"/>
      <c r="B1004" s="38"/>
      <c r="C1004" s="8"/>
      <c r="D1004" s="8"/>
      <c r="E1004" s="8"/>
      <c r="F1004" s="8"/>
      <c r="G1004" s="8"/>
      <c r="H1004" s="8"/>
      <c r="I1004" s="8"/>
      <c r="J1004" s="8"/>
      <c r="K1004" s="8"/>
      <c r="L1004" s="8"/>
      <c r="M1004" s="8"/>
      <c r="N1004" s="8"/>
      <c r="O1004" s="8"/>
      <c r="P1004" s="8"/>
      <c r="Q1004" s="8"/>
      <c r="R1004" s="79"/>
      <c r="S1004" s="79"/>
      <c r="T1004" s="79"/>
      <c r="U1004" s="34"/>
      <c r="V1004" s="34"/>
    </row>
    <row r="1005" spans="1:22" ht="15" customHeight="1" x14ac:dyDescent="0.2">
      <c r="A1005" s="38"/>
      <c r="B1005" s="38"/>
      <c r="C1005" s="8"/>
      <c r="D1005" s="8"/>
      <c r="E1005" s="8"/>
      <c r="F1005" s="8"/>
      <c r="G1005" s="8"/>
      <c r="H1005" s="8"/>
      <c r="I1005" s="8"/>
      <c r="J1005" s="8"/>
      <c r="K1005" s="8"/>
      <c r="L1005" s="8"/>
      <c r="M1005" s="8"/>
      <c r="N1005" s="8"/>
      <c r="O1005" s="8"/>
      <c r="P1005" s="8"/>
      <c r="Q1005" s="8"/>
      <c r="R1005" s="79"/>
      <c r="S1005" s="79"/>
      <c r="T1005" s="79"/>
      <c r="U1005" s="34"/>
      <c r="V1005" s="34"/>
    </row>
    <row r="1006" spans="1:22" ht="15" customHeight="1" x14ac:dyDescent="0.2">
      <c r="A1006" s="38"/>
      <c r="B1006" s="38"/>
      <c r="C1006" s="8"/>
      <c r="D1006" s="8"/>
      <c r="E1006" s="8"/>
      <c r="F1006" s="8"/>
      <c r="G1006" s="8"/>
      <c r="H1006" s="8"/>
      <c r="I1006" s="8"/>
      <c r="J1006" s="8"/>
      <c r="K1006" s="8"/>
      <c r="L1006" s="8"/>
      <c r="M1006" s="8"/>
      <c r="N1006" s="8"/>
      <c r="O1006" s="8"/>
      <c r="P1006" s="8"/>
      <c r="Q1006" s="8"/>
      <c r="R1006" s="79"/>
      <c r="S1006" s="79"/>
      <c r="T1006" s="79"/>
      <c r="U1006" s="34"/>
      <c r="V1006" s="34"/>
    </row>
    <row r="1007" spans="1:22" ht="15" customHeight="1" x14ac:dyDescent="0.2">
      <c r="A1007" s="38"/>
      <c r="B1007" s="38"/>
      <c r="C1007" s="8"/>
      <c r="D1007" s="8"/>
      <c r="E1007" s="8"/>
      <c r="F1007" s="8"/>
      <c r="G1007" s="8"/>
      <c r="H1007" s="8"/>
      <c r="I1007" s="8"/>
      <c r="J1007" s="8"/>
      <c r="K1007" s="8"/>
      <c r="L1007" s="8"/>
      <c r="M1007" s="8"/>
      <c r="N1007" s="8"/>
      <c r="O1007" s="8"/>
      <c r="P1007" s="8"/>
      <c r="Q1007" s="8"/>
      <c r="R1007" s="79"/>
      <c r="S1007" s="79"/>
      <c r="T1007" s="79"/>
      <c r="U1007" s="34"/>
      <c r="V1007" s="34"/>
    </row>
    <row r="1008" spans="1:22" ht="15" customHeight="1" x14ac:dyDescent="0.2">
      <c r="A1008" s="38"/>
      <c r="B1008" s="38"/>
      <c r="C1008" s="8"/>
      <c r="D1008" s="8"/>
      <c r="E1008" s="8"/>
      <c r="F1008" s="8"/>
      <c r="G1008" s="8"/>
      <c r="H1008" s="8"/>
      <c r="I1008" s="8"/>
      <c r="J1008" s="8"/>
      <c r="K1008" s="8"/>
      <c r="L1008" s="8"/>
      <c r="M1008" s="8"/>
      <c r="N1008" s="8"/>
      <c r="O1008" s="8"/>
      <c r="P1008" s="8"/>
      <c r="Q1008" s="8"/>
      <c r="R1008" s="79"/>
      <c r="S1008" s="79"/>
      <c r="T1008" s="79"/>
      <c r="U1008" s="34"/>
      <c r="V1008" s="34"/>
    </row>
    <row r="1009" spans="1:22" ht="15" customHeight="1" x14ac:dyDescent="0.2">
      <c r="A1009" s="38"/>
      <c r="B1009" s="38"/>
      <c r="C1009" s="8"/>
      <c r="D1009" s="8"/>
      <c r="E1009" s="8"/>
      <c r="F1009" s="8"/>
      <c r="G1009" s="8"/>
      <c r="H1009" s="8"/>
      <c r="I1009" s="8"/>
      <c r="J1009" s="8"/>
      <c r="K1009" s="8"/>
      <c r="L1009" s="8"/>
      <c r="M1009" s="8"/>
      <c r="N1009" s="8"/>
      <c r="O1009" s="8"/>
      <c r="P1009" s="8"/>
      <c r="Q1009" s="8"/>
      <c r="R1009" s="79"/>
      <c r="S1009" s="79"/>
      <c r="T1009" s="79"/>
      <c r="U1009" s="34"/>
      <c r="V1009" s="34"/>
    </row>
    <row r="1010" spans="1:22" ht="15" customHeight="1" x14ac:dyDescent="0.2">
      <c r="A1010" s="38"/>
      <c r="B1010" s="38"/>
      <c r="C1010" s="8"/>
      <c r="D1010" s="8"/>
      <c r="E1010" s="8"/>
      <c r="F1010" s="8"/>
      <c r="G1010" s="8"/>
      <c r="H1010" s="8"/>
      <c r="I1010" s="8"/>
      <c r="J1010" s="8"/>
      <c r="K1010" s="8"/>
      <c r="L1010" s="8"/>
      <c r="M1010" s="8"/>
      <c r="N1010" s="8"/>
      <c r="O1010" s="8"/>
      <c r="P1010" s="8"/>
      <c r="Q1010" s="8"/>
      <c r="R1010" s="79"/>
      <c r="S1010" s="79"/>
      <c r="T1010" s="79"/>
      <c r="U1010" s="34"/>
      <c r="V1010" s="34"/>
    </row>
    <row r="1011" spans="1:22" ht="15" customHeight="1" x14ac:dyDescent="0.2">
      <c r="A1011" s="38"/>
      <c r="B1011" s="38"/>
      <c r="C1011" s="8"/>
      <c r="D1011" s="8"/>
      <c r="E1011" s="8"/>
      <c r="F1011" s="8"/>
      <c r="G1011" s="8"/>
      <c r="H1011" s="8"/>
      <c r="I1011" s="8"/>
      <c r="J1011" s="8"/>
      <c r="K1011" s="8"/>
      <c r="L1011" s="8"/>
      <c r="M1011" s="8"/>
      <c r="N1011" s="8"/>
      <c r="O1011" s="8"/>
      <c r="P1011" s="8"/>
      <c r="Q1011" s="8"/>
      <c r="R1011" s="79"/>
      <c r="S1011" s="79"/>
      <c r="T1011" s="79"/>
      <c r="U1011" s="34"/>
      <c r="V1011" s="34"/>
    </row>
    <row r="1012" spans="1:22" ht="15" customHeight="1" x14ac:dyDescent="0.2">
      <c r="A1012" s="38"/>
      <c r="B1012" s="38"/>
      <c r="C1012" s="8"/>
      <c r="D1012" s="8"/>
      <c r="E1012" s="8"/>
      <c r="F1012" s="8"/>
      <c r="G1012" s="8"/>
      <c r="H1012" s="8"/>
      <c r="I1012" s="8"/>
      <c r="J1012" s="8"/>
      <c r="K1012" s="8"/>
      <c r="L1012" s="8"/>
      <c r="M1012" s="8"/>
      <c r="N1012" s="8"/>
      <c r="O1012" s="8"/>
      <c r="P1012" s="8"/>
      <c r="Q1012" s="8"/>
      <c r="R1012" s="79"/>
      <c r="S1012" s="79"/>
      <c r="T1012" s="79"/>
      <c r="U1012" s="34"/>
      <c r="V1012" s="34"/>
    </row>
    <row r="1013" spans="1:22" ht="15" customHeight="1" x14ac:dyDescent="0.2">
      <c r="A1013" s="38"/>
      <c r="B1013" s="38"/>
      <c r="C1013" s="8"/>
      <c r="D1013" s="8"/>
      <c r="E1013" s="8"/>
      <c r="F1013" s="8"/>
      <c r="G1013" s="8"/>
      <c r="H1013" s="8"/>
      <c r="I1013" s="8"/>
      <c r="J1013" s="8"/>
      <c r="K1013" s="8"/>
      <c r="L1013" s="8"/>
      <c r="M1013" s="8"/>
      <c r="N1013" s="8"/>
      <c r="O1013" s="8"/>
      <c r="P1013" s="8"/>
      <c r="Q1013" s="8"/>
      <c r="R1013" s="79"/>
      <c r="S1013" s="79"/>
      <c r="T1013" s="79"/>
      <c r="U1013" s="34"/>
      <c r="V1013" s="34"/>
    </row>
    <row r="1014" spans="1:22" ht="15" customHeight="1" x14ac:dyDescent="0.2">
      <c r="A1014" s="38"/>
      <c r="B1014" s="38"/>
      <c r="C1014" s="8"/>
      <c r="D1014" s="8"/>
      <c r="E1014" s="8"/>
      <c r="F1014" s="8"/>
      <c r="G1014" s="8"/>
      <c r="H1014" s="8"/>
      <c r="I1014" s="8"/>
      <c r="J1014" s="8"/>
      <c r="K1014" s="8"/>
      <c r="L1014" s="8"/>
      <c r="M1014" s="8"/>
      <c r="N1014" s="8"/>
      <c r="O1014" s="8"/>
      <c r="P1014" s="8"/>
      <c r="Q1014" s="8"/>
      <c r="R1014" s="79"/>
      <c r="S1014" s="79"/>
      <c r="T1014" s="79"/>
      <c r="U1014" s="34"/>
      <c r="V1014" s="34"/>
    </row>
    <row r="1015" spans="1:22" ht="15" customHeight="1" x14ac:dyDescent="0.2">
      <c r="A1015" s="38"/>
      <c r="B1015" s="38"/>
      <c r="C1015" s="8"/>
      <c r="D1015" s="8"/>
      <c r="E1015" s="8"/>
      <c r="F1015" s="8"/>
      <c r="G1015" s="8"/>
      <c r="H1015" s="8"/>
      <c r="I1015" s="8"/>
      <c r="J1015" s="8"/>
      <c r="K1015" s="8"/>
      <c r="L1015" s="8"/>
      <c r="M1015" s="8"/>
      <c r="N1015" s="8"/>
      <c r="O1015" s="8"/>
      <c r="P1015" s="8"/>
      <c r="Q1015" s="8"/>
      <c r="R1015" s="79"/>
      <c r="S1015" s="79"/>
      <c r="T1015" s="79"/>
      <c r="U1015" s="34"/>
      <c r="V1015" s="34"/>
    </row>
    <row r="1016" spans="1:22" ht="15" customHeight="1" x14ac:dyDescent="0.2">
      <c r="A1016" s="38"/>
      <c r="B1016" s="38"/>
      <c r="C1016" s="8"/>
      <c r="D1016" s="8"/>
      <c r="E1016" s="8"/>
      <c r="F1016" s="8"/>
      <c r="G1016" s="8"/>
      <c r="H1016" s="8"/>
      <c r="I1016" s="8"/>
      <c r="J1016" s="8"/>
      <c r="K1016" s="8"/>
      <c r="L1016" s="8"/>
      <c r="M1016" s="8"/>
      <c r="N1016" s="8"/>
      <c r="O1016" s="8"/>
      <c r="P1016" s="8"/>
      <c r="Q1016" s="8"/>
      <c r="R1016" s="79"/>
      <c r="S1016" s="79"/>
      <c r="T1016" s="79"/>
      <c r="U1016" s="34"/>
      <c r="V1016" s="34"/>
    </row>
    <row r="1017" spans="1:22" ht="15" customHeight="1" x14ac:dyDescent="0.2">
      <c r="A1017" s="38"/>
      <c r="B1017" s="38"/>
      <c r="C1017" s="8"/>
      <c r="D1017" s="8"/>
      <c r="E1017" s="8"/>
      <c r="F1017" s="8"/>
      <c r="G1017" s="8"/>
      <c r="H1017" s="8"/>
      <c r="I1017" s="8"/>
      <c r="J1017" s="8"/>
      <c r="K1017" s="8"/>
      <c r="L1017" s="8"/>
      <c r="M1017" s="8"/>
      <c r="N1017" s="8"/>
      <c r="O1017" s="8"/>
      <c r="P1017" s="8"/>
      <c r="Q1017" s="8"/>
      <c r="R1017" s="79"/>
      <c r="S1017" s="79"/>
      <c r="T1017" s="79"/>
      <c r="U1017" s="34"/>
      <c r="V1017" s="34"/>
    </row>
    <row r="1018" spans="1:22" ht="15" customHeight="1" x14ac:dyDescent="0.2">
      <c r="A1018" s="38"/>
      <c r="B1018" s="38"/>
      <c r="C1018" s="8"/>
      <c r="D1018" s="8"/>
      <c r="E1018" s="8"/>
      <c r="F1018" s="8"/>
      <c r="G1018" s="8"/>
      <c r="H1018" s="8"/>
      <c r="I1018" s="8"/>
      <c r="J1018" s="8"/>
      <c r="K1018" s="8"/>
      <c r="L1018" s="8"/>
      <c r="M1018" s="8"/>
      <c r="N1018" s="8"/>
      <c r="O1018" s="8"/>
      <c r="P1018" s="8"/>
      <c r="Q1018" s="8"/>
      <c r="R1018" s="79"/>
      <c r="S1018" s="79"/>
      <c r="T1018" s="79"/>
      <c r="U1018" s="34"/>
      <c r="V1018" s="34"/>
    </row>
    <row r="1019" spans="1:22" ht="15" customHeight="1" x14ac:dyDescent="0.2">
      <c r="A1019" s="38"/>
      <c r="B1019" s="38"/>
      <c r="C1019" s="8"/>
      <c r="D1019" s="8"/>
      <c r="E1019" s="8"/>
      <c r="F1019" s="8"/>
      <c r="G1019" s="8"/>
      <c r="H1019" s="8"/>
      <c r="I1019" s="8"/>
      <c r="J1019" s="8"/>
      <c r="K1019" s="8"/>
      <c r="L1019" s="8"/>
      <c r="M1019" s="8"/>
      <c r="N1019" s="8"/>
      <c r="O1019" s="8"/>
      <c r="P1019" s="8"/>
      <c r="Q1019" s="8"/>
      <c r="R1019" s="79"/>
      <c r="S1019" s="79"/>
      <c r="T1019" s="79"/>
      <c r="U1019" s="34"/>
      <c r="V1019" s="34"/>
    </row>
    <row r="1020" spans="1:22" ht="15" customHeight="1" x14ac:dyDescent="0.2">
      <c r="A1020" s="38"/>
      <c r="B1020" s="38"/>
      <c r="C1020" s="8"/>
      <c r="D1020" s="8"/>
      <c r="E1020" s="8"/>
      <c r="F1020" s="8"/>
      <c r="G1020" s="8"/>
      <c r="H1020" s="8"/>
      <c r="I1020" s="8"/>
      <c r="J1020" s="8"/>
      <c r="K1020" s="8"/>
      <c r="L1020" s="8"/>
      <c r="M1020" s="8"/>
      <c r="N1020" s="8"/>
      <c r="O1020" s="8"/>
      <c r="P1020" s="8"/>
      <c r="Q1020" s="8"/>
      <c r="R1020" s="79"/>
      <c r="S1020" s="79"/>
      <c r="T1020" s="79"/>
      <c r="U1020" s="34"/>
      <c r="V1020" s="34"/>
    </row>
    <row r="1021" spans="1:22" ht="15" customHeight="1" x14ac:dyDescent="0.2">
      <c r="A1021" s="38"/>
      <c r="B1021" s="38"/>
      <c r="C1021" s="8"/>
      <c r="D1021" s="8"/>
      <c r="E1021" s="8"/>
      <c r="F1021" s="8"/>
      <c r="G1021" s="8"/>
      <c r="H1021" s="8"/>
      <c r="I1021" s="8"/>
      <c r="J1021" s="8"/>
      <c r="K1021" s="8"/>
      <c r="L1021" s="8"/>
      <c r="M1021" s="8"/>
      <c r="N1021" s="8"/>
      <c r="O1021" s="8"/>
      <c r="P1021" s="8"/>
      <c r="Q1021" s="8"/>
      <c r="R1021" s="79"/>
      <c r="S1021" s="79"/>
      <c r="T1021" s="79"/>
      <c r="U1021" s="34"/>
      <c r="V1021" s="34"/>
    </row>
    <row r="1022" spans="1:22" ht="15" customHeight="1" x14ac:dyDescent="0.2">
      <c r="A1022" s="38"/>
      <c r="B1022" s="38"/>
      <c r="C1022" s="8"/>
      <c r="D1022" s="8"/>
      <c r="E1022" s="8"/>
      <c r="F1022" s="8"/>
      <c r="G1022" s="8"/>
      <c r="H1022" s="8"/>
      <c r="I1022" s="8"/>
      <c r="J1022" s="8"/>
      <c r="K1022" s="8"/>
      <c r="L1022" s="8"/>
      <c r="M1022" s="8"/>
      <c r="N1022" s="8"/>
      <c r="O1022" s="8"/>
      <c r="P1022" s="8"/>
      <c r="Q1022" s="8"/>
      <c r="R1022" s="79"/>
      <c r="S1022" s="79"/>
      <c r="T1022" s="79"/>
      <c r="U1022" s="34"/>
      <c r="V1022" s="34"/>
    </row>
    <row r="1023" spans="1:22" ht="15" customHeight="1" x14ac:dyDescent="0.2">
      <c r="A1023" s="38"/>
      <c r="B1023" s="38"/>
      <c r="C1023" s="8"/>
      <c r="D1023" s="8"/>
      <c r="E1023" s="8"/>
      <c r="F1023" s="8"/>
      <c r="G1023" s="8"/>
      <c r="H1023" s="8"/>
      <c r="I1023" s="8"/>
      <c r="J1023" s="8"/>
      <c r="K1023" s="8"/>
      <c r="L1023" s="8"/>
      <c r="M1023" s="8"/>
      <c r="N1023" s="8"/>
      <c r="O1023" s="8"/>
      <c r="P1023" s="8"/>
      <c r="Q1023" s="8"/>
      <c r="R1023" s="79"/>
      <c r="S1023" s="79"/>
      <c r="T1023" s="79"/>
      <c r="U1023" s="34"/>
      <c r="V1023" s="34"/>
    </row>
    <row r="1024" spans="1:22" ht="15" customHeight="1" x14ac:dyDescent="0.2">
      <c r="A1024" s="38"/>
      <c r="B1024" s="38"/>
      <c r="C1024" s="8"/>
      <c r="D1024" s="8"/>
      <c r="E1024" s="8"/>
      <c r="F1024" s="8"/>
      <c r="G1024" s="8"/>
      <c r="H1024" s="8"/>
      <c r="I1024" s="8"/>
      <c r="J1024" s="8"/>
      <c r="K1024" s="8"/>
      <c r="L1024" s="8"/>
      <c r="M1024" s="8"/>
      <c r="N1024" s="8"/>
      <c r="O1024" s="8"/>
      <c r="P1024" s="8"/>
      <c r="Q1024" s="8"/>
      <c r="R1024" s="79"/>
      <c r="S1024" s="79"/>
      <c r="T1024" s="79"/>
      <c r="U1024" s="34"/>
      <c r="V1024" s="34"/>
    </row>
    <row r="1025" spans="1:22" ht="15" customHeight="1" x14ac:dyDescent="0.2">
      <c r="A1025" s="38"/>
      <c r="B1025" s="38"/>
      <c r="C1025" s="8"/>
      <c r="D1025" s="8"/>
      <c r="E1025" s="8"/>
      <c r="F1025" s="8"/>
      <c r="G1025" s="8"/>
      <c r="H1025" s="8"/>
      <c r="I1025" s="8"/>
      <c r="J1025" s="8"/>
      <c r="K1025" s="8"/>
      <c r="L1025" s="8"/>
      <c r="M1025" s="8"/>
      <c r="N1025" s="8"/>
      <c r="O1025" s="8"/>
      <c r="P1025" s="8"/>
      <c r="Q1025" s="8"/>
      <c r="R1025" s="79"/>
      <c r="S1025" s="79"/>
      <c r="T1025" s="79"/>
      <c r="U1025" s="34"/>
      <c r="V1025" s="34"/>
    </row>
    <row r="1026" spans="1:22" ht="15" customHeight="1" x14ac:dyDescent="0.2">
      <c r="A1026" s="38"/>
      <c r="B1026" s="38"/>
      <c r="C1026" s="8"/>
      <c r="D1026" s="8"/>
      <c r="E1026" s="8"/>
      <c r="F1026" s="8"/>
      <c r="G1026" s="8"/>
      <c r="H1026" s="8"/>
      <c r="I1026" s="8"/>
      <c r="J1026" s="8"/>
      <c r="K1026" s="8"/>
      <c r="L1026" s="8"/>
      <c r="M1026" s="8"/>
      <c r="N1026" s="8"/>
      <c r="O1026" s="8"/>
      <c r="P1026" s="8"/>
      <c r="Q1026" s="8"/>
      <c r="R1026" s="79"/>
      <c r="S1026" s="79"/>
      <c r="T1026" s="79"/>
      <c r="U1026" s="34"/>
      <c r="V1026" s="34"/>
    </row>
    <row r="1027" spans="1:22" ht="15" customHeight="1" x14ac:dyDescent="0.2">
      <c r="A1027" s="38"/>
      <c r="B1027" s="38"/>
      <c r="C1027" s="8"/>
      <c r="D1027" s="8"/>
      <c r="E1027" s="8"/>
      <c r="F1027" s="8"/>
      <c r="G1027" s="8"/>
      <c r="H1027" s="8"/>
      <c r="I1027" s="8"/>
      <c r="J1027" s="8"/>
      <c r="K1027" s="8"/>
      <c r="L1027" s="8"/>
      <c r="M1027" s="8"/>
      <c r="N1027" s="8"/>
      <c r="O1027" s="8"/>
      <c r="P1027" s="8"/>
      <c r="Q1027" s="8"/>
      <c r="R1027" s="79"/>
      <c r="S1027" s="79"/>
      <c r="T1027" s="79"/>
      <c r="U1027" s="34"/>
      <c r="V1027" s="34"/>
    </row>
    <row r="1028" spans="1:22" ht="15" customHeight="1" x14ac:dyDescent="0.2">
      <c r="A1028" s="38"/>
      <c r="B1028" s="38"/>
      <c r="C1028" s="8"/>
      <c r="D1028" s="8"/>
      <c r="E1028" s="8"/>
      <c r="F1028" s="8"/>
      <c r="G1028" s="8"/>
      <c r="H1028" s="8"/>
      <c r="I1028" s="8"/>
      <c r="J1028" s="8"/>
      <c r="K1028" s="8"/>
      <c r="L1028" s="8"/>
      <c r="M1028" s="8"/>
      <c r="N1028" s="8"/>
      <c r="O1028" s="8"/>
      <c r="P1028" s="8"/>
      <c r="Q1028" s="8"/>
      <c r="R1028" s="79"/>
      <c r="S1028" s="79"/>
      <c r="T1028" s="79"/>
      <c r="U1028" s="34"/>
      <c r="V1028" s="34"/>
    </row>
    <row r="1029" spans="1:22" ht="15" customHeight="1" x14ac:dyDescent="0.2">
      <c r="A1029" s="38"/>
      <c r="B1029" s="38"/>
      <c r="C1029" s="8"/>
      <c r="D1029" s="8"/>
      <c r="E1029" s="8"/>
      <c r="F1029" s="8"/>
      <c r="G1029" s="8"/>
      <c r="H1029" s="8"/>
      <c r="I1029" s="8"/>
      <c r="J1029" s="8"/>
      <c r="K1029" s="8"/>
      <c r="L1029" s="8"/>
      <c r="M1029" s="8"/>
      <c r="N1029" s="8"/>
      <c r="O1029" s="8"/>
      <c r="P1029" s="8"/>
      <c r="Q1029" s="8"/>
      <c r="R1029" s="79"/>
      <c r="S1029" s="79"/>
      <c r="T1029" s="79"/>
      <c r="U1029" s="34"/>
      <c r="V1029" s="34"/>
    </row>
    <row r="1030" spans="1:22" ht="15" customHeight="1" x14ac:dyDescent="0.2">
      <c r="A1030" s="38"/>
      <c r="B1030" s="38"/>
      <c r="C1030" s="8"/>
      <c r="D1030" s="8"/>
      <c r="E1030" s="8"/>
      <c r="F1030" s="8"/>
      <c r="G1030" s="8"/>
      <c r="H1030" s="8"/>
      <c r="I1030" s="8"/>
      <c r="J1030" s="8"/>
      <c r="K1030" s="8"/>
      <c r="L1030" s="8"/>
      <c r="M1030" s="8"/>
      <c r="N1030" s="8"/>
      <c r="O1030" s="8"/>
      <c r="P1030" s="8"/>
      <c r="Q1030" s="8"/>
      <c r="R1030" s="79"/>
      <c r="S1030" s="79"/>
      <c r="T1030" s="79"/>
      <c r="U1030" s="34"/>
      <c r="V1030" s="34"/>
    </row>
    <row r="1031" spans="1:22" ht="15" customHeight="1" x14ac:dyDescent="0.2">
      <c r="A1031" s="38"/>
      <c r="B1031" s="38"/>
      <c r="C1031" s="8"/>
      <c r="D1031" s="8"/>
      <c r="E1031" s="8"/>
      <c r="F1031" s="8"/>
      <c r="G1031" s="8"/>
      <c r="H1031" s="8"/>
      <c r="I1031" s="8"/>
      <c r="J1031" s="8"/>
      <c r="K1031" s="8"/>
      <c r="L1031" s="8"/>
      <c r="M1031" s="8"/>
      <c r="N1031" s="8"/>
      <c r="O1031" s="8"/>
      <c r="P1031" s="8"/>
      <c r="Q1031" s="8"/>
      <c r="R1031" s="79"/>
      <c r="S1031" s="79"/>
      <c r="T1031" s="79"/>
      <c r="U1031" s="34"/>
      <c r="V1031" s="34"/>
    </row>
    <row r="1032" spans="1:22" ht="15" customHeight="1" x14ac:dyDescent="0.2">
      <c r="A1032" s="38"/>
      <c r="B1032" s="38"/>
      <c r="C1032" s="8"/>
      <c r="D1032" s="8"/>
      <c r="E1032" s="8"/>
      <c r="F1032" s="8"/>
      <c r="G1032" s="8"/>
      <c r="H1032" s="8"/>
      <c r="I1032" s="8"/>
      <c r="J1032" s="8"/>
      <c r="K1032" s="8"/>
      <c r="L1032" s="8"/>
      <c r="M1032" s="8"/>
      <c r="N1032" s="8"/>
      <c r="O1032" s="8"/>
      <c r="P1032" s="8"/>
      <c r="Q1032" s="8"/>
      <c r="R1032" s="79"/>
      <c r="S1032" s="79"/>
      <c r="T1032" s="79"/>
      <c r="U1032" s="34"/>
      <c r="V1032" s="34"/>
    </row>
    <row r="1033" spans="1:22" ht="15" customHeight="1" x14ac:dyDescent="0.2">
      <c r="A1033" s="38"/>
      <c r="B1033" s="38"/>
      <c r="C1033" s="8"/>
      <c r="D1033" s="8"/>
      <c r="E1033" s="8"/>
      <c r="F1033" s="8"/>
      <c r="G1033" s="8"/>
      <c r="H1033" s="8"/>
      <c r="I1033" s="8"/>
      <c r="J1033" s="8"/>
      <c r="K1033" s="8"/>
      <c r="L1033" s="8"/>
      <c r="M1033" s="8"/>
      <c r="N1033" s="8"/>
      <c r="O1033" s="8"/>
      <c r="P1033" s="8"/>
      <c r="Q1033" s="8"/>
      <c r="R1033" s="79"/>
      <c r="S1033" s="79"/>
      <c r="T1033" s="79"/>
      <c r="U1033" s="34"/>
      <c r="V1033" s="34"/>
    </row>
    <row r="1034" spans="1:22" ht="15" customHeight="1" x14ac:dyDescent="0.2">
      <c r="A1034" s="38"/>
      <c r="B1034" s="38"/>
      <c r="C1034" s="8"/>
      <c r="D1034" s="8"/>
      <c r="E1034" s="8"/>
      <c r="F1034" s="8"/>
      <c r="G1034" s="8"/>
      <c r="H1034" s="8"/>
      <c r="I1034" s="8"/>
      <c r="J1034" s="8"/>
      <c r="K1034" s="8"/>
      <c r="L1034" s="8"/>
      <c r="M1034" s="8"/>
      <c r="N1034" s="8"/>
      <c r="O1034" s="8"/>
      <c r="P1034" s="8"/>
      <c r="Q1034" s="8"/>
      <c r="R1034" s="79"/>
      <c r="S1034" s="79"/>
      <c r="T1034" s="79"/>
      <c r="U1034" s="34"/>
      <c r="V1034" s="34"/>
    </row>
    <row r="1035" spans="1:22" ht="15" customHeight="1" x14ac:dyDescent="0.2">
      <c r="A1035" s="38"/>
      <c r="B1035" s="38"/>
      <c r="C1035" s="8"/>
      <c r="D1035" s="8"/>
      <c r="E1035" s="8"/>
      <c r="F1035" s="8"/>
      <c r="G1035" s="8"/>
      <c r="H1035" s="8"/>
      <c r="I1035" s="8"/>
      <c r="J1035" s="8"/>
      <c r="K1035" s="8"/>
      <c r="L1035" s="8"/>
      <c r="M1035" s="8"/>
      <c r="N1035" s="8"/>
      <c r="O1035" s="8"/>
      <c r="P1035" s="8"/>
      <c r="Q1035" s="8"/>
      <c r="R1035" s="79"/>
      <c r="S1035" s="79"/>
      <c r="T1035" s="79"/>
      <c r="U1035" s="34"/>
      <c r="V1035" s="34"/>
    </row>
    <row r="1036" spans="1:22" ht="15" customHeight="1" x14ac:dyDescent="0.2">
      <c r="A1036" s="38"/>
      <c r="B1036" s="38"/>
      <c r="C1036" s="8"/>
      <c r="D1036" s="8"/>
      <c r="E1036" s="8"/>
      <c r="F1036" s="8"/>
      <c r="G1036" s="8"/>
      <c r="H1036" s="8"/>
      <c r="I1036" s="8"/>
      <c r="J1036" s="8"/>
      <c r="K1036" s="8"/>
      <c r="L1036" s="8"/>
      <c r="M1036" s="8"/>
      <c r="N1036" s="8"/>
      <c r="O1036" s="8"/>
      <c r="P1036" s="8"/>
      <c r="Q1036" s="8"/>
      <c r="R1036" s="79"/>
      <c r="S1036" s="79"/>
      <c r="T1036" s="79"/>
      <c r="U1036" s="34"/>
      <c r="V1036" s="34"/>
    </row>
    <row r="1037" spans="1:22" ht="15" customHeight="1" x14ac:dyDescent="0.2">
      <c r="A1037" s="38"/>
      <c r="B1037" s="38"/>
      <c r="C1037" s="8"/>
      <c r="D1037" s="8"/>
      <c r="E1037" s="8"/>
      <c r="F1037" s="8"/>
      <c r="G1037" s="8"/>
      <c r="H1037" s="8"/>
      <c r="I1037" s="8"/>
      <c r="J1037" s="8"/>
      <c r="K1037" s="8"/>
      <c r="L1037" s="8"/>
      <c r="M1037" s="8"/>
      <c r="N1037" s="8"/>
      <c r="O1037" s="8"/>
      <c r="P1037" s="8"/>
      <c r="Q1037" s="8"/>
      <c r="R1037" s="79"/>
      <c r="S1037" s="79"/>
      <c r="T1037" s="79"/>
      <c r="U1037" s="34"/>
      <c r="V1037" s="34"/>
    </row>
    <row r="1038" spans="1:22" ht="15" customHeight="1" x14ac:dyDescent="0.2">
      <c r="A1038" s="38"/>
      <c r="B1038" s="38"/>
      <c r="C1038" s="8"/>
      <c r="D1038" s="8"/>
      <c r="E1038" s="8"/>
      <c r="F1038" s="8"/>
      <c r="G1038" s="8"/>
      <c r="H1038" s="8"/>
      <c r="I1038" s="8"/>
      <c r="J1038" s="8"/>
      <c r="K1038" s="8"/>
      <c r="L1038" s="8"/>
      <c r="M1038" s="8"/>
      <c r="N1038" s="8"/>
      <c r="O1038" s="8"/>
      <c r="P1038" s="8"/>
      <c r="Q1038" s="8"/>
      <c r="R1038" s="79"/>
      <c r="S1038" s="79"/>
      <c r="T1038" s="79"/>
      <c r="U1038" s="34"/>
      <c r="V1038" s="34"/>
    </row>
    <row r="1039" spans="1:22" ht="15" customHeight="1" x14ac:dyDescent="0.2">
      <c r="A1039" s="38"/>
      <c r="B1039" s="38"/>
      <c r="C1039" s="8"/>
      <c r="D1039" s="8"/>
      <c r="E1039" s="8"/>
      <c r="F1039" s="8"/>
      <c r="G1039" s="8"/>
      <c r="H1039" s="8"/>
      <c r="I1039" s="8"/>
      <c r="J1039" s="8"/>
      <c r="K1039" s="8"/>
      <c r="L1039" s="8"/>
      <c r="M1039" s="8"/>
      <c r="N1039" s="8"/>
      <c r="O1039" s="8"/>
      <c r="P1039" s="8"/>
      <c r="Q1039" s="8"/>
      <c r="R1039" s="79"/>
      <c r="S1039" s="79"/>
      <c r="T1039" s="79"/>
      <c r="U1039" s="34"/>
      <c r="V1039" s="34"/>
    </row>
    <row r="1040" spans="1:22" ht="15" customHeight="1" x14ac:dyDescent="0.2">
      <c r="A1040" s="38"/>
      <c r="B1040" s="38"/>
      <c r="C1040" s="8"/>
      <c r="D1040" s="8"/>
      <c r="E1040" s="8"/>
      <c r="F1040" s="8"/>
      <c r="G1040" s="8"/>
      <c r="H1040" s="8"/>
      <c r="I1040" s="8"/>
      <c r="J1040" s="8"/>
      <c r="K1040" s="8"/>
      <c r="L1040" s="8"/>
      <c r="M1040" s="8"/>
      <c r="N1040" s="8"/>
      <c r="O1040" s="8"/>
      <c r="P1040" s="8"/>
      <c r="Q1040" s="8"/>
      <c r="R1040" s="79"/>
      <c r="S1040" s="79"/>
      <c r="T1040" s="79"/>
      <c r="U1040" s="34"/>
      <c r="V1040" s="34"/>
    </row>
    <row r="1041" spans="1:22" ht="15" customHeight="1" x14ac:dyDescent="0.2">
      <c r="A1041" s="38"/>
      <c r="B1041" s="38"/>
      <c r="C1041" s="8"/>
      <c r="D1041" s="8"/>
      <c r="E1041" s="8"/>
      <c r="F1041" s="8"/>
      <c r="G1041" s="8"/>
      <c r="H1041" s="8"/>
      <c r="I1041" s="8"/>
      <c r="J1041" s="8"/>
      <c r="K1041" s="8"/>
      <c r="L1041" s="8"/>
      <c r="M1041" s="8"/>
      <c r="N1041" s="8"/>
      <c r="O1041" s="8"/>
      <c r="P1041" s="8"/>
      <c r="Q1041" s="8"/>
      <c r="R1041" s="79"/>
      <c r="S1041" s="79"/>
      <c r="T1041" s="79"/>
      <c r="U1041" s="34"/>
      <c r="V1041" s="34"/>
    </row>
    <row r="1042" spans="1:22" ht="15" customHeight="1" x14ac:dyDescent="0.2">
      <c r="A1042" s="38"/>
      <c r="B1042" s="38"/>
      <c r="C1042" s="8"/>
      <c r="D1042" s="8"/>
      <c r="E1042" s="8"/>
      <c r="F1042" s="8"/>
      <c r="G1042" s="8"/>
      <c r="H1042" s="8"/>
      <c r="I1042" s="8"/>
      <c r="J1042" s="8"/>
      <c r="K1042" s="8"/>
      <c r="L1042" s="8"/>
      <c r="M1042" s="8"/>
      <c r="N1042" s="8"/>
      <c r="O1042" s="8"/>
      <c r="P1042" s="8"/>
      <c r="Q1042" s="8"/>
      <c r="R1042" s="79"/>
      <c r="S1042" s="79"/>
      <c r="T1042" s="79"/>
      <c r="U1042" s="34"/>
      <c r="V1042" s="34"/>
    </row>
    <row r="1043" spans="1:22" ht="15" customHeight="1" x14ac:dyDescent="0.2">
      <c r="A1043" s="38"/>
      <c r="B1043" s="38"/>
      <c r="C1043" s="8"/>
      <c r="D1043" s="8"/>
      <c r="E1043" s="8"/>
      <c r="F1043" s="8"/>
      <c r="G1043" s="8"/>
      <c r="H1043" s="8"/>
      <c r="I1043" s="8"/>
      <c r="J1043" s="8"/>
      <c r="K1043" s="8"/>
      <c r="L1043" s="8"/>
      <c r="M1043" s="8"/>
      <c r="N1043" s="8"/>
      <c r="O1043" s="8"/>
      <c r="P1043" s="8"/>
      <c r="Q1043" s="8"/>
      <c r="R1043" s="79"/>
      <c r="S1043" s="79"/>
      <c r="T1043" s="79"/>
      <c r="U1043" s="34"/>
      <c r="V1043" s="34"/>
    </row>
    <row r="1044" spans="1:22" ht="15" customHeight="1" x14ac:dyDescent="0.2">
      <c r="A1044" s="38"/>
      <c r="B1044" s="38"/>
      <c r="C1044" s="8"/>
      <c r="D1044" s="8"/>
      <c r="E1044" s="8"/>
      <c r="F1044" s="8"/>
      <c r="G1044" s="8"/>
      <c r="H1044" s="8"/>
      <c r="I1044" s="8"/>
      <c r="J1044" s="8"/>
      <c r="K1044" s="8"/>
      <c r="L1044" s="8"/>
      <c r="M1044" s="8"/>
      <c r="N1044" s="8"/>
      <c r="O1044" s="8"/>
      <c r="P1044" s="8"/>
      <c r="Q1044" s="8"/>
      <c r="R1044" s="79"/>
      <c r="S1044" s="79"/>
      <c r="T1044" s="79"/>
      <c r="U1044" s="34"/>
      <c r="V1044" s="34"/>
    </row>
    <row r="1045" spans="1:22" ht="15" customHeight="1" x14ac:dyDescent="0.2">
      <c r="A1045" s="38"/>
      <c r="B1045" s="38"/>
      <c r="C1045" s="8"/>
      <c r="D1045" s="8"/>
      <c r="E1045" s="8"/>
      <c r="F1045" s="8"/>
      <c r="G1045" s="8"/>
      <c r="H1045" s="8"/>
      <c r="I1045" s="8"/>
      <c r="J1045" s="8"/>
      <c r="K1045" s="8"/>
      <c r="L1045" s="8"/>
      <c r="M1045" s="8"/>
      <c r="N1045" s="8"/>
      <c r="O1045" s="8"/>
      <c r="P1045" s="8"/>
      <c r="Q1045" s="8"/>
      <c r="R1045" s="79"/>
      <c r="S1045" s="79"/>
      <c r="T1045" s="79"/>
      <c r="U1045" s="34"/>
      <c r="V1045" s="34"/>
    </row>
    <row r="1046" spans="1:22" ht="15" customHeight="1" x14ac:dyDescent="0.2">
      <c r="A1046" s="38"/>
      <c r="B1046" s="38"/>
      <c r="C1046" s="8"/>
      <c r="D1046" s="8"/>
      <c r="E1046" s="8"/>
      <c r="F1046" s="8"/>
      <c r="G1046" s="8"/>
      <c r="H1046" s="8"/>
      <c r="I1046" s="8"/>
      <c r="J1046" s="8"/>
      <c r="K1046" s="8"/>
      <c r="L1046" s="8"/>
      <c r="M1046" s="8"/>
      <c r="N1046" s="8"/>
      <c r="O1046" s="8"/>
      <c r="P1046" s="8"/>
      <c r="Q1046" s="8"/>
      <c r="R1046" s="79"/>
      <c r="S1046" s="79"/>
      <c r="T1046" s="79"/>
      <c r="U1046" s="34"/>
      <c r="V1046" s="34"/>
    </row>
    <row r="1047" spans="1:22" ht="15" customHeight="1" x14ac:dyDescent="0.2">
      <c r="A1047" s="38"/>
      <c r="B1047" s="38"/>
      <c r="C1047" s="8"/>
      <c r="D1047" s="8"/>
      <c r="E1047" s="8"/>
      <c r="F1047" s="8"/>
      <c r="G1047" s="8"/>
      <c r="H1047" s="8"/>
      <c r="I1047" s="8"/>
      <c r="J1047" s="8"/>
      <c r="K1047" s="8"/>
      <c r="L1047" s="8"/>
      <c r="M1047" s="8"/>
      <c r="N1047" s="8"/>
      <c r="O1047" s="8"/>
      <c r="P1047" s="8"/>
      <c r="Q1047" s="8"/>
      <c r="R1047" s="79"/>
      <c r="S1047" s="79"/>
      <c r="T1047" s="79"/>
      <c r="U1047" s="34"/>
      <c r="V1047" s="34"/>
    </row>
    <row r="1048" spans="1:22" ht="15" customHeight="1" x14ac:dyDescent="0.2">
      <c r="A1048" s="38"/>
      <c r="B1048" s="38"/>
      <c r="C1048" s="8"/>
      <c r="D1048" s="8"/>
      <c r="E1048" s="8"/>
      <c r="F1048" s="8"/>
      <c r="G1048" s="8"/>
      <c r="H1048" s="8"/>
      <c r="I1048" s="8"/>
      <c r="J1048" s="8"/>
      <c r="K1048" s="8"/>
      <c r="L1048" s="8"/>
      <c r="M1048" s="8"/>
      <c r="N1048" s="8"/>
      <c r="O1048" s="8"/>
      <c r="P1048" s="8"/>
      <c r="Q1048" s="8"/>
      <c r="R1048" s="79"/>
      <c r="S1048" s="79"/>
      <c r="T1048" s="79"/>
      <c r="U1048" s="34"/>
      <c r="V1048" s="34"/>
    </row>
    <row r="1049" spans="1:22" ht="15" customHeight="1" x14ac:dyDescent="0.2">
      <c r="A1049" s="38"/>
      <c r="B1049" s="38"/>
      <c r="C1049" s="8"/>
      <c r="D1049" s="8"/>
      <c r="E1049" s="8"/>
      <c r="F1049" s="8"/>
      <c r="G1049" s="8"/>
      <c r="H1049" s="8"/>
      <c r="I1049" s="8"/>
      <c r="J1049" s="8"/>
      <c r="K1049" s="8"/>
      <c r="L1049" s="8"/>
      <c r="M1049" s="8"/>
      <c r="N1049" s="8"/>
      <c r="O1049" s="8"/>
      <c r="P1049" s="8"/>
      <c r="Q1049" s="8"/>
      <c r="R1049" s="79"/>
      <c r="S1049" s="79"/>
      <c r="T1049" s="79"/>
      <c r="U1049" s="34"/>
      <c r="V1049" s="34"/>
    </row>
    <row r="1050" spans="1:22" ht="15" customHeight="1" x14ac:dyDescent="0.2">
      <c r="A1050" s="38"/>
      <c r="B1050" s="38"/>
      <c r="C1050" s="8"/>
      <c r="D1050" s="8"/>
      <c r="E1050" s="8"/>
      <c r="F1050" s="8"/>
      <c r="G1050" s="8"/>
      <c r="H1050" s="8"/>
      <c r="I1050" s="8"/>
      <c r="J1050" s="8"/>
      <c r="K1050" s="8"/>
      <c r="L1050" s="8"/>
      <c r="M1050" s="8"/>
      <c r="N1050" s="8"/>
      <c r="O1050" s="8"/>
      <c r="P1050" s="8"/>
      <c r="Q1050" s="8"/>
      <c r="R1050" s="79"/>
      <c r="S1050" s="79"/>
      <c r="T1050" s="79"/>
      <c r="U1050" s="34"/>
      <c r="V1050" s="34"/>
    </row>
    <row r="1051" spans="1:22" ht="15" customHeight="1" x14ac:dyDescent="0.2">
      <c r="A1051" s="38"/>
      <c r="B1051" s="38"/>
      <c r="C1051" s="8"/>
      <c r="D1051" s="8"/>
      <c r="E1051" s="8"/>
      <c r="F1051" s="8"/>
      <c r="G1051" s="8"/>
      <c r="H1051" s="8"/>
      <c r="I1051" s="8"/>
      <c r="J1051" s="8"/>
      <c r="K1051" s="8"/>
      <c r="L1051" s="8"/>
      <c r="M1051" s="8"/>
      <c r="N1051" s="8"/>
      <c r="O1051" s="8"/>
      <c r="P1051" s="8"/>
      <c r="Q1051" s="8"/>
      <c r="R1051" s="79"/>
      <c r="S1051" s="79"/>
      <c r="T1051" s="79"/>
      <c r="U1051" s="34"/>
      <c r="V1051" s="34"/>
    </row>
    <row r="1052" spans="1:22" ht="15" customHeight="1" x14ac:dyDescent="0.2">
      <c r="A1052" s="38"/>
      <c r="B1052" s="38"/>
      <c r="C1052" s="8"/>
      <c r="D1052" s="8"/>
      <c r="E1052" s="8"/>
      <c r="F1052" s="8"/>
      <c r="G1052" s="8"/>
      <c r="H1052" s="8"/>
      <c r="I1052" s="8"/>
      <c r="J1052" s="8"/>
      <c r="K1052" s="8"/>
      <c r="L1052" s="8"/>
      <c r="M1052" s="8"/>
      <c r="N1052" s="8"/>
      <c r="O1052" s="8"/>
      <c r="P1052" s="8"/>
      <c r="Q1052" s="8"/>
      <c r="R1052" s="79"/>
      <c r="S1052" s="79"/>
      <c r="T1052" s="79"/>
      <c r="U1052" s="34"/>
      <c r="V1052" s="34"/>
    </row>
    <row r="1053" spans="1:22" ht="15" customHeight="1" x14ac:dyDescent="0.2">
      <c r="A1053" s="38"/>
      <c r="B1053" s="38"/>
      <c r="C1053" s="8"/>
      <c r="D1053" s="8"/>
      <c r="E1053" s="8"/>
      <c r="F1053" s="8"/>
      <c r="G1053" s="8"/>
      <c r="H1053" s="8"/>
      <c r="I1053" s="8"/>
      <c r="J1053" s="8"/>
      <c r="K1053" s="8"/>
      <c r="L1053" s="8"/>
      <c r="M1053" s="8"/>
      <c r="N1053" s="8"/>
      <c r="O1053" s="8"/>
      <c r="P1053" s="8"/>
      <c r="Q1053" s="8"/>
      <c r="R1053" s="79"/>
      <c r="S1053" s="79"/>
      <c r="T1053" s="79"/>
      <c r="U1053" s="34"/>
      <c r="V1053" s="34"/>
    </row>
    <row r="1054" spans="1:22" ht="15" customHeight="1" x14ac:dyDescent="0.2">
      <c r="A1054" s="38"/>
      <c r="B1054" s="38"/>
      <c r="C1054" s="8"/>
      <c r="D1054" s="8"/>
      <c r="E1054" s="8"/>
      <c r="F1054" s="8"/>
      <c r="G1054" s="8"/>
      <c r="H1054" s="8"/>
      <c r="I1054" s="8"/>
      <c r="J1054" s="8"/>
      <c r="K1054" s="8"/>
      <c r="L1054" s="8"/>
      <c r="M1054" s="8"/>
      <c r="N1054" s="8"/>
      <c r="O1054" s="8"/>
      <c r="P1054" s="8"/>
      <c r="Q1054" s="8"/>
      <c r="R1054" s="79"/>
      <c r="S1054" s="79"/>
      <c r="T1054" s="79"/>
      <c r="U1054" s="34"/>
      <c r="V1054" s="34"/>
    </row>
    <row r="1055" spans="1:22" ht="15" customHeight="1" x14ac:dyDescent="0.2">
      <c r="A1055" s="38"/>
      <c r="B1055" s="38"/>
      <c r="C1055" s="8"/>
      <c r="D1055" s="8"/>
      <c r="E1055" s="8"/>
      <c r="F1055" s="8"/>
      <c r="G1055" s="8"/>
      <c r="H1055" s="8"/>
      <c r="I1055" s="8"/>
      <c r="J1055" s="8"/>
      <c r="K1055" s="8"/>
      <c r="L1055" s="8"/>
      <c r="M1055" s="8"/>
      <c r="N1055" s="8"/>
      <c r="O1055" s="8"/>
      <c r="P1055" s="8"/>
      <c r="Q1055" s="8"/>
      <c r="R1055" s="79"/>
      <c r="S1055" s="79"/>
      <c r="T1055" s="79"/>
      <c r="U1055" s="34"/>
      <c r="V1055" s="34"/>
    </row>
    <row r="1056" spans="1:22" ht="15" customHeight="1" x14ac:dyDescent="0.2">
      <c r="A1056" s="38"/>
      <c r="B1056" s="38"/>
      <c r="C1056" s="8"/>
      <c r="D1056" s="8"/>
      <c r="E1056" s="8"/>
      <c r="F1056" s="8"/>
      <c r="G1056" s="8"/>
      <c r="H1056" s="8"/>
      <c r="I1056" s="8"/>
      <c r="J1056" s="8"/>
      <c r="K1056" s="8"/>
      <c r="L1056" s="8"/>
      <c r="M1056" s="8"/>
      <c r="N1056" s="8"/>
      <c r="O1056" s="8"/>
      <c r="P1056" s="8"/>
      <c r="Q1056" s="8"/>
      <c r="R1056" s="79"/>
      <c r="S1056" s="79"/>
      <c r="T1056" s="79"/>
      <c r="U1056" s="34"/>
      <c r="V1056" s="34"/>
    </row>
    <row r="1057" spans="1:22" ht="15" customHeight="1" x14ac:dyDescent="0.2">
      <c r="A1057" s="38"/>
      <c r="B1057" s="38"/>
      <c r="C1057" s="8"/>
      <c r="D1057" s="8"/>
      <c r="E1057" s="8"/>
      <c r="F1057" s="8"/>
      <c r="G1057" s="8"/>
      <c r="H1057" s="8"/>
      <c r="I1057" s="8"/>
      <c r="J1057" s="8"/>
      <c r="K1057" s="8"/>
      <c r="L1057" s="8"/>
      <c r="M1057" s="8"/>
      <c r="N1057" s="8"/>
      <c r="O1057" s="8"/>
      <c r="P1057" s="8"/>
      <c r="Q1057" s="8"/>
      <c r="R1057" s="79"/>
      <c r="S1057" s="79"/>
      <c r="T1057" s="79"/>
      <c r="U1057" s="34"/>
      <c r="V1057" s="34"/>
    </row>
    <row r="1058" spans="1:22" ht="15" customHeight="1" x14ac:dyDescent="0.2">
      <c r="A1058" s="38"/>
      <c r="B1058" s="38"/>
      <c r="C1058" s="8"/>
      <c r="D1058" s="8"/>
      <c r="E1058" s="8"/>
      <c r="F1058" s="8"/>
      <c r="G1058" s="8"/>
      <c r="H1058" s="8"/>
      <c r="I1058" s="8"/>
      <c r="J1058" s="8"/>
      <c r="K1058" s="8"/>
      <c r="L1058" s="8"/>
      <c r="M1058" s="8"/>
      <c r="N1058" s="8"/>
      <c r="O1058" s="8"/>
      <c r="P1058" s="8"/>
      <c r="Q1058" s="8"/>
      <c r="R1058" s="79"/>
      <c r="S1058" s="79"/>
      <c r="T1058" s="79"/>
      <c r="U1058" s="34"/>
      <c r="V1058" s="34"/>
    </row>
    <row r="1059" spans="1:22" ht="15" customHeight="1" x14ac:dyDescent="0.2">
      <c r="A1059" s="38"/>
      <c r="B1059" s="38"/>
      <c r="C1059" s="8"/>
      <c r="D1059" s="8"/>
      <c r="E1059" s="8"/>
      <c r="F1059" s="8"/>
      <c r="G1059" s="8"/>
      <c r="H1059" s="8"/>
      <c r="I1059" s="8"/>
      <c r="J1059" s="8"/>
      <c r="K1059" s="8"/>
      <c r="L1059" s="8"/>
      <c r="M1059" s="8"/>
      <c r="N1059" s="8"/>
      <c r="O1059" s="8"/>
      <c r="P1059" s="8"/>
      <c r="Q1059" s="8"/>
      <c r="R1059" s="79"/>
      <c r="S1059" s="79"/>
      <c r="T1059" s="79"/>
      <c r="U1059" s="34"/>
      <c r="V1059" s="34"/>
    </row>
    <row r="1060" spans="1:22" ht="15" customHeight="1" x14ac:dyDescent="0.2">
      <c r="A1060" s="38"/>
      <c r="B1060" s="38"/>
      <c r="C1060" s="8"/>
      <c r="D1060" s="8"/>
      <c r="E1060" s="8"/>
      <c r="F1060" s="8"/>
      <c r="G1060" s="8"/>
      <c r="H1060" s="8"/>
      <c r="I1060" s="8"/>
      <c r="J1060" s="8"/>
      <c r="K1060" s="8"/>
      <c r="L1060" s="8"/>
      <c r="M1060" s="8"/>
      <c r="N1060" s="8"/>
      <c r="O1060" s="8"/>
      <c r="P1060" s="8"/>
      <c r="Q1060" s="8"/>
      <c r="R1060" s="79"/>
      <c r="S1060" s="79"/>
      <c r="T1060" s="79"/>
      <c r="U1060" s="34"/>
      <c r="V1060" s="34"/>
    </row>
    <row r="1061" spans="1:22" ht="15" customHeight="1" x14ac:dyDescent="0.2">
      <c r="A1061" s="38"/>
      <c r="B1061" s="38"/>
      <c r="C1061" s="8"/>
      <c r="D1061" s="8"/>
      <c r="E1061" s="8"/>
      <c r="F1061" s="8"/>
      <c r="G1061" s="8"/>
      <c r="H1061" s="8"/>
      <c r="I1061" s="8"/>
      <c r="J1061" s="8"/>
      <c r="K1061" s="8"/>
      <c r="L1061" s="8"/>
      <c r="M1061" s="8"/>
      <c r="N1061" s="8"/>
      <c r="O1061" s="8"/>
      <c r="P1061" s="8"/>
      <c r="Q1061" s="8"/>
      <c r="R1061" s="79"/>
      <c r="S1061" s="79"/>
      <c r="T1061" s="79"/>
      <c r="U1061" s="34"/>
      <c r="V1061" s="34"/>
    </row>
    <row r="1062" spans="1:22" ht="15" customHeight="1" x14ac:dyDescent="0.2">
      <c r="A1062" s="38"/>
      <c r="B1062" s="38"/>
      <c r="C1062" s="8"/>
      <c r="D1062" s="8"/>
      <c r="E1062" s="8"/>
      <c r="F1062" s="8"/>
      <c r="G1062" s="8"/>
      <c r="H1062" s="8"/>
      <c r="I1062" s="8"/>
      <c r="J1062" s="8"/>
      <c r="K1062" s="8"/>
      <c r="L1062" s="8"/>
      <c r="M1062" s="8"/>
      <c r="N1062" s="8"/>
      <c r="O1062" s="8"/>
      <c r="P1062" s="8"/>
      <c r="Q1062" s="8"/>
      <c r="R1062" s="79"/>
      <c r="S1062" s="79"/>
      <c r="T1062" s="79"/>
      <c r="U1062" s="34"/>
      <c r="V1062" s="34"/>
    </row>
    <row r="1063" spans="1:22" ht="15" customHeight="1" x14ac:dyDescent="0.2">
      <c r="A1063" s="38"/>
      <c r="B1063" s="38"/>
      <c r="C1063" s="8"/>
      <c r="D1063" s="8"/>
      <c r="E1063" s="8"/>
      <c r="F1063" s="8"/>
      <c r="G1063" s="8"/>
      <c r="H1063" s="8"/>
      <c r="I1063" s="8"/>
      <c r="J1063" s="8"/>
      <c r="K1063" s="8"/>
      <c r="L1063" s="8"/>
      <c r="M1063" s="8"/>
      <c r="N1063" s="8"/>
      <c r="O1063" s="8"/>
      <c r="P1063" s="8"/>
      <c r="Q1063" s="8"/>
      <c r="R1063" s="79"/>
      <c r="S1063" s="79"/>
      <c r="T1063" s="79"/>
      <c r="U1063" s="34"/>
      <c r="V1063" s="34"/>
    </row>
    <row r="1064" spans="1:22" ht="15" customHeight="1" x14ac:dyDescent="0.2">
      <c r="A1064" s="38"/>
      <c r="B1064" s="38"/>
      <c r="C1064" s="8"/>
      <c r="D1064" s="8"/>
      <c r="E1064" s="8"/>
      <c r="F1064" s="8"/>
      <c r="G1064" s="8"/>
      <c r="H1064" s="8"/>
      <c r="I1064" s="8"/>
      <c r="J1064" s="8"/>
      <c r="K1064" s="8"/>
      <c r="L1064" s="8"/>
      <c r="M1064" s="8"/>
      <c r="N1064" s="8"/>
      <c r="O1064" s="8"/>
      <c r="P1064" s="8"/>
      <c r="Q1064" s="8"/>
      <c r="R1064" s="79"/>
      <c r="S1064" s="79"/>
      <c r="T1064" s="79"/>
      <c r="U1064" s="34"/>
      <c r="V1064" s="34"/>
    </row>
    <row r="1065" spans="1:22" ht="15" customHeight="1" x14ac:dyDescent="0.2">
      <c r="A1065" s="38"/>
      <c r="B1065" s="38"/>
      <c r="C1065" s="8"/>
      <c r="D1065" s="8"/>
      <c r="E1065" s="8"/>
      <c r="F1065" s="8"/>
      <c r="G1065" s="8"/>
      <c r="H1065" s="8"/>
      <c r="I1065" s="8"/>
      <c r="J1065" s="8"/>
      <c r="K1065" s="8"/>
      <c r="L1065" s="8"/>
      <c r="M1065" s="8"/>
      <c r="N1065" s="8"/>
      <c r="O1065" s="8"/>
      <c r="P1065" s="8"/>
      <c r="Q1065" s="8"/>
      <c r="R1065" s="79"/>
      <c r="S1065" s="79"/>
      <c r="T1065" s="79"/>
      <c r="U1065" s="34"/>
      <c r="V1065" s="34"/>
    </row>
    <row r="1066" spans="1:22" ht="15" customHeight="1" x14ac:dyDescent="0.2">
      <c r="A1066" s="38"/>
      <c r="B1066" s="38"/>
      <c r="C1066" s="8"/>
      <c r="D1066" s="8"/>
      <c r="E1066" s="8"/>
      <c r="F1066" s="8"/>
      <c r="G1066" s="8"/>
      <c r="H1066" s="8"/>
      <c r="I1066" s="8"/>
      <c r="J1066" s="8"/>
      <c r="K1066" s="8"/>
      <c r="L1066" s="8"/>
      <c r="M1066" s="8"/>
      <c r="N1066" s="8"/>
      <c r="O1066" s="8"/>
      <c r="P1066" s="8"/>
      <c r="Q1066" s="8"/>
      <c r="R1066" s="79"/>
      <c r="S1066" s="79"/>
      <c r="T1066" s="79"/>
      <c r="U1066" s="34"/>
      <c r="V1066" s="34"/>
    </row>
    <row r="1067" spans="1:22" ht="15" customHeight="1" x14ac:dyDescent="0.2">
      <c r="A1067" s="38"/>
      <c r="B1067" s="38"/>
      <c r="C1067" s="8"/>
      <c r="D1067" s="8"/>
      <c r="E1067" s="8"/>
      <c r="F1067" s="8"/>
      <c r="G1067" s="8"/>
      <c r="H1067" s="8"/>
      <c r="I1067" s="8"/>
      <c r="J1067" s="8"/>
      <c r="K1067" s="8"/>
      <c r="L1067" s="8"/>
      <c r="M1067" s="8"/>
      <c r="N1067" s="8"/>
      <c r="O1067" s="8"/>
      <c r="P1067" s="8"/>
      <c r="Q1067" s="8"/>
      <c r="R1067" s="79"/>
      <c r="S1067" s="79"/>
      <c r="T1067" s="79"/>
      <c r="U1067" s="34"/>
      <c r="V1067" s="34"/>
    </row>
    <row r="1068" spans="1:22" ht="15" customHeight="1" x14ac:dyDescent="0.2">
      <c r="A1068" s="38"/>
      <c r="B1068" s="38"/>
      <c r="C1068" s="8"/>
      <c r="D1068" s="8"/>
      <c r="E1068" s="8"/>
      <c r="F1068" s="8"/>
      <c r="G1068" s="8"/>
      <c r="H1068" s="8"/>
      <c r="I1068" s="8"/>
      <c r="J1068" s="8"/>
      <c r="K1068" s="8"/>
      <c r="L1068" s="8"/>
      <c r="M1068" s="8"/>
      <c r="N1068" s="8"/>
      <c r="O1068" s="8"/>
      <c r="P1068" s="8"/>
      <c r="Q1068" s="8"/>
      <c r="R1068" s="79"/>
      <c r="S1068" s="79"/>
      <c r="T1068" s="79"/>
      <c r="U1068" s="34"/>
      <c r="V1068" s="34"/>
    </row>
    <row r="1069" spans="1:22" ht="15" customHeight="1" x14ac:dyDescent="0.2">
      <c r="A1069" s="38"/>
      <c r="B1069" s="38"/>
      <c r="C1069" s="8"/>
      <c r="D1069" s="8"/>
      <c r="E1069" s="8"/>
      <c r="F1069" s="8"/>
      <c r="G1069" s="8"/>
      <c r="H1069" s="8"/>
      <c r="I1069" s="8"/>
      <c r="J1069" s="8"/>
      <c r="K1069" s="8"/>
      <c r="L1069" s="8"/>
      <c r="M1069" s="8"/>
      <c r="N1069" s="8"/>
      <c r="O1069" s="8"/>
      <c r="P1069" s="8"/>
      <c r="Q1069" s="8"/>
      <c r="R1069" s="79"/>
      <c r="S1069" s="79"/>
      <c r="T1069" s="79"/>
      <c r="U1069" s="34"/>
      <c r="V1069" s="34"/>
    </row>
    <row r="1070" spans="1:22" ht="15" customHeight="1" x14ac:dyDescent="0.2">
      <c r="A1070" s="38"/>
      <c r="B1070" s="38"/>
      <c r="C1070" s="8"/>
      <c r="D1070" s="8"/>
      <c r="E1070" s="8"/>
      <c r="F1070" s="8"/>
      <c r="G1070" s="8"/>
      <c r="H1070" s="8"/>
      <c r="I1070" s="8"/>
      <c r="J1070" s="8"/>
      <c r="K1070" s="8"/>
      <c r="L1070" s="8"/>
      <c r="M1070" s="8"/>
      <c r="N1070" s="8"/>
      <c r="O1070" s="8"/>
      <c r="P1070" s="8"/>
      <c r="Q1070" s="8"/>
      <c r="R1070" s="79"/>
      <c r="S1070" s="79"/>
      <c r="T1070" s="79"/>
      <c r="U1070" s="34"/>
      <c r="V1070" s="34"/>
    </row>
    <row r="1071" spans="1:22" ht="15" customHeight="1" x14ac:dyDescent="0.2">
      <c r="A1071" s="38"/>
      <c r="B1071" s="38"/>
      <c r="C1071" s="8"/>
      <c r="D1071" s="8"/>
      <c r="E1071" s="8"/>
      <c r="F1071" s="8"/>
      <c r="G1071" s="8"/>
      <c r="H1071" s="8"/>
      <c r="I1071" s="8"/>
      <c r="J1071" s="8"/>
      <c r="K1071" s="8"/>
      <c r="L1071" s="8"/>
      <c r="M1071" s="8"/>
      <c r="N1071" s="8"/>
      <c r="O1071" s="8"/>
      <c r="P1071" s="8"/>
      <c r="Q1071" s="8"/>
      <c r="R1071" s="79"/>
      <c r="S1071" s="79"/>
      <c r="T1071" s="79"/>
      <c r="U1071" s="34"/>
      <c r="V1071" s="34"/>
    </row>
    <row r="1072" spans="1:22" ht="15" customHeight="1" x14ac:dyDescent="0.2">
      <c r="A1072" s="38"/>
      <c r="B1072" s="38"/>
      <c r="C1072" s="8"/>
      <c r="D1072" s="8"/>
      <c r="E1072" s="8"/>
      <c r="F1072" s="8"/>
      <c r="G1072" s="8"/>
      <c r="H1072" s="8"/>
      <c r="I1072" s="8"/>
      <c r="J1072" s="8"/>
      <c r="K1072" s="8"/>
      <c r="L1072" s="8"/>
      <c r="M1072" s="8"/>
      <c r="N1072" s="8"/>
      <c r="O1072" s="8"/>
      <c r="P1072" s="8"/>
      <c r="Q1072" s="8"/>
      <c r="R1072" s="79"/>
      <c r="S1072" s="79"/>
      <c r="T1072" s="79"/>
      <c r="U1072" s="34"/>
      <c r="V1072" s="34"/>
    </row>
    <row r="1073" spans="1:22" ht="15" customHeight="1" x14ac:dyDescent="0.2">
      <c r="A1073" s="38"/>
      <c r="B1073" s="38"/>
      <c r="C1073" s="8"/>
      <c r="D1073" s="8"/>
      <c r="E1073" s="8"/>
      <c r="F1073" s="8"/>
      <c r="G1073" s="8"/>
      <c r="H1073" s="8"/>
      <c r="I1073" s="8"/>
      <c r="J1073" s="8"/>
      <c r="K1073" s="8"/>
      <c r="L1073" s="8"/>
      <c r="M1073" s="8"/>
      <c r="N1073" s="8"/>
      <c r="O1073" s="8"/>
      <c r="P1073" s="8"/>
      <c r="Q1073" s="8"/>
      <c r="R1073" s="79"/>
      <c r="S1073" s="79"/>
      <c r="T1073" s="79"/>
      <c r="U1073" s="34"/>
      <c r="V1073" s="34"/>
    </row>
    <row r="1074" spans="1:22" ht="15" customHeight="1" x14ac:dyDescent="0.2">
      <c r="A1074" s="38"/>
      <c r="B1074" s="38"/>
      <c r="C1074" s="8"/>
      <c r="D1074" s="8"/>
      <c r="E1074" s="8"/>
      <c r="F1074" s="8"/>
      <c r="G1074" s="8"/>
      <c r="H1074" s="8"/>
      <c r="I1074" s="8"/>
      <c r="J1074" s="8"/>
      <c r="K1074" s="8"/>
      <c r="L1074" s="8"/>
      <c r="M1074" s="8"/>
      <c r="N1074" s="8"/>
      <c r="O1074" s="8"/>
      <c r="P1074" s="8"/>
      <c r="Q1074" s="8"/>
      <c r="R1074" s="79"/>
      <c r="S1074" s="79"/>
      <c r="T1074" s="79"/>
      <c r="U1074" s="34"/>
      <c r="V1074" s="34"/>
    </row>
    <row r="1075" spans="1:22" ht="15" customHeight="1" x14ac:dyDescent="0.2">
      <c r="A1075" s="38"/>
      <c r="B1075" s="38"/>
      <c r="C1075" s="8"/>
      <c r="D1075" s="8"/>
      <c r="E1075" s="8"/>
      <c r="F1075" s="8"/>
      <c r="G1075" s="8"/>
      <c r="H1075" s="8"/>
      <c r="I1075" s="8"/>
      <c r="J1075" s="8"/>
      <c r="K1075" s="8"/>
      <c r="L1075" s="8"/>
      <c r="M1075" s="8"/>
      <c r="N1075" s="8"/>
      <c r="O1075" s="8"/>
      <c r="P1075" s="8"/>
      <c r="Q1075" s="8"/>
      <c r="R1075" s="79"/>
      <c r="S1075" s="79"/>
      <c r="T1075" s="79"/>
      <c r="U1075" s="34"/>
      <c r="V1075" s="34"/>
    </row>
    <row r="1076" spans="1:22" ht="15" customHeight="1" x14ac:dyDescent="0.2">
      <c r="A1076" s="38"/>
      <c r="B1076" s="38"/>
      <c r="C1076" s="8"/>
      <c r="D1076" s="8"/>
      <c r="E1076" s="8"/>
      <c r="F1076" s="8"/>
      <c r="G1076" s="8"/>
      <c r="H1076" s="8"/>
      <c r="I1076" s="8"/>
      <c r="J1076" s="8"/>
      <c r="K1076" s="8"/>
      <c r="L1076" s="8"/>
      <c r="M1076" s="8"/>
      <c r="N1076" s="8"/>
      <c r="O1076" s="8"/>
      <c r="P1076" s="8"/>
      <c r="Q1076" s="8"/>
      <c r="R1076" s="79"/>
      <c r="S1076" s="79"/>
      <c r="T1076" s="79"/>
      <c r="U1076" s="34"/>
      <c r="V1076" s="34"/>
    </row>
    <row r="1077" spans="1:22" ht="15" customHeight="1" x14ac:dyDescent="0.2">
      <c r="A1077" s="38"/>
      <c r="B1077" s="38"/>
      <c r="C1077" s="8"/>
      <c r="D1077" s="8"/>
      <c r="E1077" s="8"/>
      <c r="F1077" s="8"/>
      <c r="G1077" s="8"/>
      <c r="H1077" s="8"/>
      <c r="I1077" s="8"/>
      <c r="J1077" s="8"/>
      <c r="K1077" s="8"/>
      <c r="L1077" s="8"/>
      <c r="M1077" s="8"/>
      <c r="N1077" s="8"/>
      <c r="O1077" s="8"/>
      <c r="P1077" s="8"/>
      <c r="Q1077" s="8"/>
      <c r="R1077" s="79"/>
      <c r="S1077" s="79"/>
      <c r="T1077" s="79"/>
      <c r="U1077" s="34"/>
      <c r="V1077" s="34"/>
    </row>
    <row r="1078" spans="1:22" ht="15" customHeight="1" x14ac:dyDescent="0.2">
      <c r="A1078" s="38"/>
      <c r="B1078" s="38"/>
      <c r="C1078" s="8"/>
      <c r="D1078" s="8"/>
      <c r="E1078" s="8"/>
      <c r="F1078" s="8"/>
      <c r="G1078" s="8"/>
      <c r="H1078" s="8"/>
      <c r="I1078" s="8"/>
      <c r="J1078" s="8"/>
      <c r="K1078" s="8"/>
      <c r="L1078" s="8"/>
      <c r="M1078" s="8"/>
      <c r="N1078" s="8"/>
      <c r="O1078" s="8"/>
      <c r="P1078" s="8"/>
      <c r="Q1078" s="8"/>
      <c r="R1078" s="79"/>
      <c r="S1078" s="79"/>
      <c r="T1078" s="79"/>
      <c r="U1078" s="34"/>
      <c r="V1078" s="34"/>
    </row>
    <row r="1079" spans="1:22" ht="15" customHeight="1" x14ac:dyDescent="0.2">
      <c r="A1079" s="38"/>
      <c r="B1079" s="38"/>
      <c r="C1079" s="8"/>
      <c r="D1079" s="8"/>
      <c r="E1079" s="8"/>
      <c r="F1079" s="8"/>
      <c r="G1079" s="8"/>
      <c r="H1079" s="8"/>
      <c r="I1079" s="8"/>
      <c r="J1079" s="8"/>
      <c r="K1079" s="8"/>
      <c r="L1079" s="8"/>
      <c r="M1079" s="8"/>
      <c r="N1079" s="8"/>
      <c r="O1079" s="8"/>
      <c r="P1079" s="8"/>
      <c r="Q1079" s="8"/>
      <c r="R1079" s="79"/>
      <c r="S1079" s="79"/>
      <c r="T1079" s="79"/>
      <c r="U1079" s="34"/>
      <c r="V1079" s="34"/>
    </row>
    <row r="1080" spans="1:22" ht="15" customHeight="1" x14ac:dyDescent="0.2">
      <c r="A1080" s="38"/>
      <c r="B1080" s="38"/>
      <c r="C1080" s="8"/>
      <c r="D1080" s="8"/>
      <c r="E1080" s="8"/>
      <c r="F1080" s="8"/>
      <c r="G1080" s="8"/>
      <c r="H1080" s="8"/>
      <c r="I1080" s="8"/>
      <c r="J1080" s="8"/>
      <c r="K1080" s="8"/>
      <c r="L1080" s="8"/>
      <c r="M1080" s="8"/>
      <c r="N1080" s="8"/>
      <c r="O1080" s="8"/>
      <c r="P1080" s="8"/>
      <c r="Q1080" s="8"/>
      <c r="R1080" s="79"/>
      <c r="S1080" s="79"/>
      <c r="T1080" s="79"/>
      <c r="U1080" s="34"/>
      <c r="V1080" s="34"/>
    </row>
    <row r="1081" spans="1:22" ht="15" customHeight="1" x14ac:dyDescent="0.2">
      <c r="A1081" s="38"/>
      <c r="B1081" s="38"/>
      <c r="C1081" s="8"/>
      <c r="D1081" s="8"/>
      <c r="E1081" s="8"/>
      <c r="F1081" s="8"/>
      <c r="G1081" s="8"/>
      <c r="H1081" s="8"/>
      <c r="I1081" s="8"/>
      <c r="J1081" s="8"/>
      <c r="K1081" s="8"/>
      <c r="L1081" s="8"/>
      <c r="M1081" s="8"/>
      <c r="N1081" s="8"/>
      <c r="O1081" s="8"/>
      <c r="P1081" s="8"/>
      <c r="Q1081" s="8"/>
      <c r="R1081" s="79"/>
      <c r="S1081" s="79"/>
      <c r="T1081" s="79"/>
      <c r="U1081" s="34"/>
      <c r="V1081" s="34"/>
    </row>
    <row r="1082" spans="1:22" ht="15" customHeight="1" x14ac:dyDescent="0.2">
      <c r="A1082" s="38"/>
      <c r="B1082" s="38"/>
      <c r="C1082" s="8"/>
      <c r="D1082" s="8"/>
      <c r="E1082" s="8"/>
      <c r="F1082" s="8"/>
      <c r="G1082" s="8"/>
      <c r="H1082" s="8"/>
      <c r="I1082" s="8"/>
      <c r="J1082" s="8"/>
      <c r="K1082" s="8"/>
      <c r="L1082" s="8"/>
      <c r="M1082" s="8"/>
      <c r="N1082" s="8"/>
      <c r="O1082" s="8"/>
      <c r="P1082" s="8"/>
      <c r="Q1082" s="8"/>
      <c r="R1082" s="79"/>
      <c r="S1082" s="79"/>
      <c r="T1082" s="79"/>
      <c r="U1082" s="34"/>
      <c r="V1082" s="34"/>
    </row>
    <row r="1083" spans="1:22" ht="15" customHeight="1" x14ac:dyDescent="0.2">
      <c r="A1083" s="38"/>
      <c r="B1083" s="38"/>
      <c r="C1083" s="8"/>
      <c r="D1083" s="8"/>
      <c r="E1083" s="8"/>
      <c r="F1083" s="8"/>
      <c r="G1083" s="8"/>
      <c r="H1083" s="8"/>
      <c r="I1083" s="8"/>
      <c r="J1083" s="8"/>
      <c r="K1083" s="8"/>
      <c r="L1083" s="8"/>
      <c r="M1083" s="8"/>
      <c r="N1083" s="8"/>
      <c r="O1083" s="8"/>
      <c r="P1083" s="8"/>
      <c r="Q1083" s="8"/>
      <c r="R1083" s="79"/>
      <c r="S1083" s="79"/>
      <c r="T1083" s="79"/>
      <c r="U1083" s="34"/>
      <c r="V1083" s="34"/>
    </row>
    <row r="1084" spans="1:22" ht="15" customHeight="1" x14ac:dyDescent="0.2">
      <c r="A1084" s="38"/>
      <c r="B1084" s="38"/>
      <c r="C1084" s="8"/>
      <c r="D1084" s="8"/>
      <c r="E1084" s="8"/>
      <c r="F1084" s="8"/>
      <c r="G1084" s="8"/>
      <c r="H1084" s="8"/>
      <c r="I1084" s="8"/>
      <c r="J1084" s="8"/>
      <c r="K1084" s="8"/>
      <c r="L1084" s="8"/>
      <c r="M1084" s="8"/>
      <c r="N1084" s="8"/>
      <c r="O1084" s="8"/>
      <c r="P1084" s="8"/>
      <c r="Q1084" s="8"/>
      <c r="R1084" s="79"/>
      <c r="S1084" s="79"/>
      <c r="T1084" s="79"/>
      <c r="U1084" s="34"/>
      <c r="V1084" s="34"/>
    </row>
    <row r="1085" spans="1:22" ht="15" customHeight="1" x14ac:dyDescent="0.2">
      <c r="A1085" s="38"/>
      <c r="B1085" s="38"/>
      <c r="C1085" s="8"/>
      <c r="D1085" s="8"/>
      <c r="E1085" s="8"/>
      <c r="F1085" s="8"/>
      <c r="G1085" s="8"/>
      <c r="H1085" s="8"/>
      <c r="I1085" s="8"/>
      <c r="J1085" s="8"/>
      <c r="K1085" s="8"/>
      <c r="L1085" s="8"/>
      <c r="M1085" s="8"/>
      <c r="N1085" s="8"/>
      <c r="O1085" s="8"/>
      <c r="P1085" s="8"/>
      <c r="Q1085" s="8"/>
      <c r="R1085" s="79"/>
      <c r="S1085" s="79"/>
      <c r="T1085" s="79"/>
      <c r="U1085" s="34"/>
      <c r="V1085" s="34"/>
    </row>
    <row r="1086" spans="1:22" ht="15" customHeight="1" x14ac:dyDescent="0.2">
      <c r="A1086" s="38"/>
      <c r="B1086" s="38"/>
      <c r="C1086" s="8"/>
      <c r="D1086" s="8"/>
      <c r="E1086" s="8"/>
      <c r="F1086" s="8"/>
      <c r="G1086" s="8"/>
      <c r="H1086" s="8"/>
      <c r="I1086" s="8"/>
      <c r="J1086" s="8"/>
      <c r="K1086" s="8"/>
      <c r="L1086" s="8"/>
      <c r="M1086" s="8"/>
      <c r="N1086" s="8"/>
      <c r="O1086" s="8"/>
      <c r="P1086" s="8"/>
      <c r="Q1086" s="8"/>
      <c r="R1086" s="79"/>
      <c r="S1086" s="79"/>
      <c r="T1086" s="79"/>
      <c r="U1086" s="34"/>
      <c r="V1086" s="34"/>
    </row>
    <row r="1087" spans="1:22" ht="15" customHeight="1" x14ac:dyDescent="0.2">
      <c r="A1087" s="38"/>
      <c r="B1087" s="38"/>
      <c r="C1087" s="8"/>
      <c r="D1087" s="8"/>
      <c r="E1087" s="8"/>
      <c r="F1087" s="8"/>
      <c r="G1087" s="8"/>
      <c r="H1087" s="8"/>
      <c r="I1087" s="8"/>
      <c r="J1087" s="8"/>
      <c r="K1087" s="8"/>
      <c r="L1087" s="8"/>
      <c r="M1087" s="8"/>
      <c r="N1087" s="8"/>
      <c r="O1087" s="8"/>
      <c r="P1087" s="8"/>
      <c r="Q1087" s="8"/>
      <c r="R1087" s="79"/>
      <c r="S1087" s="79"/>
      <c r="T1087" s="79"/>
      <c r="U1087" s="34"/>
      <c r="V1087" s="34"/>
    </row>
    <row r="1088" spans="1:22" ht="15" customHeight="1" x14ac:dyDescent="0.2">
      <c r="A1088" s="38"/>
      <c r="B1088" s="38"/>
      <c r="C1088" s="8"/>
      <c r="D1088" s="8"/>
      <c r="E1088" s="8"/>
      <c r="F1088" s="8"/>
      <c r="G1088" s="8"/>
      <c r="H1088" s="8"/>
      <c r="I1088" s="8"/>
      <c r="J1088" s="8"/>
      <c r="K1088" s="8"/>
      <c r="L1088" s="8"/>
      <c r="M1088" s="8"/>
      <c r="N1088" s="8"/>
      <c r="O1088" s="8"/>
      <c r="P1088" s="8"/>
      <c r="Q1088" s="8"/>
      <c r="R1088" s="79"/>
      <c r="S1088" s="79"/>
      <c r="T1088" s="79"/>
      <c r="U1088" s="34"/>
      <c r="V1088" s="34"/>
    </row>
    <row r="1089" spans="1:22" ht="15" customHeight="1" x14ac:dyDescent="0.2">
      <c r="A1089" s="38"/>
      <c r="B1089" s="38"/>
      <c r="C1089" s="8"/>
      <c r="D1089" s="8"/>
      <c r="E1089" s="8"/>
      <c r="F1089" s="8"/>
      <c r="G1089" s="8"/>
      <c r="H1089" s="8"/>
      <c r="I1089" s="8"/>
      <c r="J1089" s="8"/>
      <c r="K1089" s="8"/>
      <c r="L1089" s="8"/>
      <c r="M1089" s="8"/>
      <c r="N1089" s="8"/>
      <c r="O1089" s="8"/>
      <c r="P1089" s="8"/>
      <c r="Q1089" s="8"/>
      <c r="R1089" s="79"/>
      <c r="S1089" s="79"/>
      <c r="T1089" s="79"/>
      <c r="U1089" s="34"/>
      <c r="V1089" s="34"/>
    </row>
    <row r="1090" spans="1:22" ht="15" customHeight="1" x14ac:dyDescent="0.2">
      <c r="A1090" s="38"/>
      <c r="B1090" s="38"/>
      <c r="C1090" s="8"/>
      <c r="D1090" s="8"/>
      <c r="E1090" s="8"/>
      <c r="F1090" s="8"/>
      <c r="G1090" s="8"/>
      <c r="H1090" s="8"/>
      <c r="I1090" s="8"/>
      <c r="J1090" s="8"/>
      <c r="K1090" s="8"/>
      <c r="L1090" s="8"/>
      <c r="M1090" s="8"/>
      <c r="N1090" s="8"/>
      <c r="O1090" s="8"/>
      <c r="P1090" s="8"/>
      <c r="Q1090" s="8"/>
      <c r="R1090" s="79"/>
      <c r="S1090" s="79"/>
      <c r="T1090" s="79"/>
      <c r="U1090" s="34"/>
      <c r="V1090" s="34"/>
    </row>
    <row r="1091" spans="1:22" ht="15" customHeight="1" x14ac:dyDescent="0.2">
      <c r="A1091" s="38"/>
      <c r="B1091" s="38"/>
      <c r="C1091" s="8"/>
      <c r="D1091" s="8"/>
      <c r="E1091" s="8"/>
      <c r="F1091" s="8"/>
      <c r="G1091" s="8"/>
      <c r="H1091" s="8"/>
      <c r="I1091" s="8"/>
      <c r="J1091" s="8"/>
      <c r="K1091" s="8"/>
      <c r="L1091" s="8"/>
      <c r="M1091" s="8"/>
      <c r="N1091" s="8"/>
      <c r="O1091" s="8"/>
      <c r="P1091" s="8"/>
      <c r="Q1091" s="8"/>
      <c r="R1091" s="79"/>
      <c r="S1091" s="79"/>
      <c r="T1091" s="79"/>
      <c r="U1091" s="34"/>
      <c r="V1091" s="34"/>
    </row>
    <row r="1092" spans="1:22" ht="15" customHeight="1" x14ac:dyDescent="0.2">
      <c r="A1092" s="38"/>
      <c r="B1092" s="38"/>
      <c r="C1092" s="8"/>
      <c r="D1092" s="8"/>
      <c r="E1092" s="8"/>
      <c r="F1092" s="8"/>
      <c r="G1092" s="8"/>
      <c r="H1092" s="8"/>
      <c r="I1092" s="8"/>
      <c r="J1092" s="8"/>
      <c r="K1092" s="8"/>
      <c r="L1092" s="8"/>
      <c r="M1092" s="8"/>
      <c r="N1092" s="8"/>
      <c r="O1092" s="8"/>
      <c r="P1092" s="8"/>
      <c r="Q1092" s="8"/>
      <c r="R1092" s="79"/>
      <c r="S1092" s="79"/>
      <c r="T1092" s="79"/>
      <c r="U1092" s="34"/>
      <c r="V1092" s="34"/>
    </row>
    <row r="1093" spans="1:22" ht="15" customHeight="1" x14ac:dyDescent="0.2">
      <c r="A1093" s="38"/>
      <c r="B1093" s="38"/>
      <c r="C1093" s="8"/>
      <c r="D1093" s="8"/>
      <c r="E1093" s="8"/>
      <c r="F1093" s="8"/>
      <c r="G1093" s="8"/>
      <c r="H1093" s="8"/>
      <c r="I1093" s="8"/>
      <c r="J1093" s="8"/>
      <c r="K1093" s="8"/>
      <c r="L1093" s="8"/>
      <c r="M1093" s="8"/>
      <c r="N1093" s="8"/>
      <c r="O1093" s="8"/>
      <c r="P1093" s="8"/>
      <c r="Q1093" s="8"/>
      <c r="R1093" s="79"/>
      <c r="S1093" s="79"/>
      <c r="T1093" s="79"/>
      <c r="U1093" s="34"/>
      <c r="V1093" s="34"/>
    </row>
    <row r="1094" spans="1:22" ht="15" customHeight="1" x14ac:dyDescent="0.2">
      <c r="A1094" s="38"/>
      <c r="B1094" s="38"/>
      <c r="C1094" s="8"/>
      <c r="D1094" s="8"/>
      <c r="E1094" s="8"/>
      <c r="F1094" s="8"/>
      <c r="G1094" s="8"/>
      <c r="H1094" s="8"/>
      <c r="I1094" s="8"/>
      <c r="J1094" s="8"/>
      <c r="K1094" s="8"/>
      <c r="L1094" s="8"/>
      <c r="M1094" s="8"/>
      <c r="N1094" s="8"/>
      <c r="O1094" s="8"/>
      <c r="P1094" s="8"/>
      <c r="Q1094" s="8"/>
      <c r="R1094" s="79"/>
      <c r="S1094" s="79"/>
      <c r="T1094" s="79"/>
      <c r="U1094" s="34"/>
      <c r="V1094" s="34"/>
    </row>
    <row r="1095" spans="1:22" ht="15" customHeight="1" x14ac:dyDescent="0.2">
      <c r="A1095" s="38"/>
      <c r="B1095" s="38"/>
      <c r="C1095" s="8"/>
      <c r="D1095" s="8"/>
      <c r="E1095" s="8"/>
      <c r="F1095" s="8"/>
      <c r="G1095" s="8"/>
      <c r="H1095" s="8"/>
      <c r="I1095" s="8"/>
      <c r="J1095" s="8"/>
      <c r="K1095" s="8"/>
      <c r="L1095" s="8"/>
      <c r="M1095" s="8"/>
      <c r="N1095" s="8"/>
      <c r="O1095" s="8"/>
      <c r="P1095" s="8"/>
      <c r="Q1095" s="8"/>
      <c r="R1095" s="79"/>
      <c r="S1095" s="79"/>
      <c r="T1095" s="79"/>
      <c r="U1095" s="34"/>
      <c r="V1095" s="34"/>
    </row>
    <row r="1096" spans="1:22" ht="15" customHeight="1" x14ac:dyDescent="0.2">
      <c r="A1096" s="38"/>
      <c r="B1096" s="38"/>
      <c r="C1096" s="8"/>
      <c r="D1096" s="8"/>
      <c r="E1096" s="8"/>
      <c r="F1096" s="8"/>
      <c r="G1096" s="8"/>
      <c r="H1096" s="8"/>
      <c r="I1096" s="8"/>
      <c r="J1096" s="8"/>
      <c r="K1096" s="8"/>
      <c r="L1096" s="8"/>
      <c r="M1096" s="8"/>
      <c r="N1096" s="8"/>
      <c r="O1096" s="8"/>
      <c r="P1096" s="8"/>
      <c r="Q1096" s="8"/>
      <c r="R1096" s="79"/>
      <c r="S1096" s="79"/>
      <c r="T1096" s="79"/>
      <c r="U1096" s="34"/>
      <c r="V1096" s="34"/>
    </row>
    <row r="1097" spans="1:22" ht="15" customHeight="1" x14ac:dyDescent="0.2">
      <c r="A1097" s="38"/>
      <c r="B1097" s="38"/>
      <c r="C1097" s="8"/>
      <c r="D1097" s="8"/>
      <c r="E1097" s="8"/>
      <c r="F1097" s="8"/>
      <c r="G1097" s="8"/>
      <c r="H1097" s="8"/>
      <c r="I1097" s="8"/>
      <c r="J1097" s="8"/>
      <c r="K1097" s="8"/>
      <c r="L1097" s="8"/>
      <c r="M1097" s="8"/>
      <c r="N1097" s="8"/>
      <c r="O1097" s="8"/>
      <c r="P1097" s="8"/>
      <c r="Q1097" s="8"/>
      <c r="R1097" s="79"/>
      <c r="S1097" s="79"/>
      <c r="T1097" s="79"/>
      <c r="U1097" s="34"/>
      <c r="V1097" s="34"/>
    </row>
    <row r="1098" spans="1:22" ht="15" customHeight="1" x14ac:dyDescent="0.2">
      <c r="A1098" s="38"/>
      <c r="B1098" s="38"/>
      <c r="C1098" s="8"/>
      <c r="D1098" s="8"/>
      <c r="E1098" s="8"/>
      <c r="F1098" s="8"/>
      <c r="G1098" s="8"/>
      <c r="H1098" s="8"/>
      <c r="I1098" s="8"/>
      <c r="J1098" s="8"/>
      <c r="K1098" s="8"/>
      <c r="L1098" s="8"/>
      <c r="M1098" s="8"/>
      <c r="N1098" s="8"/>
      <c r="O1098" s="8"/>
      <c r="P1098" s="8"/>
      <c r="Q1098" s="8"/>
      <c r="R1098" s="79"/>
      <c r="S1098" s="79"/>
      <c r="T1098" s="79"/>
      <c r="U1098" s="34"/>
      <c r="V1098" s="34"/>
    </row>
    <row r="1099" spans="1:22" ht="15" customHeight="1" x14ac:dyDescent="0.2">
      <c r="A1099" s="38"/>
      <c r="B1099" s="38"/>
      <c r="C1099" s="8"/>
      <c r="D1099" s="8"/>
      <c r="E1099" s="8"/>
      <c r="F1099" s="8"/>
      <c r="G1099" s="8"/>
      <c r="H1099" s="8"/>
      <c r="I1099" s="8"/>
      <c r="J1099" s="8"/>
      <c r="K1099" s="8"/>
      <c r="L1099" s="8"/>
      <c r="M1099" s="8"/>
      <c r="N1099" s="8"/>
      <c r="O1099" s="8"/>
      <c r="P1099" s="8"/>
      <c r="Q1099" s="8"/>
      <c r="R1099" s="79"/>
      <c r="S1099" s="79"/>
      <c r="T1099" s="79"/>
      <c r="U1099" s="34"/>
      <c r="V1099" s="34"/>
    </row>
    <row r="1100" spans="1:22" ht="15" customHeight="1" x14ac:dyDescent="0.2">
      <c r="A1100" s="38"/>
      <c r="B1100" s="38"/>
      <c r="C1100" s="8"/>
      <c r="D1100" s="8"/>
      <c r="E1100" s="8"/>
      <c r="F1100" s="8"/>
      <c r="G1100" s="8"/>
      <c r="H1100" s="8"/>
      <c r="I1100" s="8"/>
      <c r="J1100" s="8"/>
      <c r="K1100" s="8"/>
      <c r="L1100" s="8"/>
      <c r="M1100" s="8"/>
      <c r="N1100" s="8"/>
      <c r="O1100" s="8"/>
      <c r="P1100" s="8"/>
      <c r="Q1100" s="8"/>
      <c r="R1100" s="79"/>
      <c r="S1100" s="79"/>
      <c r="T1100" s="79"/>
      <c r="U1100" s="34"/>
      <c r="V1100" s="34"/>
    </row>
    <row r="1101" spans="1:22" ht="15" customHeight="1" x14ac:dyDescent="0.2">
      <c r="A1101" s="38"/>
      <c r="B1101" s="38"/>
      <c r="C1101" s="8"/>
      <c r="D1101" s="8"/>
      <c r="E1101" s="8"/>
      <c r="F1101" s="8"/>
      <c r="G1101" s="8"/>
      <c r="H1101" s="8"/>
      <c r="I1101" s="8"/>
      <c r="J1101" s="8"/>
      <c r="K1101" s="8"/>
      <c r="L1101" s="8"/>
      <c r="M1101" s="8"/>
      <c r="N1101" s="8"/>
      <c r="O1101" s="8"/>
      <c r="P1101" s="8"/>
      <c r="Q1101" s="8"/>
      <c r="R1101" s="79"/>
      <c r="S1101" s="79"/>
      <c r="T1101" s="79"/>
      <c r="U1101" s="34"/>
      <c r="V1101" s="34"/>
    </row>
    <row r="1102" spans="1:22" ht="15" customHeight="1" x14ac:dyDescent="0.2">
      <c r="A1102" s="38"/>
      <c r="B1102" s="38"/>
      <c r="C1102" s="8"/>
      <c r="D1102" s="8"/>
      <c r="E1102" s="8"/>
      <c r="F1102" s="8"/>
      <c r="G1102" s="8"/>
      <c r="H1102" s="8"/>
      <c r="I1102" s="8"/>
      <c r="J1102" s="8"/>
      <c r="K1102" s="8"/>
      <c r="L1102" s="8"/>
      <c r="M1102" s="8"/>
      <c r="N1102" s="8"/>
      <c r="O1102" s="8"/>
      <c r="P1102" s="8"/>
      <c r="Q1102" s="8"/>
      <c r="R1102" s="79"/>
      <c r="S1102" s="79"/>
      <c r="T1102" s="79"/>
      <c r="U1102" s="34"/>
      <c r="V1102" s="34"/>
    </row>
    <row r="1103" spans="1:22" ht="15" customHeight="1" x14ac:dyDescent="0.2">
      <c r="A1103" s="38"/>
      <c r="B1103" s="38"/>
      <c r="C1103" s="8"/>
      <c r="D1103" s="8"/>
      <c r="E1103" s="8"/>
      <c r="F1103" s="8"/>
      <c r="G1103" s="8"/>
      <c r="H1103" s="8"/>
      <c r="I1103" s="8"/>
      <c r="J1103" s="8"/>
      <c r="K1103" s="8"/>
      <c r="L1103" s="8"/>
      <c r="M1103" s="8"/>
      <c r="N1103" s="8"/>
      <c r="O1103" s="8"/>
      <c r="P1103" s="8"/>
      <c r="Q1103" s="8"/>
      <c r="R1103" s="79"/>
      <c r="S1103" s="79"/>
      <c r="T1103" s="79"/>
      <c r="U1103" s="34"/>
      <c r="V1103" s="34"/>
    </row>
    <row r="1104" spans="1:22" ht="15" customHeight="1" x14ac:dyDescent="0.2">
      <c r="A1104" s="38"/>
      <c r="B1104" s="38"/>
      <c r="C1104" s="8"/>
      <c r="D1104" s="8"/>
      <c r="E1104" s="8"/>
      <c r="F1104" s="8"/>
      <c r="G1104" s="8"/>
      <c r="H1104" s="8"/>
      <c r="I1104" s="8"/>
      <c r="J1104" s="8"/>
      <c r="K1104" s="8"/>
      <c r="L1104" s="8"/>
      <c r="M1104" s="8"/>
      <c r="N1104" s="8"/>
      <c r="O1104" s="8"/>
      <c r="P1104" s="8"/>
      <c r="Q1104" s="8"/>
      <c r="R1104" s="79"/>
      <c r="S1104" s="79"/>
      <c r="T1104" s="79"/>
      <c r="U1104" s="34"/>
      <c r="V1104" s="34"/>
    </row>
    <row r="1105" spans="1:22" ht="15" customHeight="1" x14ac:dyDescent="0.2">
      <c r="A1105" s="38"/>
      <c r="B1105" s="38"/>
      <c r="C1105" s="8"/>
      <c r="D1105" s="8"/>
      <c r="E1105" s="8"/>
      <c r="F1105" s="8"/>
      <c r="G1105" s="8"/>
      <c r="H1105" s="8"/>
      <c r="I1105" s="8"/>
      <c r="J1105" s="8"/>
      <c r="K1105" s="8"/>
      <c r="L1105" s="8"/>
      <c r="M1105" s="8"/>
      <c r="N1105" s="8"/>
      <c r="O1105" s="8"/>
      <c r="P1105" s="8"/>
      <c r="Q1105" s="8"/>
      <c r="R1105" s="79"/>
      <c r="S1105" s="79"/>
      <c r="T1105" s="79"/>
      <c r="U1105" s="34"/>
      <c r="V1105" s="34"/>
    </row>
    <row r="1106" spans="1:22" ht="15" customHeight="1" x14ac:dyDescent="0.2">
      <c r="A1106" s="38"/>
      <c r="B1106" s="38"/>
      <c r="C1106" s="8"/>
      <c r="D1106" s="8"/>
      <c r="E1106" s="8"/>
      <c r="F1106" s="8"/>
      <c r="G1106" s="8"/>
      <c r="H1106" s="8"/>
      <c r="I1106" s="8"/>
      <c r="J1106" s="8"/>
      <c r="K1106" s="8"/>
      <c r="L1106" s="8"/>
      <c r="M1106" s="8"/>
      <c r="N1106" s="8"/>
      <c r="O1106" s="8"/>
      <c r="P1106" s="8"/>
      <c r="Q1106" s="8"/>
      <c r="R1106" s="79"/>
      <c r="S1106" s="79"/>
      <c r="T1106" s="79"/>
      <c r="U1106" s="34"/>
      <c r="V1106" s="34"/>
    </row>
    <row r="1107" spans="1:22" ht="15" customHeight="1" x14ac:dyDescent="0.2">
      <c r="A1107" s="38"/>
      <c r="B1107" s="38"/>
      <c r="C1107" s="8"/>
      <c r="D1107" s="8"/>
      <c r="E1107" s="8"/>
      <c r="F1107" s="8"/>
      <c r="G1107" s="8"/>
      <c r="H1107" s="8"/>
      <c r="I1107" s="8"/>
      <c r="J1107" s="8"/>
      <c r="K1107" s="8"/>
      <c r="L1107" s="8"/>
      <c r="M1107" s="8"/>
      <c r="N1107" s="8"/>
      <c r="O1107" s="8"/>
      <c r="P1107" s="8"/>
      <c r="Q1107" s="8"/>
      <c r="R1107" s="79"/>
      <c r="S1107" s="79"/>
      <c r="T1107" s="79"/>
      <c r="U1107" s="34"/>
      <c r="V1107" s="34"/>
    </row>
    <row r="1108" spans="1:22" ht="15" customHeight="1" x14ac:dyDescent="0.2">
      <c r="A1108" s="38"/>
      <c r="B1108" s="38"/>
      <c r="C1108" s="8"/>
      <c r="D1108" s="8"/>
      <c r="E1108" s="8"/>
      <c r="F1108" s="8"/>
      <c r="G1108" s="8"/>
      <c r="H1108" s="8"/>
      <c r="I1108" s="8"/>
      <c r="J1108" s="8"/>
      <c r="K1108" s="8"/>
      <c r="L1108" s="8"/>
      <c r="M1108" s="8"/>
      <c r="N1108" s="8"/>
      <c r="O1108" s="8"/>
      <c r="P1108" s="8"/>
      <c r="Q1108" s="8"/>
      <c r="R1108" s="79"/>
      <c r="S1108" s="79"/>
      <c r="T1108" s="79"/>
      <c r="U1108" s="34"/>
      <c r="V1108" s="34"/>
    </row>
    <row r="1109" spans="1:22" ht="15" customHeight="1" x14ac:dyDescent="0.2">
      <c r="A1109" s="38"/>
      <c r="B1109" s="38"/>
      <c r="C1109" s="8"/>
      <c r="D1109" s="8"/>
      <c r="E1109" s="8"/>
      <c r="F1109" s="8"/>
      <c r="G1109" s="8"/>
      <c r="H1109" s="8"/>
      <c r="I1109" s="8"/>
      <c r="J1109" s="8"/>
      <c r="K1109" s="8"/>
      <c r="L1109" s="8"/>
      <c r="M1109" s="8"/>
      <c r="N1109" s="8"/>
      <c r="O1109" s="8"/>
      <c r="P1109" s="8"/>
      <c r="Q1109" s="8"/>
      <c r="R1109" s="79"/>
      <c r="S1109" s="79"/>
      <c r="T1109" s="79"/>
      <c r="U1109" s="34"/>
      <c r="V1109" s="34"/>
    </row>
    <row r="1110" spans="1:22" ht="15" customHeight="1" x14ac:dyDescent="0.2">
      <c r="A1110" s="38"/>
      <c r="B1110" s="38"/>
      <c r="C1110" s="8"/>
      <c r="D1110" s="8"/>
      <c r="E1110" s="8"/>
      <c r="F1110" s="8"/>
      <c r="G1110" s="8"/>
      <c r="H1110" s="8"/>
      <c r="I1110" s="8"/>
      <c r="J1110" s="8"/>
      <c r="K1110" s="8"/>
      <c r="L1110" s="8"/>
      <c r="M1110" s="8"/>
      <c r="N1110" s="8"/>
      <c r="O1110" s="8"/>
      <c r="P1110" s="8"/>
      <c r="Q1110" s="8"/>
      <c r="R1110" s="79"/>
      <c r="S1110" s="79"/>
      <c r="T1110" s="79"/>
      <c r="U1110" s="34"/>
      <c r="V1110" s="34"/>
    </row>
    <row r="1111" spans="1:22" ht="15" customHeight="1" x14ac:dyDescent="0.2">
      <c r="A1111" s="38"/>
      <c r="B1111" s="38"/>
      <c r="C1111" s="8"/>
      <c r="D1111" s="8"/>
      <c r="E1111" s="8"/>
      <c r="F1111" s="8"/>
      <c r="G1111" s="8"/>
      <c r="H1111" s="8"/>
      <c r="I1111" s="8"/>
      <c r="J1111" s="8"/>
      <c r="K1111" s="8"/>
      <c r="L1111" s="8"/>
      <c r="M1111" s="8"/>
      <c r="N1111" s="8"/>
      <c r="O1111" s="8"/>
      <c r="P1111" s="8"/>
      <c r="Q1111" s="8"/>
      <c r="R1111" s="79"/>
      <c r="S1111" s="79"/>
      <c r="T1111" s="79"/>
      <c r="U1111" s="34"/>
      <c r="V1111" s="34"/>
    </row>
    <row r="1112" spans="1:22" ht="15" customHeight="1" x14ac:dyDescent="0.2">
      <c r="A1112" s="38"/>
      <c r="B1112" s="38"/>
      <c r="C1112" s="8"/>
      <c r="D1112" s="8"/>
      <c r="E1112" s="8"/>
      <c r="F1112" s="8"/>
      <c r="G1112" s="8"/>
      <c r="H1112" s="8"/>
      <c r="I1112" s="8"/>
      <c r="J1112" s="8"/>
      <c r="K1112" s="8"/>
      <c r="L1112" s="8"/>
      <c r="M1112" s="8"/>
      <c r="N1112" s="8"/>
      <c r="O1112" s="8"/>
      <c r="P1112" s="8"/>
      <c r="Q1112" s="8"/>
      <c r="R1112" s="79"/>
      <c r="S1112" s="79"/>
      <c r="T1112" s="79"/>
      <c r="U1112" s="34"/>
      <c r="V1112" s="34"/>
    </row>
    <row r="1113" spans="1:22" ht="15" customHeight="1" x14ac:dyDescent="0.2">
      <c r="A1113" s="38"/>
      <c r="B1113" s="38"/>
      <c r="C1113" s="8"/>
      <c r="D1113" s="8"/>
      <c r="E1113" s="8"/>
      <c r="F1113" s="8"/>
      <c r="G1113" s="8"/>
      <c r="H1113" s="8"/>
      <c r="I1113" s="8"/>
      <c r="J1113" s="8"/>
      <c r="K1113" s="8"/>
      <c r="L1113" s="8"/>
      <c r="M1113" s="8"/>
      <c r="N1113" s="8"/>
      <c r="O1113" s="8"/>
      <c r="P1113" s="8"/>
      <c r="Q1113" s="8"/>
      <c r="R1113" s="79"/>
      <c r="S1113" s="79"/>
      <c r="T1113" s="79"/>
      <c r="U1113" s="34"/>
      <c r="V1113" s="34"/>
    </row>
    <row r="1114" spans="1:22" ht="15" customHeight="1" x14ac:dyDescent="0.2">
      <c r="A1114" s="38"/>
      <c r="B1114" s="38"/>
      <c r="C1114" s="8"/>
      <c r="D1114" s="8"/>
      <c r="E1114" s="8"/>
      <c r="F1114" s="8"/>
      <c r="G1114" s="8"/>
      <c r="H1114" s="8"/>
      <c r="I1114" s="8"/>
      <c r="J1114" s="8"/>
      <c r="K1114" s="8"/>
      <c r="L1114" s="8"/>
      <c r="M1114" s="8"/>
      <c r="N1114" s="8"/>
      <c r="O1114" s="8"/>
      <c r="P1114" s="8"/>
      <c r="Q1114" s="8"/>
      <c r="R1114" s="79"/>
      <c r="S1114" s="79"/>
      <c r="T1114" s="79"/>
      <c r="U1114" s="34"/>
      <c r="V1114" s="34"/>
    </row>
    <row r="1115" spans="1:22" ht="15" customHeight="1" x14ac:dyDescent="0.2">
      <c r="A1115" s="38"/>
      <c r="B1115" s="38"/>
      <c r="C1115" s="8"/>
      <c r="D1115" s="8"/>
      <c r="E1115" s="8"/>
      <c r="F1115" s="8"/>
      <c r="G1115" s="8"/>
      <c r="H1115" s="8"/>
      <c r="I1115" s="8"/>
      <c r="J1115" s="8"/>
      <c r="K1115" s="8"/>
      <c r="L1115" s="8"/>
      <c r="M1115" s="8"/>
      <c r="N1115" s="8"/>
      <c r="O1115" s="8"/>
      <c r="P1115" s="8"/>
      <c r="Q1115" s="8"/>
      <c r="R1115" s="79"/>
      <c r="S1115" s="79"/>
      <c r="T1115" s="79"/>
      <c r="U1115" s="34"/>
      <c r="V1115" s="34"/>
    </row>
    <row r="1116" spans="1:22" ht="15" customHeight="1" x14ac:dyDescent="0.2">
      <c r="A1116" s="38"/>
      <c r="B1116" s="38"/>
      <c r="C1116" s="8"/>
      <c r="D1116" s="8"/>
      <c r="E1116" s="8"/>
      <c r="F1116" s="8"/>
      <c r="G1116" s="8"/>
      <c r="H1116" s="8"/>
      <c r="I1116" s="8"/>
      <c r="J1116" s="8"/>
      <c r="K1116" s="8"/>
      <c r="L1116" s="8"/>
      <c r="M1116" s="8"/>
      <c r="N1116" s="8"/>
      <c r="O1116" s="8"/>
      <c r="P1116" s="8"/>
      <c r="Q1116" s="8"/>
      <c r="R1116" s="79"/>
      <c r="S1116" s="79"/>
      <c r="T1116" s="79"/>
      <c r="U1116" s="34"/>
      <c r="V1116" s="34"/>
    </row>
    <row r="1117" spans="1:22" ht="15" customHeight="1" x14ac:dyDescent="0.2">
      <c r="A1117" s="38"/>
      <c r="B1117" s="38"/>
      <c r="C1117" s="8"/>
      <c r="D1117" s="8"/>
      <c r="E1117" s="8"/>
      <c r="F1117" s="8"/>
      <c r="G1117" s="8"/>
      <c r="H1117" s="8"/>
      <c r="I1117" s="8"/>
      <c r="J1117" s="8"/>
      <c r="K1117" s="8"/>
      <c r="L1117" s="8"/>
      <c r="M1117" s="8"/>
      <c r="N1117" s="8"/>
      <c r="O1117" s="8"/>
      <c r="P1117" s="8"/>
      <c r="Q1117" s="8"/>
      <c r="R1117" s="79"/>
      <c r="S1117" s="79"/>
      <c r="T1117" s="79"/>
      <c r="U1117" s="34"/>
      <c r="V1117" s="34"/>
    </row>
    <row r="1118" spans="1:22" ht="15" customHeight="1" x14ac:dyDescent="0.2">
      <c r="A1118" s="38"/>
      <c r="B1118" s="38"/>
      <c r="C1118" s="8"/>
      <c r="D1118" s="8"/>
      <c r="E1118" s="8"/>
      <c r="F1118" s="8"/>
      <c r="G1118" s="8"/>
      <c r="H1118" s="8"/>
      <c r="I1118" s="8"/>
      <c r="J1118" s="8"/>
      <c r="K1118" s="8"/>
      <c r="L1118" s="8"/>
      <c r="M1118" s="8"/>
      <c r="N1118" s="8"/>
      <c r="O1118" s="8"/>
      <c r="P1118" s="8"/>
      <c r="Q1118" s="8"/>
      <c r="R1118" s="79"/>
      <c r="S1118" s="79"/>
      <c r="T1118" s="79"/>
      <c r="U1118" s="34"/>
      <c r="V1118" s="34"/>
    </row>
    <row r="1119" spans="1:22" ht="15" customHeight="1" x14ac:dyDescent="0.2">
      <c r="A1119" s="38"/>
      <c r="B1119" s="38"/>
      <c r="C1119" s="8"/>
      <c r="D1119" s="8"/>
      <c r="E1119" s="8"/>
      <c r="F1119" s="8"/>
      <c r="G1119" s="8"/>
      <c r="H1119" s="8"/>
      <c r="I1119" s="8"/>
      <c r="J1119" s="8"/>
      <c r="K1119" s="8"/>
      <c r="L1119" s="8"/>
      <c r="M1119" s="8"/>
      <c r="N1119" s="8"/>
      <c r="O1119" s="8"/>
      <c r="P1119" s="8"/>
      <c r="Q1119" s="8"/>
      <c r="R1119" s="79"/>
      <c r="S1119" s="79"/>
      <c r="T1119" s="79"/>
      <c r="U1119" s="34"/>
      <c r="V1119" s="34"/>
    </row>
    <row r="1120" spans="1:22" ht="15" customHeight="1" x14ac:dyDescent="0.2">
      <c r="A1120" s="38"/>
      <c r="B1120" s="38"/>
      <c r="C1120" s="8"/>
      <c r="D1120" s="8"/>
      <c r="E1120" s="8"/>
      <c r="F1120" s="8"/>
      <c r="G1120" s="8"/>
      <c r="H1120" s="8"/>
      <c r="I1120" s="8"/>
      <c r="J1120" s="8"/>
      <c r="K1120" s="8"/>
      <c r="L1120" s="8"/>
      <c r="M1120" s="8"/>
      <c r="N1120" s="8"/>
      <c r="O1120" s="8"/>
      <c r="P1120" s="8"/>
      <c r="Q1120" s="8"/>
      <c r="R1120" s="79"/>
      <c r="S1120" s="79"/>
      <c r="T1120" s="79"/>
      <c r="U1120" s="34"/>
      <c r="V1120" s="34"/>
    </row>
    <row r="1121" spans="1:22" ht="15" customHeight="1" x14ac:dyDescent="0.2">
      <c r="A1121" s="38"/>
      <c r="B1121" s="38"/>
      <c r="C1121" s="8"/>
      <c r="D1121" s="8"/>
      <c r="E1121" s="8"/>
      <c r="F1121" s="8"/>
      <c r="G1121" s="8"/>
      <c r="H1121" s="8"/>
      <c r="I1121" s="8"/>
      <c r="J1121" s="8"/>
      <c r="K1121" s="8"/>
      <c r="L1121" s="8"/>
      <c r="M1121" s="8"/>
      <c r="N1121" s="8"/>
      <c r="O1121" s="8"/>
      <c r="P1121" s="8"/>
      <c r="Q1121" s="8"/>
      <c r="R1121" s="79"/>
      <c r="S1121" s="79"/>
      <c r="T1121" s="79"/>
      <c r="U1121" s="34"/>
      <c r="V1121" s="34"/>
    </row>
    <row r="1122" spans="1:22" ht="15" customHeight="1" x14ac:dyDescent="0.2">
      <c r="A1122" s="38"/>
      <c r="B1122" s="38"/>
      <c r="C1122" s="8"/>
      <c r="D1122" s="8"/>
      <c r="E1122" s="8"/>
      <c r="F1122" s="8"/>
      <c r="G1122" s="8"/>
      <c r="H1122" s="8"/>
      <c r="I1122" s="8"/>
      <c r="J1122" s="8"/>
      <c r="K1122" s="8"/>
      <c r="L1122" s="8"/>
      <c r="M1122" s="8"/>
      <c r="N1122" s="8"/>
      <c r="O1122" s="8"/>
      <c r="P1122" s="8"/>
      <c r="Q1122" s="8"/>
      <c r="R1122" s="79"/>
      <c r="S1122" s="79"/>
      <c r="T1122" s="79"/>
      <c r="U1122" s="34"/>
      <c r="V1122" s="34"/>
    </row>
    <row r="1123" spans="1:22" ht="15" customHeight="1" x14ac:dyDescent="0.2">
      <c r="A1123" s="38"/>
      <c r="B1123" s="38"/>
      <c r="C1123" s="8"/>
      <c r="D1123" s="8"/>
      <c r="E1123" s="8"/>
      <c r="F1123" s="8"/>
      <c r="G1123" s="8"/>
      <c r="H1123" s="8"/>
      <c r="I1123" s="8"/>
      <c r="J1123" s="8"/>
      <c r="K1123" s="8"/>
      <c r="L1123" s="8"/>
      <c r="M1123" s="8"/>
      <c r="N1123" s="8"/>
      <c r="O1123" s="8"/>
      <c r="P1123" s="8"/>
      <c r="Q1123" s="8"/>
      <c r="R1123" s="79"/>
      <c r="S1123" s="79"/>
      <c r="T1123" s="79"/>
      <c r="U1123" s="34"/>
      <c r="V1123" s="34"/>
    </row>
    <row r="1124" spans="1:22" ht="15" customHeight="1" x14ac:dyDescent="0.2">
      <c r="A1124" s="38"/>
      <c r="B1124" s="38"/>
      <c r="C1124" s="8"/>
      <c r="D1124" s="8"/>
      <c r="E1124" s="8"/>
      <c r="F1124" s="8"/>
      <c r="G1124" s="8"/>
      <c r="H1124" s="8"/>
      <c r="I1124" s="8"/>
      <c r="J1124" s="8"/>
      <c r="K1124" s="8"/>
      <c r="L1124" s="8"/>
      <c r="M1124" s="8"/>
      <c r="N1124" s="8"/>
      <c r="O1124" s="8"/>
      <c r="P1124" s="8"/>
      <c r="Q1124" s="8"/>
      <c r="R1124" s="79"/>
      <c r="S1124" s="79"/>
      <c r="T1124" s="79"/>
      <c r="U1124" s="34"/>
      <c r="V1124" s="34"/>
    </row>
    <row r="1125" spans="1:22" ht="15" customHeight="1" x14ac:dyDescent="0.2">
      <c r="A1125" s="38"/>
      <c r="B1125" s="38"/>
      <c r="C1125" s="8"/>
      <c r="D1125" s="8"/>
      <c r="E1125" s="8"/>
      <c r="F1125" s="8"/>
      <c r="G1125" s="8"/>
      <c r="H1125" s="8"/>
      <c r="I1125" s="8"/>
      <c r="J1125" s="8"/>
      <c r="K1125" s="8"/>
      <c r="L1125" s="8"/>
      <c r="M1125" s="8"/>
      <c r="N1125" s="8"/>
      <c r="O1125" s="8"/>
      <c r="P1125" s="8"/>
      <c r="Q1125" s="8"/>
      <c r="R1125" s="79"/>
      <c r="S1125" s="79"/>
      <c r="T1125" s="79"/>
      <c r="U1125" s="34"/>
      <c r="V1125" s="34"/>
    </row>
    <row r="1126" spans="1:22" ht="15" customHeight="1" x14ac:dyDescent="0.2">
      <c r="A1126" s="38"/>
      <c r="B1126" s="38"/>
      <c r="C1126" s="8"/>
      <c r="D1126" s="8"/>
      <c r="E1126" s="8"/>
      <c r="F1126" s="8"/>
      <c r="G1126" s="8"/>
      <c r="H1126" s="8"/>
      <c r="I1126" s="8"/>
      <c r="J1126" s="8"/>
      <c r="K1126" s="8"/>
      <c r="L1126" s="8"/>
      <c r="M1126" s="8"/>
      <c r="N1126" s="8"/>
      <c r="O1126" s="8"/>
      <c r="P1126" s="8"/>
      <c r="Q1126" s="8"/>
      <c r="R1126" s="79"/>
      <c r="S1126" s="79"/>
      <c r="T1126" s="79"/>
      <c r="U1126" s="34"/>
      <c r="V1126" s="34"/>
    </row>
    <row r="1127" spans="1:22" ht="15" customHeight="1" x14ac:dyDescent="0.2">
      <c r="A1127" s="38"/>
      <c r="B1127" s="38"/>
      <c r="C1127" s="8"/>
      <c r="D1127" s="8"/>
      <c r="E1127" s="8"/>
      <c r="F1127" s="8"/>
      <c r="G1127" s="8"/>
      <c r="H1127" s="8"/>
      <c r="I1127" s="8"/>
      <c r="J1127" s="8"/>
      <c r="K1127" s="8"/>
      <c r="L1127" s="8"/>
      <c r="M1127" s="8"/>
      <c r="N1127" s="8"/>
      <c r="O1127" s="8"/>
      <c r="P1127" s="8"/>
      <c r="Q1127" s="8"/>
      <c r="R1127" s="79"/>
      <c r="S1127" s="79"/>
      <c r="T1127" s="79"/>
      <c r="U1127" s="34"/>
      <c r="V1127" s="34"/>
    </row>
    <row r="1128" spans="1:22" ht="15" customHeight="1" x14ac:dyDescent="0.2">
      <c r="A1128" s="38"/>
      <c r="B1128" s="38"/>
      <c r="C1128" s="8"/>
      <c r="D1128" s="8"/>
      <c r="E1128" s="8"/>
      <c r="F1128" s="8"/>
      <c r="G1128" s="8"/>
      <c r="H1128" s="8"/>
      <c r="I1128" s="8"/>
      <c r="J1128" s="8"/>
      <c r="K1128" s="8"/>
      <c r="L1128" s="8"/>
      <c r="M1128" s="8"/>
      <c r="N1128" s="8"/>
      <c r="O1128" s="8"/>
      <c r="P1128" s="8"/>
      <c r="Q1128" s="8"/>
      <c r="R1128" s="79"/>
      <c r="S1128" s="79"/>
      <c r="T1128" s="79"/>
      <c r="U1128" s="34"/>
      <c r="V1128" s="34"/>
    </row>
    <row r="1129" spans="1:22" ht="15" customHeight="1" x14ac:dyDescent="0.2">
      <c r="A1129" s="38"/>
      <c r="B1129" s="38"/>
      <c r="C1129" s="8"/>
      <c r="D1129" s="8"/>
      <c r="E1129" s="8"/>
      <c r="F1129" s="8"/>
      <c r="G1129" s="8"/>
      <c r="H1129" s="8"/>
      <c r="I1129" s="8"/>
      <c r="J1129" s="8"/>
      <c r="K1129" s="8"/>
      <c r="L1129" s="8"/>
      <c r="M1129" s="8"/>
      <c r="N1129" s="8"/>
      <c r="O1129" s="8"/>
      <c r="P1129" s="8"/>
      <c r="Q1129" s="8"/>
      <c r="R1129" s="79"/>
      <c r="S1129" s="79"/>
      <c r="T1129" s="79"/>
      <c r="U1129" s="34"/>
      <c r="V1129" s="34"/>
    </row>
    <row r="1130" spans="1:22" ht="15" customHeight="1" x14ac:dyDescent="0.2">
      <c r="A1130" s="38"/>
      <c r="B1130" s="38"/>
      <c r="C1130" s="8"/>
      <c r="D1130" s="8"/>
      <c r="E1130" s="8"/>
      <c r="F1130" s="8"/>
      <c r="G1130" s="8"/>
      <c r="H1130" s="8"/>
      <c r="I1130" s="8"/>
      <c r="J1130" s="8"/>
      <c r="K1130" s="8"/>
      <c r="L1130" s="8"/>
      <c r="M1130" s="8"/>
      <c r="N1130" s="8"/>
      <c r="O1130" s="8"/>
      <c r="P1130" s="8"/>
      <c r="Q1130" s="8"/>
      <c r="R1130" s="79"/>
      <c r="S1130" s="79"/>
      <c r="T1130" s="79"/>
      <c r="U1130" s="34"/>
      <c r="V1130" s="34"/>
    </row>
    <row r="1131" spans="1:22" ht="15" customHeight="1" x14ac:dyDescent="0.2">
      <c r="A1131" s="38"/>
      <c r="B1131" s="38"/>
      <c r="C1131" s="8"/>
      <c r="D1131" s="8"/>
      <c r="E1131" s="8"/>
      <c r="F1131" s="8"/>
      <c r="G1131" s="8"/>
      <c r="H1131" s="8"/>
      <c r="I1131" s="8"/>
      <c r="J1131" s="8"/>
      <c r="K1131" s="8"/>
      <c r="L1131" s="8"/>
      <c r="M1131" s="8"/>
      <c r="N1131" s="8"/>
      <c r="O1131" s="8"/>
      <c r="P1131" s="8"/>
      <c r="Q1131" s="8"/>
      <c r="R1131" s="79"/>
      <c r="S1131" s="79"/>
      <c r="T1131" s="79"/>
      <c r="U1131" s="34"/>
      <c r="V1131" s="34"/>
    </row>
    <row r="1132" spans="1:22" ht="15" customHeight="1" x14ac:dyDescent="0.2">
      <c r="A1132" s="38"/>
      <c r="B1132" s="38"/>
      <c r="C1132" s="8"/>
      <c r="D1132" s="8"/>
      <c r="E1132" s="8"/>
      <c r="F1132" s="8"/>
      <c r="G1132" s="8"/>
      <c r="H1132" s="8"/>
      <c r="I1132" s="8"/>
      <c r="J1132" s="8"/>
      <c r="K1132" s="8"/>
      <c r="L1132" s="8"/>
      <c r="M1132" s="8"/>
      <c r="N1132" s="8"/>
      <c r="O1132" s="8"/>
      <c r="P1132" s="8"/>
      <c r="Q1132" s="8"/>
      <c r="R1132" s="79"/>
      <c r="S1132" s="79"/>
      <c r="T1132" s="79"/>
      <c r="U1132" s="34"/>
      <c r="V1132" s="34"/>
    </row>
    <row r="1133" spans="1:22" ht="15" customHeight="1" x14ac:dyDescent="0.2">
      <c r="A1133" s="38"/>
      <c r="B1133" s="38"/>
      <c r="C1133" s="8"/>
      <c r="D1133" s="8"/>
      <c r="E1133" s="8"/>
      <c r="F1133" s="8"/>
      <c r="G1133" s="8"/>
      <c r="H1133" s="8"/>
      <c r="I1133" s="8"/>
      <c r="J1133" s="8"/>
      <c r="K1133" s="8"/>
      <c r="L1133" s="8"/>
      <c r="M1133" s="8"/>
      <c r="N1133" s="8"/>
      <c r="O1133" s="8"/>
      <c r="P1133" s="8"/>
      <c r="Q1133" s="8"/>
      <c r="R1133" s="79"/>
      <c r="S1133" s="79"/>
      <c r="T1133" s="79"/>
      <c r="U1133" s="34"/>
      <c r="V1133" s="34"/>
    </row>
    <row r="1134" spans="1:22" ht="15" customHeight="1" x14ac:dyDescent="0.2">
      <c r="A1134" s="38"/>
      <c r="B1134" s="38"/>
      <c r="C1134" s="8"/>
      <c r="D1134" s="8"/>
      <c r="E1134" s="8"/>
      <c r="F1134" s="8"/>
      <c r="G1134" s="8"/>
      <c r="H1134" s="8"/>
      <c r="I1134" s="8"/>
      <c r="J1134" s="8"/>
      <c r="K1134" s="8"/>
      <c r="L1134" s="8"/>
      <c r="M1134" s="8"/>
      <c r="N1134" s="8"/>
      <c r="O1134" s="8"/>
      <c r="P1134" s="8"/>
      <c r="Q1134" s="8"/>
      <c r="R1134" s="79"/>
      <c r="S1134" s="79"/>
      <c r="T1134" s="79"/>
      <c r="U1134" s="34"/>
      <c r="V1134" s="34"/>
    </row>
    <row r="1135" spans="1:22" ht="15" customHeight="1" x14ac:dyDescent="0.2">
      <c r="A1135" s="38"/>
      <c r="B1135" s="38"/>
      <c r="C1135" s="8"/>
      <c r="D1135" s="8"/>
      <c r="E1135" s="8"/>
      <c r="F1135" s="8"/>
      <c r="G1135" s="8"/>
      <c r="H1135" s="8"/>
      <c r="I1135" s="8"/>
      <c r="J1135" s="8"/>
      <c r="K1135" s="8"/>
      <c r="L1135" s="8"/>
      <c r="M1135" s="8"/>
      <c r="N1135" s="8"/>
      <c r="O1135" s="8"/>
      <c r="P1135" s="8"/>
      <c r="Q1135" s="8"/>
      <c r="R1135" s="79"/>
      <c r="S1135" s="79"/>
      <c r="T1135" s="79"/>
      <c r="U1135" s="34"/>
      <c r="V1135" s="34"/>
    </row>
    <row r="1136" spans="1:22" ht="15" customHeight="1" x14ac:dyDescent="0.2">
      <c r="A1136" s="38"/>
      <c r="B1136" s="38"/>
      <c r="C1136" s="8"/>
      <c r="D1136" s="8"/>
      <c r="E1136" s="8"/>
      <c r="F1136" s="8"/>
      <c r="G1136" s="8"/>
      <c r="H1136" s="8"/>
      <c r="I1136" s="8"/>
      <c r="J1136" s="8"/>
      <c r="K1136" s="8"/>
      <c r="L1136" s="8"/>
      <c r="M1136" s="8"/>
      <c r="N1136" s="8"/>
      <c r="O1136" s="8"/>
      <c r="P1136" s="8"/>
      <c r="Q1136" s="8"/>
      <c r="R1136" s="79"/>
      <c r="S1136" s="79"/>
      <c r="T1136" s="79"/>
      <c r="U1136" s="34"/>
      <c r="V1136" s="34"/>
    </row>
    <row r="1137" spans="1:22" ht="15" customHeight="1" x14ac:dyDescent="0.2">
      <c r="A1137" s="38"/>
      <c r="B1137" s="38"/>
      <c r="C1137" s="8"/>
      <c r="D1137" s="8"/>
      <c r="E1137" s="8"/>
      <c r="F1137" s="8"/>
      <c r="G1137" s="8"/>
      <c r="H1137" s="8"/>
      <c r="I1137" s="8"/>
      <c r="J1137" s="8"/>
      <c r="K1137" s="8"/>
      <c r="L1137" s="8"/>
      <c r="M1137" s="8"/>
      <c r="N1137" s="8"/>
      <c r="O1137" s="8"/>
      <c r="P1137" s="8"/>
      <c r="Q1137" s="8"/>
      <c r="R1137" s="79"/>
      <c r="S1137" s="79"/>
      <c r="T1137" s="79"/>
      <c r="U1137" s="34"/>
      <c r="V1137" s="34"/>
    </row>
    <row r="1138" spans="1:22" ht="15" customHeight="1" x14ac:dyDescent="0.2">
      <c r="A1138" s="38"/>
      <c r="B1138" s="38"/>
      <c r="C1138" s="8"/>
      <c r="D1138" s="8"/>
      <c r="E1138" s="8"/>
      <c r="F1138" s="8"/>
      <c r="G1138" s="8"/>
      <c r="H1138" s="8"/>
      <c r="I1138" s="8"/>
      <c r="J1138" s="8"/>
      <c r="K1138" s="8"/>
      <c r="L1138" s="8"/>
      <c r="M1138" s="8"/>
      <c r="N1138" s="8"/>
      <c r="O1138" s="8"/>
      <c r="P1138" s="8"/>
      <c r="Q1138" s="8"/>
      <c r="R1138" s="79"/>
      <c r="S1138" s="79"/>
      <c r="T1138" s="79"/>
      <c r="U1138" s="34"/>
      <c r="V1138" s="34"/>
    </row>
    <row r="1139" spans="1:22" ht="15" customHeight="1" x14ac:dyDescent="0.2">
      <c r="A1139" s="38"/>
      <c r="B1139" s="38"/>
      <c r="C1139" s="8"/>
      <c r="D1139" s="8"/>
      <c r="E1139" s="8"/>
      <c r="F1139" s="8"/>
      <c r="G1139" s="8"/>
      <c r="H1139" s="8"/>
      <c r="I1139" s="8"/>
      <c r="J1139" s="8"/>
      <c r="K1139" s="8"/>
      <c r="L1139" s="8"/>
      <c r="M1139" s="8"/>
      <c r="N1139" s="8"/>
      <c r="O1139" s="8"/>
      <c r="P1139" s="8"/>
      <c r="Q1139" s="8"/>
      <c r="R1139" s="79"/>
      <c r="S1139" s="79"/>
      <c r="T1139" s="79"/>
      <c r="U1139" s="34"/>
      <c r="V1139" s="34"/>
    </row>
    <row r="1140" spans="1:22" ht="15" customHeight="1" x14ac:dyDescent="0.2">
      <c r="A1140" s="38"/>
      <c r="B1140" s="38"/>
      <c r="C1140" s="8"/>
      <c r="D1140" s="8"/>
      <c r="E1140" s="8"/>
      <c r="F1140" s="8"/>
      <c r="G1140" s="8"/>
      <c r="H1140" s="8"/>
      <c r="I1140" s="8"/>
      <c r="J1140" s="8"/>
      <c r="K1140" s="8"/>
      <c r="L1140" s="8"/>
      <c r="M1140" s="8"/>
      <c r="N1140" s="8"/>
      <c r="O1140" s="8"/>
      <c r="P1140" s="8"/>
      <c r="Q1140" s="8"/>
      <c r="R1140" s="79"/>
      <c r="S1140" s="79"/>
      <c r="T1140" s="79"/>
      <c r="U1140" s="34"/>
      <c r="V1140" s="34"/>
    </row>
    <row r="1141" spans="1:22" ht="15" customHeight="1" x14ac:dyDescent="0.2">
      <c r="A1141" s="38"/>
      <c r="B1141" s="38"/>
      <c r="C1141" s="8"/>
      <c r="D1141" s="8"/>
      <c r="E1141" s="8"/>
      <c r="F1141" s="8"/>
      <c r="G1141" s="8"/>
      <c r="H1141" s="8"/>
      <c r="I1141" s="8"/>
      <c r="J1141" s="8"/>
      <c r="K1141" s="8"/>
      <c r="L1141" s="8"/>
      <c r="M1141" s="8"/>
      <c r="N1141" s="8"/>
      <c r="O1141" s="8"/>
      <c r="P1141" s="8"/>
      <c r="Q1141" s="8"/>
      <c r="R1141" s="79"/>
      <c r="S1141" s="79"/>
      <c r="T1141" s="79"/>
      <c r="U1141" s="34"/>
      <c r="V1141" s="34"/>
    </row>
    <row r="1142" spans="1:22" ht="15" customHeight="1" x14ac:dyDescent="0.2">
      <c r="A1142" s="38"/>
      <c r="B1142" s="38"/>
      <c r="C1142" s="8"/>
      <c r="D1142" s="8"/>
      <c r="E1142" s="8"/>
      <c r="F1142" s="8"/>
      <c r="G1142" s="8"/>
      <c r="H1142" s="8"/>
      <c r="I1142" s="8"/>
      <c r="J1142" s="8"/>
      <c r="K1142" s="8"/>
      <c r="L1142" s="8"/>
      <c r="M1142" s="8"/>
      <c r="N1142" s="8"/>
      <c r="O1142" s="8"/>
      <c r="P1142" s="8"/>
      <c r="Q1142" s="8"/>
      <c r="R1142" s="79"/>
      <c r="S1142" s="79"/>
      <c r="T1142" s="79"/>
      <c r="U1142" s="34"/>
      <c r="V1142" s="34"/>
    </row>
    <row r="1143" spans="1:22" ht="15" customHeight="1" x14ac:dyDescent="0.2">
      <c r="A1143" s="38"/>
      <c r="B1143" s="38"/>
      <c r="C1143" s="8"/>
      <c r="D1143" s="8"/>
      <c r="E1143" s="8"/>
      <c r="F1143" s="8"/>
      <c r="G1143" s="8"/>
      <c r="H1143" s="8"/>
      <c r="I1143" s="8"/>
      <c r="J1143" s="8"/>
      <c r="K1143" s="8"/>
      <c r="L1143" s="8"/>
      <c r="M1143" s="8"/>
      <c r="N1143" s="8"/>
      <c r="O1143" s="8"/>
      <c r="P1143" s="8"/>
      <c r="Q1143" s="8"/>
      <c r="R1143" s="79"/>
      <c r="S1143" s="79"/>
      <c r="T1143" s="79"/>
      <c r="U1143" s="34"/>
      <c r="V1143" s="34"/>
    </row>
    <row r="1144" spans="1:22" ht="15" customHeight="1" x14ac:dyDescent="0.2">
      <c r="A1144" s="38"/>
      <c r="B1144" s="38"/>
      <c r="C1144" s="8"/>
      <c r="D1144" s="8"/>
      <c r="E1144" s="8"/>
      <c r="F1144" s="8"/>
      <c r="G1144" s="8"/>
      <c r="H1144" s="8"/>
      <c r="I1144" s="8"/>
      <c r="J1144" s="8"/>
      <c r="K1144" s="8"/>
      <c r="L1144" s="8"/>
      <c r="M1144" s="8"/>
      <c r="N1144" s="8"/>
      <c r="O1144" s="8"/>
      <c r="P1144" s="8"/>
      <c r="Q1144" s="8"/>
      <c r="R1144" s="79"/>
      <c r="S1144" s="79"/>
      <c r="T1144" s="79"/>
      <c r="U1144" s="34"/>
      <c r="V1144" s="34"/>
    </row>
    <row r="1145" spans="1:22" ht="15" customHeight="1" x14ac:dyDescent="0.2">
      <c r="A1145" s="38"/>
      <c r="B1145" s="38"/>
      <c r="C1145" s="8"/>
      <c r="D1145" s="8"/>
      <c r="E1145" s="8"/>
      <c r="F1145" s="8"/>
      <c r="G1145" s="8"/>
      <c r="H1145" s="8"/>
      <c r="I1145" s="8"/>
      <c r="J1145" s="8"/>
      <c r="K1145" s="8"/>
      <c r="L1145" s="8"/>
      <c r="M1145" s="8"/>
      <c r="N1145" s="8"/>
      <c r="O1145" s="8"/>
      <c r="P1145" s="8"/>
      <c r="Q1145" s="8"/>
      <c r="R1145" s="79"/>
      <c r="S1145" s="79"/>
      <c r="T1145" s="79"/>
      <c r="U1145" s="34"/>
      <c r="V1145" s="34"/>
    </row>
    <row r="1146" spans="1:22" ht="15" customHeight="1" x14ac:dyDescent="0.2">
      <c r="A1146" s="38"/>
      <c r="B1146" s="38"/>
      <c r="C1146" s="8"/>
      <c r="D1146" s="8"/>
      <c r="E1146" s="8"/>
      <c r="F1146" s="8"/>
      <c r="G1146" s="8"/>
      <c r="H1146" s="8"/>
      <c r="I1146" s="8"/>
      <c r="J1146" s="8"/>
      <c r="K1146" s="8"/>
      <c r="L1146" s="8"/>
      <c r="M1146" s="8"/>
      <c r="N1146" s="8"/>
      <c r="O1146" s="8"/>
      <c r="P1146" s="8"/>
      <c r="Q1146" s="8"/>
      <c r="R1146" s="79"/>
      <c r="S1146" s="79"/>
      <c r="T1146" s="79"/>
      <c r="U1146" s="34"/>
      <c r="V1146" s="34"/>
    </row>
    <row r="1147" spans="1:22" ht="15" customHeight="1" x14ac:dyDescent="0.2">
      <c r="A1147" s="38"/>
      <c r="B1147" s="38"/>
      <c r="C1147" s="8"/>
      <c r="D1147" s="8"/>
      <c r="E1147" s="8"/>
      <c r="F1147" s="8"/>
      <c r="G1147" s="8"/>
      <c r="H1147" s="8"/>
      <c r="I1147" s="8"/>
      <c r="J1147" s="8"/>
      <c r="K1147" s="8"/>
      <c r="L1147" s="8"/>
      <c r="M1147" s="8"/>
      <c r="N1147" s="8"/>
      <c r="O1147" s="8"/>
      <c r="P1147" s="8"/>
      <c r="Q1147" s="8"/>
      <c r="R1147" s="79"/>
      <c r="S1147" s="79"/>
      <c r="T1147" s="79"/>
      <c r="U1147" s="34"/>
      <c r="V1147" s="34"/>
    </row>
    <row r="1148" spans="1:22" ht="15" customHeight="1" x14ac:dyDescent="0.2">
      <c r="A1148" s="38"/>
      <c r="B1148" s="38"/>
      <c r="C1148" s="8"/>
      <c r="D1148" s="8"/>
      <c r="E1148" s="8"/>
      <c r="F1148" s="8"/>
      <c r="G1148" s="8"/>
      <c r="H1148" s="8"/>
      <c r="I1148" s="8"/>
      <c r="J1148" s="8"/>
      <c r="K1148" s="8"/>
      <c r="L1148" s="8"/>
      <c r="M1148" s="8"/>
      <c r="N1148" s="8"/>
      <c r="O1148" s="8"/>
      <c r="P1148" s="8"/>
      <c r="Q1148" s="8"/>
      <c r="R1148" s="79"/>
      <c r="S1148" s="79"/>
      <c r="T1148" s="79"/>
      <c r="U1148" s="34"/>
      <c r="V1148" s="34"/>
    </row>
    <row r="1149" spans="1:22" ht="15" customHeight="1" x14ac:dyDescent="0.2">
      <c r="A1149" s="38"/>
      <c r="B1149" s="38"/>
      <c r="C1149" s="8"/>
      <c r="D1149" s="8"/>
      <c r="E1149" s="8"/>
      <c r="F1149" s="8"/>
      <c r="G1149" s="8"/>
      <c r="H1149" s="8"/>
      <c r="I1149" s="8"/>
      <c r="J1149" s="8"/>
      <c r="K1149" s="8"/>
      <c r="L1149" s="8"/>
      <c r="M1149" s="8"/>
      <c r="N1149" s="8"/>
      <c r="O1149" s="8"/>
      <c r="P1149" s="8"/>
      <c r="Q1149" s="8"/>
      <c r="R1149" s="79"/>
      <c r="S1149" s="79"/>
      <c r="T1149" s="79"/>
      <c r="U1149" s="34"/>
      <c r="V1149" s="34"/>
    </row>
    <row r="1150" spans="1:22" ht="15" customHeight="1" x14ac:dyDescent="0.2">
      <c r="A1150" s="38"/>
      <c r="B1150" s="38"/>
      <c r="C1150" s="8"/>
      <c r="D1150" s="8"/>
      <c r="E1150" s="8"/>
      <c r="F1150" s="8"/>
      <c r="G1150" s="8"/>
      <c r="H1150" s="8"/>
      <c r="I1150" s="8"/>
      <c r="J1150" s="8"/>
      <c r="K1150" s="8"/>
      <c r="L1150" s="8"/>
      <c r="M1150" s="8"/>
      <c r="N1150" s="8"/>
      <c r="O1150" s="8"/>
      <c r="P1150" s="8"/>
      <c r="Q1150" s="8"/>
      <c r="R1150" s="79"/>
      <c r="S1150" s="79"/>
      <c r="T1150" s="79"/>
      <c r="U1150" s="34"/>
      <c r="V1150" s="34"/>
    </row>
    <row r="1151" spans="1:22" ht="15" customHeight="1" x14ac:dyDescent="0.2">
      <c r="A1151" s="38"/>
      <c r="B1151" s="38"/>
      <c r="C1151" s="8"/>
      <c r="D1151" s="8"/>
      <c r="E1151" s="8"/>
      <c r="F1151" s="8"/>
      <c r="G1151" s="8"/>
      <c r="H1151" s="8"/>
      <c r="I1151" s="8"/>
      <c r="J1151" s="8"/>
      <c r="K1151" s="8"/>
      <c r="L1151" s="8"/>
      <c r="M1151" s="8"/>
      <c r="N1151" s="8"/>
      <c r="O1151" s="8"/>
      <c r="P1151" s="8"/>
      <c r="Q1151" s="8"/>
      <c r="R1151" s="79"/>
      <c r="S1151" s="79"/>
      <c r="T1151" s="79"/>
      <c r="U1151" s="34"/>
      <c r="V1151" s="34"/>
    </row>
    <row r="1152" spans="1:22" ht="15" customHeight="1" x14ac:dyDescent="0.2">
      <c r="A1152" s="38"/>
      <c r="B1152" s="38"/>
      <c r="C1152" s="8"/>
      <c r="D1152" s="8"/>
      <c r="E1152" s="8"/>
      <c r="F1152" s="8"/>
      <c r="G1152" s="8"/>
      <c r="H1152" s="8"/>
      <c r="I1152" s="8"/>
      <c r="J1152" s="8"/>
      <c r="K1152" s="8"/>
      <c r="L1152" s="8"/>
      <c r="M1152" s="8"/>
      <c r="N1152" s="8"/>
      <c r="O1152" s="8"/>
      <c r="P1152" s="8"/>
      <c r="Q1152" s="8"/>
      <c r="R1152" s="79"/>
      <c r="S1152" s="79"/>
      <c r="T1152" s="79"/>
      <c r="U1152" s="34"/>
      <c r="V1152" s="34"/>
    </row>
    <row r="1153" spans="1:22" ht="15" customHeight="1" x14ac:dyDescent="0.2">
      <c r="A1153" s="38"/>
      <c r="B1153" s="38"/>
      <c r="C1153" s="8"/>
      <c r="D1153" s="8"/>
      <c r="E1153" s="8"/>
      <c r="F1153" s="8"/>
      <c r="G1153" s="8"/>
      <c r="H1153" s="8"/>
      <c r="I1153" s="8"/>
      <c r="J1153" s="8"/>
      <c r="K1153" s="8"/>
      <c r="L1153" s="8"/>
      <c r="M1153" s="8"/>
      <c r="N1153" s="8"/>
      <c r="O1153" s="8"/>
      <c r="P1153" s="8"/>
      <c r="Q1153" s="8"/>
      <c r="R1153" s="79"/>
      <c r="S1153" s="79"/>
      <c r="T1153" s="79"/>
      <c r="U1153" s="34"/>
      <c r="V1153" s="34"/>
    </row>
    <row r="1154" spans="1:22" ht="15" customHeight="1" x14ac:dyDescent="0.2">
      <c r="A1154" s="38"/>
      <c r="B1154" s="38"/>
      <c r="C1154" s="8"/>
      <c r="D1154" s="8"/>
      <c r="E1154" s="8"/>
      <c r="F1154" s="8"/>
      <c r="G1154" s="8"/>
      <c r="H1154" s="8"/>
      <c r="I1154" s="8"/>
      <c r="J1154" s="8"/>
      <c r="K1154" s="8"/>
      <c r="L1154" s="8"/>
      <c r="M1154" s="8"/>
      <c r="N1154" s="8"/>
      <c r="O1154" s="8"/>
      <c r="P1154" s="8"/>
      <c r="Q1154" s="8"/>
      <c r="R1154" s="79"/>
      <c r="S1154" s="79"/>
      <c r="T1154" s="79"/>
      <c r="U1154" s="34"/>
      <c r="V1154" s="34"/>
    </row>
    <row r="1155" spans="1:22" ht="15" customHeight="1" x14ac:dyDescent="0.2">
      <c r="A1155" s="38"/>
      <c r="B1155" s="38"/>
      <c r="C1155" s="8"/>
      <c r="D1155" s="8"/>
      <c r="E1155" s="8"/>
      <c r="F1155" s="8"/>
      <c r="G1155" s="8"/>
      <c r="H1155" s="8"/>
      <c r="I1155" s="8"/>
      <c r="J1155" s="8"/>
      <c r="K1155" s="8"/>
      <c r="L1155" s="8"/>
      <c r="M1155" s="8"/>
      <c r="N1155" s="8"/>
      <c r="O1155" s="8"/>
      <c r="P1155" s="8"/>
      <c r="Q1155" s="8"/>
      <c r="R1155" s="79"/>
      <c r="S1155" s="79"/>
      <c r="T1155" s="79"/>
      <c r="U1155" s="34"/>
      <c r="V1155" s="34"/>
    </row>
    <row r="1156" spans="1:22" ht="15" customHeight="1" x14ac:dyDescent="0.2">
      <c r="A1156" s="38"/>
      <c r="B1156" s="38"/>
      <c r="C1156" s="8"/>
      <c r="D1156" s="8"/>
      <c r="E1156" s="8"/>
      <c r="F1156" s="8"/>
      <c r="G1156" s="8"/>
      <c r="H1156" s="8"/>
      <c r="I1156" s="8"/>
      <c r="J1156" s="8"/>
      <c r="K1156" s="8"/>
      <c r="L1156" s="8"/>
      <c r="M1156" s="8"/>
      <c r="N1156" s="8"/>
      <c r="O1156" s="8"/>
      <c r="P1156" s="8"/>
      <c r="Q1156" s="8"/>
      <c r="R1156" s="79"/>
      <c r="S1156" s="79"/>
      <c r="T1156" s="79"/>
      <c r="U1156" s="34"/>
      <c r="V1156" s="34"/>
    </row>
    <row r="1157" spans="1:22" ht="15" customHeight="1" x14ac:dyDescent="0.2">
      <c r="A1157" s="38"/>
      <c r="B1157" s="38"/>
      <c r="C1157" s="8"/>
      <c r="D1157" s="8"/>
      <c r="E1157" s="8"/>
      <c r="F1157" s="8"/>
      <c r="G1157" s="8"/>
      <c r="H1157" s="8"/>
      <c r="I1157" s="8"/>
      <c r="J1157" s="8"/>
      <c r="K1157" s="8"/>
      <c r="L1157" s="8"/>
      <c r="M1157" s="8"/>
      <c r="N1157" s="8"/>
      <c r="O1157" s="8"/>
      <c r="P1157" s="8"/>
      <c r="Q1157" s="8"/>
      <c r="R1157" s="79"/>
      <c r="S1157" s="79"/>
      <c r="T1157" s="79"/>
      <c r="U1157" s="34"/>
      <c r="V1157" s="34"/>
    </row>
    <row r="1158" spans="1:22" ht="15" customHeight="1" x14ac:dyDescent="0.2">
      <c r="A1158" s="38"/>
      <c r="B1158" s="38"/>
      <c r="C1158" s="8"/>
      <c r="D1158" s="8"/>
      <c r="E1158" s="8"/>
      <c r="F1158" s="8"/>
      <c r="G1158" s="8"/>
      <c r="H1158" s="8"/>
      <c r="I1158" s="8"/>
      <c r="J1158" s="8"/>
      <c r="K1158" s="8"/>
      <c r="L1158" s="8"/>
      <c r="M1158" s="8"/>
      <c r="N1158" s="8"/>
      <c r="O1158" s="8"/>
      <c r="P1158" s="8"/>
      <c r="Q1158" s="8"/>
      <c r="R1158" s="79"/>
      <c r="S1158" s="79"/>
      <c r="T1158" s="79"/>
      <c r="U1158" s="34"/>
      <c r="V1158" s="34"/>
    </row>
    <row r="1159" spans="1:22" ht="15" customHeight="1" x14ac:dyDescent="0.2">
      <c r="A1159" s="38"/>
      <c r="B1159" s="38"/>
      <c r="C1159" s="8"/>
      <c r="D1159" s="8"/>
      <c r="E1159" s="8"/>
      <c r="F1159" s="8"/>
      <c r="G1159" s="8"/>
      <c r="H1159" s="8"/>
      <c r="I1159" s="8"/>
      <c r="J1159" s="8"/>
      <c r="K1159" s="8"/>
      <c r="L1159" s="8"/>
      <c r="M1159" s="8"/>
      <c r="N1159" s="8"/>
      <c r="O1159" s="8"/>
      <c r="P1159" s="8"/>
      <c r="Q1159" s="8"/>
      <c r="R1159" s="79"/>
      <c r="S1159" s="79"/>
      <c r="T1159" s="79"/>
      <c r="U1159" s="34"/>
      <c r="V1159" s="34"/>
    </row>
    <row r="1160" spans="1:22" ht="15" customHeight="1" x14ac:dyDescent="0.2">
      <c r="A1160" s="38"/>
      <c r="B1160" s="38"/>
      <c r="C1160" s="8"/>
      <c r="D1160" s="8"/>
      <c r="E1160" s="8"/>
      <c r="F1160" s="8"/>
      <c r="G1160" s="8"/>
      <c r="H1160" s="8"/>
      <c r="I1160" s="8"/>
      <c r="J1160" s="8"/>
      <c r="K1160" s="8"/>
      <c r="L1160" s="8"/>
      <c r="M1160" s="8"/>
      <c r="N1160" s="8"/>
      <c r="O1160" s="8"/>
      <c r="P1160" s="8"/>
      <c r="Q1160" s="8"/>
      <c r="R1160" s="79"/>
      <c r="S1160" s="79"/>
      <c r="T1160" s="79"/>
      <c r="U1160" s="34"/>
      <c r="V1160" s="34"/>
    </row>
    <row r="1161" spans="1:22" ht="15" customHeight="1" x14ac:dyDescent="0.2">
      <c r="A1161" s="38"/>
      <c r="B1161" s="38"/>
      <c r="C1161" s="8"/>
      <c r="D1161" s="8"/>
      <c r="E1161" s="8"/>
      <c r="F1161" s="8"/>
      <c r="G1161" s="8"/>
      <c r="H1161" s="8"/>
      <c r="I1161" s="8"/>
      <c r="J1161" s="8"/>
      <c r="K1161" s="8"/>
      <c r="L1161" s="8"/>
      <c r="M1161" s="8"/>
      <c r="N1161" s="8"/>
      <c r="O1161" s="8"/>
      <c r="P1161" s="8"/>
      <c r="Q1161" s="8"/>
      <c r="R1161" s="79"/>
      <c r="S1161" s="79"/>
      <c r="T1161" s="79"/>
      <c r="U1161" s="34"/>
      <c r="V1161" s="34"/>
    </row>
    <row r="1162" spans="1:22" ht="15" customHeight="1" x14ac:dyDescent="0.2">
      <c r="A1162" s="38"/>
      <c r="B1162" s="38"/>
      <c r="C1162" s="8"/>
      <c r="D1162" s="8"/>
      <c r="E1162" s="8"/>
      <c r="F1162" s="8"/>
      <c r="G1162" s="8"/>
      <c r="H1162" s="8"/>
      <c r="I1162" s="8"/>
      <c r="J1162" s="8"/>
      <c r="K1162" s="8"/>
      <c r="L1162" s="8"/>
      <c r="M1162" s="8"/>
      <c r="N1162" s="8"/>
      <c r="O1162" s="8"/>
      <c r="P1162" s="8"/>
      <c r="Q1162" s="8"/>
      <c r="R1162" s="79"/>
      <c r="S1162" s="79"/>
      <c r="T1162" s="79"/>
      <c r="U1162" s="34"/>
      <c r="V1162" s="34"/>
    </row>
    <row r="1163" spans="1:22" ht="15" customHeight="1" x14ac:dyDescent="0.2">
      <c r="A1163" s="38"/>
      <c r="B1163" s="38"/>
      <c r="C1163" s="8"/>
      <c r="D1163" s="8"/>
      <c r="E1163" s="8"/>
      <c r="F1163" s="8"/>
      <c r="G1163" s="8"/>
      <c r="H1163" s="8"/>
      <c r="I1163" s="8"/>
      <c r="J1163" s="8"/>
      <c r="K1163" s="8"/>
      <c r="L1163" s="8"/>
      <c r="M1163" s="8"/>
      <c r="N1163" s="8"/>
      <c r="O1163" s="8"/>
      <c r="P1163" s="8"/>
      <c r="Q1163" s="8"/>
      <c r="R1163" s="79"/>
      <c r="S1163" s="79"/>
      <c r="T1163" s="79"/>
      <c r="U1163" s="34"/>
      <c r="V1163" s="34"/>
    </row>
    <row r="1164" spans="1:22" ht="15" customHeight="1" x14ac:dyDescent="0.2">
      <c r="A1164" s="38"/>
      <c r="B1164" s="38"/>
      <c r="C1164" s="8"/>
      <c r="D1164" s="8"/>
      <c r="E1164" s="8"/>
      <c r="F1164" s="8"/>
      <c r="G1164" s="8"/>
      <c r="H1164" s="8"/>
      <c r="I1164" s="8"/>
      <c r="J1164" s="8"/>
      <c r="K1164" s="8"/>
      <c r="L1164" s="8"/>
      <c r="M1164" s="8"/>
      <c r="N1164" s="8"/>
      <c r="O1164" s="8"/>
      <c r="P1164" s="8"/>
      <c r="Q1164" s="8"/>
      <c r="R1164" s="79"/>
      <c r="S1164" s="79"/>
      <c r="T1164" s="79"/>
      <c r="U1164" s="34"/>
      <c r="V1164" s="34"/>
    </row>
    <row r="1165" spans="1:22" ht="15" customHeight="1" x14ac:dyDescent="0.2">
      <c r="A1165" s="38"/>
      <c r="B1165" s="38"/>
      <c r="C1165" s="8"/>
      <c r="D1165" s="8"/>
      <c r="E1165" s="8"/>
      <c r="F1165" s="8"/>
      <c r="G1165" s="8"/>
      <c r="H1165" s="8"/>
      <c r="I1165" s="8"/>
      <c r="J1165" s="8"/>
      <c r="K1165" s="8"/>
      <c r="L1165" s="8"/>
      <c r="M1165" s="8"/>
      <c r="N1165" s="8"/>
      <c r="O1165" s="8"/>
      <c r="P1165" s="8"/>
      <c r="Q1165" s="8"/>
      <c r="R1165" s="79"/>
      <c r="S1165" s="79"/>
      <c r="T1165" s="79"/>
      <c r="U1165" s="34"/>
      <c r="V1165" s="34"/>
    </row>
    <row r="1166" spans="1:22" ht="15" customHeight="1" x14ac:dyDescent="0.2">
      <c r="A1166" s="38"/>
      <c r="B1166" s="38"/>
      <c r="C1166" s="8"/>
      <c r="D1166" s="8"/>
      <c r="E1166" s="8"/>
      <c r="F1166" s="8"/>
      <c r="G1166" s="8"/>
      <c r="H1166" s="8"/>
      <c r="I1166" s="8"/>
      <c r="J1166" s="8"/>
      <c r="K1166" s="8"/>
      <c r="L1166" s="8"/>
      <c r="M1166" s="8"/>
      <c r="N1166" s="8"/>
      <c r="O1166" s="8"/>
      <c r="P1166" s="8"/>
      <c r="Q1166" s="8"/>
      <c r="R1166" s="79"/>
      <c r="S1166" s="79"/>
      <c r="T1166" s="79"/>
      <c r="U1166" s="34"/>
      <c r="V1166" s="34"/>
    </row>
    <row r="1167" spans="1:22" ht="15" customHeight="1" x14ac:dyDescent="0.2">
      <c r="A1167" s="38"/>
      <c r="B1167" s="38"/>
      <c r="C1167" s="8"/>
      <c r="D1167" s="8"/>
      <c r="E1167" s="8"/>
      <c r="F1167" s="8"/>
      <c r="G1167" s="8"/>
      <c r="H1167" s="8"/>
      <c r="I1167" s="8"/>
      <c r="J1167" s="8"/>
      <c r="K1167" s="8"/>
      <c r="L1167" s="8"/>
      <c r="M1167" s="8"/>
      <c r="N1167" s="8"/>
      <c r="O1167" s="8"/>
      <c r="P1167" s="8"/>
      <c r="Q1167" s="8"/>
      <c r="R1167" s="79"/>
      <c r="S1167" s="79"/>
      <c r="T1167" s="79"/>
      <c r="U1167" s="34"/>
      <c r="V1167" s="34"/>
    </row>
    <row r="1168" spans="1:22" ht="15" customHeight="1" x14ac:dyDescent="0.2">
      <c r="A1168" s="38"/>
      <c r="B1168" s="38"/>
      <c r="C1168" s="8"/>
      <c r="D1168" s="8"/>
      <c r="E1168" s="8"/>
      <c r="F1168" s="8"/>
      <c r="G1168" s="8"/>
      <c r="H1168" s="8"/>
      <c r="I1168" s="8"/>
      <c r="J1168" s="8"/>
      <c r="K1168" s="8"/>
      <c r="L1168" s="8"/>
      <c r="M1168" s="8"/>
      <c r="N1168" s="8"/>
      <c r="O1168" s="8"/>
      <c r="P1168" s="8"/>
      <c r="Q1168" s="8"/>
      <c r="R1168" s="79"/>
      <c r="S1168" s="79"/>
      <c r="T1168" s="79"/>
      <c r="U1168" s="34"/>
      <c r="V1168" s="34"/>
    </row>
    <row r="1169" spans="1:22" ht="15" customHeight="1" x14ac:dyDescent="0.2">
      <c r="A1169" s="38"/>
      <c r="B1169" s="38"/>
      <c r="C1169" s="8"/>
      <c r="D1169" s="8"/>
      <c r="E1169" s="8"/>
      <c r="F1169" s="8"/>
      <c r="G1169" s="8"/>
      <c r="H1169" s="8"/>
      <c r="I1169" s="8"/>
      <c r="J1169" s="8"/>
      <c r="K1169" s="8"/>
      <c r="L1169" s="8"/>
      <c r="M1169" s="8"/>
      <c r="N1169" s="8"/>
      <c r="O1169" s="8"/>
      <c r="P1169" s="8"/>
      <c r="Q1169" s="8"/>
      <c r="R1169" s="79"/>
      <c r="S1169" s="79"/>
      <c r="T1169" s="79"/>
      <c r="U1169" s="34"/>
      <c r="V1169" s="34"/>
    </row>
    <row r="1170" spans="1:22" ht="15" customHeight="1" x14ac:dyDescent="0.2">
      <c r="A1170" s="38"/>
      <c r="B1170" s="38"/>
      <c r="C1170" s="8"/>
      <c r="D1170" s="8"/>
      <c r="E1170" s="8"/>
      <c r="F1170" s="8"/>
      <c r="G1170" s="8"/>
      <c r="H1170" s="8"/>
      <c r="I1170" s="8"/>
      <c r="J1170" s="8"/>
      <c r="K1170" s="8"/>
      <c r="L1170" s="8"/>
      <c r="M1170" s="8"/>
      <c r="N1170" s="8"/>
      <c r="O1170" s="8"/>
      <c r="P1170" s="8"/>
      <c r="Q1170" s="8"/>
      <c r="R1170" s="79"/>
      <c r="S1170" s="79"/>
      <c r="T1170" s="79"/>
      <c r="U1170" s="34"/>
      <c r="V1170" s="34"/>
    </row>
    <row r="1171" spans="1:22" ht="15" customHeight="1" x14ac:dyDescent="0.2">
      <c r="A1171" s="38"/>
      <c r="B1171" s="38"/>
      <c r="C1171" s="8"/>
      <c r="D1171" s="8"/>
      <c r="E1171" s="8"/>
      <c r="F1171" s="8"/>
      <c r="G1171" s="8"/>
      <c r="H1171" s="8"/>
      <c r="I1171" s="8"/>
      <c r="J1171" s="8"/>
      <c r="K1171" s="8"/>
      <c r="L1171" s="8"/>
      <c r="M1171" s="8"/>
      <c r="N1171" s="8"/>
      <c r="O1171" s="8"/>
      <c r="P1171" s="8"/>
      <c r="Q1171" s="8"/>
      <c r="R1171" s="79"/>
      <c r="S1171" s="79"/>
      <c r="T1171" s="79"/>
      <c r="U1171" s="34"/>
      <c r="V1171" s="34"/>
    </row>
    <row r="1172" spans="1:22" ht="15" customHeight="1" x14ac:dyDescent="0.2">
      <c r="A1172" s="38"/>
      <c r="B1172" s="38"/>
      <c r="C1172" s="8"/>
      <c r="D1172" s="8"/>
      <c r="E1172" s="8"/>
      <c r="F1172" s="8"/>
      <c r="G1172" s="8"/>
      <c r="H1172" s="8"/>
      <c r="I1172" s="8"/>
      <c r="J1172" s="8"/>
      <c r="K1172" s="8"/>
      <c r="L1172" s="8"/>
      <c r="M1172" s="8"/>
      <c r="N1172" s="8"/>
      <c r="O1172" s="8"/>
      <c r="P1172" s="8"/>
      <c r="Q1172" s="8"/>
      <c r="R1172" s="79"/>
      <c r="S1172" s="79"/>
      <c r="T1172" s="79"/>
      <c r="U1172" s="34"/>
      <c r="V1172" s="34"/>
    </row>
    <row r="1173" spans="1:22" ht="15" customHeight="1" x14ac:dyDescent="0.2">
      <c r="A1173" s="38"/>
      <c r="B1173" s="38"/>
      <c r="C1173" s="8"/>
      <c r="D1173" s="8"/>
      <c r="E1173" s="8"/>
      <c r="F1173" s="8"/>
      <c r="G1173" s="8"/>
      <c r="H1173" s="8"/>
      <c r="I1173" s="8"/>
      <c r="J1173" s="8"/>
      <c r="K1173" s="8"/>
      <c r="L1173" s="8"/>
      <c r="M1173" s="8"/>
      <c r="N1173" s="8"/>
      <c r="O1173" s="8"/>
      <c r="P1173" s="8"/>
      <c r="Q1173" s="8"/>
      <c r="R1173" s="79"/>
      <c r="S1173" s="79"/>
      <c r="T1173" s="79"/>
      <c r="U1173" s="34"/>
      <c r="V1173" s="34"/>
    </row>
    <row r="1174" spans="1:22" ht="15" customHeight="1" x14ac:dyDescent="0.2">
      <c r="A1174" s="38"/>
      <c r="B1174" s="38"/>
      <c r="C1174" s="8"/>
      <c r="D1174" s="8"/>
      <c r="E1174" s="8"/>
      <c r="F1174" s="8"/>
      <c r="G1174" s="8"/>
      <c r="H1174" s="8"/>
      <c r="I1174" s="8"/>
      <c r="J1174" s="8"/>
      <c r="K1174" s="8"/>
      <c r="L1174" s="8"/>
      <c r="M1174" s="8"/>
      <c r="N1174" s="8"/>
      <c r="O1174" s="8"/>
      <c r="P1174" s="8"/>
      <c r="Q1174" s="8"/>
      <c r="R1174" s="79"/>
      <c r="S1174" s="79"/>
      <c r="T1174" s="79"/>
      <c r="U1174" s="34"/>
      <c r="V1174" s="34"/>
    </row>
    <row r="1175" spans="1:22" ht="15" customHeight="1" x14ac:dyDescent="0.2">
      <c r="A1175" s="38"/>
      <c r="B1175" s="38"/>
      <c r="C1175" s="8"/>
      <c r="D1175" s="8"/>
      <c r="E1175" s="8"/>
      <c r="F1175" s="8"/>
      <c r="G1175" s="8"/>
      <c r="H1175" s="8"/>
      <c r="I1175" s="8"/>
      <c r="J1175" s="8"/>
      <c r="K1175" s="8"/>
      <c r="L1175" s="8"/>
      <c r="M1175" s="8"/>
      <c r="N1175" s="8"/>
      <c r="O1175" s="8"/>
      <c r="P1175" s="8"/>
      <c r="Q1175" s="8"/>
      <c r="R1175" s="79"/>
      <c r="S1175" s="79"/>
      <c r="T1175" s="79"/>
      <c r="U1175" s="34"/>
      <c r="V1175" s="34"/>
    </row>
    <row r="1176" spans="1:22" ht="15" customHeight="1" x14ac:dyDescent="0.2">
      <c r="A1176" s="38"/>
      <c r="B1176" s="38"/>
      <c r="C1176" s="8"/>
      <c r="D1176" s="8"/>
      <c r="E1176" s="8"/>
      <c r="F1176" s="8"/>
      <c r="G1176" s="8"/>
      <c r="H1176" s="8"/>
      <c r="I1176" s="8"/>
      <c r="J1176" s="8"/>
      <c r="K1176" s="8"/>
      <c r="L1176" s="8"/>
      <c r="M1176" s="8"/>
      <c r="N1176" s="8"/>
      <c r="O1176" s="8"/>
      <c r="P1176" s="8"/>
      <c r="Q1176" s="8"/>
      <c r="R1176" s="79"/>
      <c r="S1176" s="79"/>
      <c r="T1176" s="79"/>
      <c r="U1176" s="34"/>
      <c r="V1176" s="34"/>
    </row>
    <row r="1177" spans="1:22" ht="15" customHeight="1" x14ac:dyDescent="0.2">
      <c r="A1177" s="38"/>
      <c r="B1177" s="38"/>
      <c r="C1177" s="8"/>
      <c r="D1177" s="8"/>
      <c r="E1177" s="8"/>
      <c r="F1177" s="8"/>
      <c r="G1177" s="8"/>
      <c r="H1177" s="8"/>
      <c r="I1177" s="8"/>
      <c r="J1177" s="8"/>
      <c r="K1177" s="8"/>
      <c r="L1177" s="8"/>
      <c r="M1177" s="8"/>
      <c r="N1177" s="8"/>
      <c r="O1177" s="8"/>
      <c r="P1177" s="8"/>
      <c r="Q1177" s="8"/>
      <c r="R1177" s="79"/>
      <c r="S1177" s="79"/>
      <c r="T1177" s="79"/>
      <c r="U1177" s="34"/>
      <c r="V1177" s="34"/>
    </row>
    <row r="1178" spans="1:22" ht="15" customHeight="1" x14ac:dyDescent="0.2">
      <c r="A1178" s="38"/>
      <c r="B1178" s="38"/>
      <c r="C1178" s="8"/>
      <c r="D1178" s="8"/>
      <c r="E1178" s="8"/>
      <c r="F1178" s="8"/>
      <c r="G1178" s="8"/>
      <c r="H1178" s="8"/>
      <c r="I1178" s="8"/>
      <c r="J1178" s="8"/>
      <c r="K1178" s="8"/>
      <c r="L1178" s="8"/>
      <c r="M1178" s="8"/>
      <c r="N1178" s="8"/>
      <c r="O1178" s="8"/>
      <c r="P1178" s="8"/>
      <c r="Q1178" s="8"/>
      <c r="R1178" s="79"/>
      <c r="S1178" s="79"/>
      <c r="T1178" s="79"/>
      <c r="U1178" s="34"/>
      <c r="V1178" s="34"/>
    </row>
    <row r="1179" spans="1:22" ht="15" customHeight="1" x14ac:dyDescent="0.2">
      <c r="A1179" s="38"/>
      <c r="B1179" s="38"/>
      <c r="C1179" s="8"/>
      <c r="D1179" s="8"/>
      <c r="E1179" s="8"/>
      <c r="F1179" s="8"/>
      <c r="G1179" s="8"/>
      <c r="H1179" s="8"/>
      <c r="I1179" s="8"/>
      <c r="J1179" s="8"/>
      <c r="K1179" s="8"/>
      <c r="L1179" s="8"/>
      <c r="M1179" s="8"/>
      <c r="N1179" s="8"/>
      <c r="O1179" s="8"/>
      <c r="P1179" s="8"/>
      <c r="Q1179" s="8"/>
      <c r="R1179" s="79"/>
      <c r="S1179" s="79"/>
      <c r="T1179" s="79"/>
      <c r="U1179" s="34"/>
      <c r="V1179" s="34"/>
    </row>
    <row r="1180" spans="1:22" ht="15" customHeight="1" x14ac:dyDescent="0.2">
      <c r="A1180" s="38"/>
      <c r="B1180" s="38"/>
      <c r="C1180" s="8"/>
      <c r="D1180" s="8"/>
      <c r="E1180" s="8"/>
      <c r="F1180" s="8"/>
      <c r="G1180" s="8"/>
      <c r="H1180" s="8"/>
      <c r="I1180" s="8"/>
      <c r="J1180" s="8"/>
      <c r="K1180" s="8"/>
      <c r="L1180" s="8"/>
      <c r="M1180" s="8"/>
      <c r="N1180" s="8"/>
      <c r="O1180" s="8"/>
      <c r="P1180" s="8"/>
      <c r="Q1180" s="8"/>
      <c r="R1180" s="79"/>
      <c r="S1180" s="79"/>
      <c r="T1180" s="79"/>
      <c r="U1180" s="34"/>
      <c r="V1180" s="34"/>
    </row>
    <row r="1181" spans="1:22" ht="15" customHeight="1" x14ac:dyDescent="0.2">
      <c r="A1181" s="38"/>
      <c r="B1181" s="38"/>
      <c r="C1181" s="8"/>
      <c r="D1181" s="8"/>
      <c r="E1181" s="8"/>
      <c r="F1181" s="8"/>
      <c r="G1181" s="8"/>
      <c r="H1181" s="8"/>
      <c r="I1181" s="8"/>
      <c r="J1181" s="8"/>
      <c r="K1181" s="8"/>
      <c r="L1181" s="8"/>
      <c r="M1181" s="8"/>
      <c r="N1181" s="8"/>
      <c r="O1181" s="8"/>
      <c r="P1181" s="8"/>
      <c r="Q1181" s="8"/>
      <c r="R1181" s="79"/>
      <c r="S1181" s="79"/>
      <c r="T1181" s="79"/>
      <c r="U1181" s="34"/>
      <c r="V1181" s="34"/>
    </row>
    <row r="1182" spans="1:22" ht="15" customHeight="1" x14ac:dyDescent="0.2">
      <c r="A1182" s="38"/>
      <c r="B1182" s="38"/>
      <c r="C1182" s="8"/>
      <c r="D1182" s="8"/>
      <c r="E1182" s="8"/>
      <c r="F1182" s="8"/>
      <c r="G1182" s="8"/>
      <c r="H1182" s="8"/>
      <c r="I1182" s="8"/>
      <c r="J1182" s="8"/>
      <c r="K1182" s="8"/>
      <c r="L1182" s="8"/>
      <c r="M1182" s="8"/>
      <c r="N1182" s="8"/>
      <c r="O1182" s="8"/>
      <c r="P1182" s="8"/>
      <c r="Q1182" s="8"/>
      <c r="R1182" s="79"/>
      <c r="S1182" s="79"/>
      <c r="T1182" s="79"/>
      <c r="U1182" s="34"/>
      <c r="V1182" s="34"/>
    </row>
    <row r="1183" spans="1:22" ht="15" customHeight="1" x14ac:dyDescent="0.2">
      <c r="A1183" s="38"/>
      <c r="B1183" s="38"/>
      <c r="C1183" s="8"/>
      <c r="D1183" s="8"/>
      <c r="E1183" s="8"/>
      <c r="F1183" s="8"/>
      <c r="G1183" s="8"/>
      <c r="H1183" s="8"/>
      <c r="I1183" s="8"/>
      <c r="J1183" s="8"/>
      <c r="K1183" s="8"/>
      <c r="L1183" s="8"/>
      <c r="M1183" s="8"/>
      <c r="N1183" s="8"/>
      <c r="O1183" s="8"/>
      <c r="P1183" s="8"/>
      <c r="Q1183" s="8"/>
      <c r="R1183" s="79"/>
      <c r="S1183" s="79"/>
      <c r="T1183" s="79"/>
      <c r="U1183" s="34"/>
      <c r="V1183" s="34"/>
    </row>
    <row r="1184" spans="1:22" ht="15" customHeight="1" x14ac:dyDescent="0.2">
      <c r="A1184" s="38"/>
      <c r="B1184" s="38"/>
      <c r="C1184" s="8"/>
      <c r="D1184" s="8"/>
      <c r="E1184" s="8"/>
      <c r="F1184" s="8"/>
      <c r="G1184" s="8"/>
      <c r="H1184" s="8"/>
      <c r="I1184" s="8"/>
      <c r="J1184" s="8"/>
      <c r="K1184" s="8"/>
      <c r="L1184" s="8"/>
      <c r="M1184" s="8"/>
      <c r="N1184" s="8"/>
      <c r="O1184" s="8"/>
      <c r="P1184" s="8"/>
      <c r="Q1184" s="8"/>
      <c r="R1184" s="79"/>
      <c r="S1184" s="79"/>
      <c r="T1184" s="79"/>
      <c r="U1184" s="34"/>
      <c r="V1184" s="34"/>
    </row>
    <row r="1185" spans="1:22" ht="15" customHeight="1" x14ac:dyDescent="0.2">
      <c r="A1185" s="38"/>
      <c r="B1185" s="38"/>
      <c r="C1185" s="8"/>
      <c r="D1185" s="8"/>
      <c r="E1185" s="8"/>
      <c r="F1185" s="8"/>
      <c r="G1185" s="8"/>
      <c r="H1185" s="8"/>
      <c r="I1185" s="8"/>
      <c r="J1185" s="8"/>
      <c r="K1185" s="8"/>
      <c r="L1185" s="8"/>
      <c r="M1185" s="8"/>
      <c r="N1185" s="8"/>
      <c r="O1185" s="8"/>
      <c r="P1185" s="8"/>
      <c r="Q1185" s="8"/>
      <c r="R1185" s="79"/>
      <c r="S1185" s="79"/>
      <c r="T1185" s="79"/>
      <c r="U1185" s="34"/>
      <c r="V1185" s="34"/>
    </row>
    <row r="1186" spans="1:22" ht="15" customHeight="1" x14ac:dyDescent="0.2">
      <c r="A1186" s="38"/>
      <c r="B1186" s="38"/>
      <c r="C1186" s="8"/>
      <c r="D1186" s="8"/>
      <c r="E1186" s="8"/>
      <c r="F1186" s="8"/>
      <c r="G1186" s="8"/>
      <c r="H1186" s="8"/>
      <c r="I1186" s="8"/>
      <c r="J1186" s="8"/>
      <c r="K1186" s="8"/>
      <c r="L1186" s="8"/>
      <c r="M1186" s="8"/>
      <c r="N1186" s="8"/>
      <c r="O1186" s="8"/>
      <c r="P1186" s="8"/>
      <c r="Q1186" s="8"/>
      <c r="R1186" s="79"/>
      <c r="S1186" s="79"/>
      <c r="T1186" s="79"/>
      <c r="U1186" s="34"/>
      <c r="V1186" s="34"/>
    </row>
    <row r="1187" spans="1:22" ht="15" customHeight="1" x14ac:dyDescent="0.2">
      <c r="A1187" s="38"/>
      <c r="B1187" s="38"/>
      <c r="C1187" s="8"/>
      <c r="D1187" s="8"/>
      <c r="E1187" s="8"/>
      <c r="F1187" s="8"/>
      <c r="G1187" s="8"/>
      <c r="H1187" s="8"/>
      <c r="I1187" s="8"/>
      <c r="J1187" s="8"/>
      <c r="K1187" s="8"/>
      <c r="L1187" s="8"/>
      <c r="M1187" s="8"/>
      <c r="N1187" s="8"/>
      <c r="O1187" s="8"/>
      <c r="P1187" s="8"/>
      <c r="Q1187" s="8"/>
      <c r="R1187" s="79"/>
      <c r="S1187" s="79"/>
      <c r="T1187" s="79"/>
      <c r="U1187" s="34"/>
      <c r="V1187" s="34"/>
    </row>
    <row r="1188" spans="1:22" ht="15" customHeight="1" x14ac:dyDescent="0.2">
      <c r="A1188" s="38"/>
      <c r="B1188" s="38"/>
      <c r="C1188" s="8"/>
      <c r="D1188" s="8"/>
      <c r="E1188" s="8"/>
      <c r="F1188" s="8"/>
      <c r="G1188" s="8"/>
      <c r="H1188" s="8"/>
      <c r="I1188" s="8"/>
      <c r="J1188" s="8"/>
      <c r="K1188" s="8"/>
      <c r="L1188" s="8"/>
      <c r="M1188" s="8"/>
      <c r="N1188" s="8"/>
      <c r="O1188" s="8"/>
      <c r="P1188" s="8"/>
      <c r="Q1188" s="8"/>
      <c r="R1188" s="79"/>
      <c r="S1188" s="79"/>
      <c r="T1188" s="79"/>
      <c r="U1188" s="34"/>
      <c r="V1188" s="34"/>
    </row>
    <row r="1189" spans="1:22" ht="15" customHeight="1" x14ac:dyDescent="0.2">
      <c r="A1189" s="38"/>
      <c r="B1189" s="38"/>
      <c r="C1189" s="8"/>
      <c r="D1189" s="8"/>
      <c r="E1189" s="8"/>
      <c r="F1189" s="8"/>
      <c r="G1189" s="8"/>
      <c r="H1189" s="8"/>
      <c r="I1189" s="8"/>
      <c r="J1189" s="8"/>
      <c r="K1189" s="8"/>
      <c r="L1189" s="8"/>
      <c r="M1189" s="8"/>
      <c r="N1189" s="8"/>
      <c r="O1189" s="8"/>
      <c r="P1189" s="8"/>
      <c r="Q1189" s="8"/>
      <c r="R1189" s="79"/>
      <c r="S1189" s="79"/>
      <c r="T1189" s="79"/>
      <c r="U1189" s="34"/>
      <c r="V1189" s="34"/>
    </row>
    <row r="1190" spans="1:22" ht="15" customHeight="1" x14ac:dyDescent="0.2">
      <c r="A1190" s="38"/>
      <c r="B1190" s="38"/>
      <c r="C1190" s="8"/>
      <c r="D1190" s="8"/>
      <c r="E1190" s="8"/>
      <c r="F1190" s="8"/>
      <c r="G1190" s="8"/>
      <c r="H1190" s="8"/>
      <c r="I1190" s="8"/>
      <c r="J1190" s="8"/>
      <c r="K1190" s="8"/>
      <c r="L1190" s="8"/>
      <c r="M1190" s="8"/>
      <c r="N1190" s="8"/>
      <c r="O1190" s="8"/>
      <c r="P1190" s="8"/>
      <c r="Q1190" s="8"/>
      <c r="R1190" s="79"/>
      <c r="S1190" s="79"/>
      <c r="T1190" s="79"/>
      <c r="U1190" s="34"/>
      <c r="V1190" s="34"/>
    </row>
    <row r="1191" spans="1:22" ht="15" customHeight="1" x14ac:dyDescent="0.2">
      <c r="A1191" s="38"/>
      <c r="B1191" s="38"/>
      <c r="C1191" s="8"/>
      <c r="D1191" s="8"/>
      <c r="E1191" s="8"/>
      <c r="F1191" s="8"/>
      <c r="G1191" s="8"/>
      <c r="H1191" s="8"/>
      <c r="I1191" s="8"/>
      <c r="J1191" s="8"/>
      <c r="K1191" s="8"/>
      <c r="L1191" s="8"/>
      <c r="M1191" s="8"/>
      <c r="N1191" s="8"/>
      <c r="O1191" s="8"/>
      <c r="P1191" s="8"/>
      <c r="Q1191" s="8"/>
      <c r="R1191" s="79"/>
      <c r="S1191" s="79"/>
      <c r="T1191" s="79"/>
      <c r="U1191" s="34"/>
      <c r="V1191" s="34"/>
    </row>
    <row r="1192" spans="1:22" ht="15" customHeight="1" x14ac:dyDescent="0.2">
      <c r="A1192" s="38"/>
      <c r="B1192" s="38"/>
      <c r="C1192" s="8"/>
      <c r="D1192" s="8"/>
      <c r="E1192" s="8"/>
      <c r="F1192" s="8"/>
      <c r="G1192" s="8"/>
      <c r="H1192" s="8"/>
      <c r="I1192" s="8"/>
      <c r="J1192" s="8"/>
      <c r="K1192" s="8"/>
      <c r="L1192" s="8"/>
      <c r="M1192" s="8"/>
      <c r="N1192" s="8"/>
      <c r="O1192" s="8"/>
      <c r="P1192" s="8"/>
      <c r="Q1192" s="8"/>
      <c r="R1192" s="79"/>
      <c r="S1192" s="79"/>
      <c r="T1192" s="79"/>
      <c r="U1192" s="34"/>
      <c r="V1192" s="34"/>
    </row>
    <row r="1193" spans="1:22" ht="15" customHeight="1" x14ac:dyDescent="0.2">
      <c r="A1193" s="38"/>
      <c r="B1193" s="38"/>
      <c r="C1193" s="8"/>
      <c r="D1193" s="8"/>
      <c r="E1193" s="8"/>
      <c r="F1193" s="8"/>
      <c r="G1193" s="8"/>
      <c r="H1193" s="8"/>
      <c r="I1193" s="8"/>
      <c r="J1193" s="8"/>
      <c r="K1193" s="8"/>
      <c r="L1193" s="8"/>
      <c r="M1193" s="8"/>
      <c r="N1193" s="8"/>
      <c r="O1193" s="8"/>
      <c r="P1193" s="8"/>
      <c r="Q1193" s="8"/>
      <c r="R1193" s="79"/>
      <c r="S1193" s="79"/>
      <c r="T1193" s="79"/>
      <c r="U1193" s="34"/>
      <c r="V1193" s="34"/>
    </row>
    <row r="1194" spans="1:22" ht="15" customHeight="1" x14ac:dyDescent="0.2">
      <c r="A1194" s="38"/>
      <c r="B1194" s="38"/>
      <c r="C1194" s="8"/>
      <c r="D1194" s="8"/>
      <c r="E1194" s="8"/>
      <c r="F1194" s="8"/>
      <c r="G1194" s="8"/>
      <c r="H1194" s="8"/>
      <c r="I1194" s="8"/>
      <c r="J1194" s="8"/>
      <c r="K1194" s="8"/>
      <c r="L1194" s="8"/>
      <c r="M1194" s="8"/>
      <c r="N1194" s="8"/>
      <c r="O1194" s="8"/>
      <c r="P1194" s="8"/>
      <c r="Q1194" s="8"/>
      <c r="R1194" s="79"/>
      <c r="S1194" s="79"/>
      <c r="T1194" s="79"/>
      <c r="U1194" s="34"/>
      <c r="V1194" s="34"/>
    </row>
    <row r="1195" spans="1:22" ht="15" customHeight="1" x14ac:dyDescent="0.2">
      <c r="A1195" s="38"/>
      <c r="B1195" s="38"/>
      <c r="C1195" s="8"/>
      <c r="D1195" s="8"/>
      <c r="E1195" s="8"/>
      <c r="F1195" s="8"/>
      <c r="G1195" s="8"/>
      <c r="H1195" s="8"/>
      <c r="I1195" s="8"/>
      <c r="J1195" s="8"/>
      <c r="K1195" s="8"/>
      <c r="L1195" s="8"/>
      <c r="M1195" s="8"/>
      <c r="N1195" s="8"/>
      <c r="O1195" s="8"/>
      <c r="P1195" s="8"/>
      <c r="Q1195" s="8"/>
      <c r="R1195" s="79"/>
      <c r="S1195" s="79"/>
      <c r="T1195" s="79"/>
      <c r="U1195" s="34"/>
      <c r="V1195" s="34"/>
    </row>
    <row r="1196" spans="1:22" ht="15" customHeight="1" x14ac:dyDescent="0.2">
      <c r="A1196" s="38"/>
      <c r="B1196" s="38"/>
      <c r="C1196" s="8"/>
      <c r="D1196" s="8"/>
      <c r="E1196" s="8"/>
      <c r="F1196" s="8"/>
      <c r="G1196" s="8"/>
      <c r="H1196" s="8"/>
      <c r="I1196" s="8"/>
      <c r="J1196" s="8"/>
      <c r="K1196" s="8"/>
      <c r="L1196" s="8"/>
      <c r="M1196" s="8"/>
      <c r="N1196" s="8"/>
      <c r="O1196" s="8"/>
      <c r="P1196" s="8"/>
      <c r="Q1196" s="8"/>
      <c r="R1196" s="79"/>
      <c r="S1196" s="79"/>
      <c r="T1196" s="79"/>
      <c r="U1196" s="34"/>
      <c r="V1196" s="34"/>
    </row>
    <row r="1197" spans="1:22" ht="15" customHeight="1" x14ac:dyDescent="0.2">
      <c r="A1197" s="38"/>
      <c r="B1197" s="38"/>
      <c r="C1197" s="8"/>
      <c r="D1197" s="8"/>
      <c r="E1197" s="8"/>
      <c r="F1197" s="8"/>
      <c r="G1197" s="8"/>
      <c r="H1197" s="8"/>
      <c r="I1197" s="8"/>
      <c r="J1197" s="8"/>
      <c r="K1197" s="8"/>
      <c r="L1197" s="8"/>
      <c r="M1197" s="8"/>
      <c r="N1197" s="8"/>
      <c r="O1197" s="8"/>
      <c r="P1197" s="8"/>
      <c r="Q1197" s="8"/>
      <c r="R1197" s="79"/>
      <c r="S1197" s="79"/>
      <c r="T1197" s="79"/>
      <c r="U1197" s="34"/>
      <c r="V1197" s="34"/>
    </row>
    <row r="1198" spans="1:22" ht="15" customHeight="1" x14ac:dyDescent="0.2">
      <c r="A1198" s="38"/>
      <c r="B1198" s="38"/>
      <c r="C1198" s="8"/>
      <c r="D1198" s="8"/>
      <c r="E1198" s="8"/>
      <c r="F1198" s="8"/>
      <c r="G1198" s="8"/>
      <c r="H1198" s="8"/>
      <c r="I1198" s="8"/>
      <c r="J1198" s="8"/>
      <c r="K1198" s="8"/>
      <c r="L1198" s="8"/>
      <c r="M1198" s="8"/>
      <c r="N1198" s="8"/>
      <c r="O1198" s="8"/>
      <c r="P1198" s="8"/>
      <c r="Q1198" s="8"/>
      <c r="R1198" s="79"/>
      <c r="S1198" s="79"/>
      <c r="T1198" s="79"/>
      <c r="U1198" s="34"/>
      <c r="V1198" s="34"/>
    </row>
    <row r="1199" spans="1:22" ht="15" customHeight="1" x14ac:dyDescent="0.2">
      <c r="A1199" s="38"/>
      <c r="B1199" s="38"/>
      <c r="C1199" s="8"/>
      <c r="D1199" s="8"/>
      <c r="E1199" s="8"/>
      <c r="F1199" s="8"/>
      <c r="G1199" s="8"/>
      <c r="H1199" s="8"/>
      <c r="I1199" s="8"/>
      <c r="J1199" s="8"/>
      <c r="K1199" s="8"/>
      <c r="L1199" s="8"/>
      <c r="M1199" s="8"/>
      <c r="N1199" s="8"/>
      <c r="O1199" s="8"/>
      <c r="P1199" s="8"/>
      <c r="Q1199" s="8"/>
      <c r="R1199" s="79"/>
      <c r="S1199" s="79"/>
      <c r="T1199" s="79"/>
      <c r="U1199" s="34"/>
      <c r="V1199" s="34"/>
    </row>
    <row r="1200" spans="1:22" ht="15" customHeight="1" x14ac:dyDescent="0.2">
      <c r="A1200" s="38"/>
      <c r="B1200" s="38"/>
      <c r="C1200" s="8"/>
      <c r="D1200" s="8"/>
      <c r="E1200" s="8"/>
      <c r="F1200" s="8"/>
      <c r="G1200" s="8"/>
      <c r="H1200" s="8"/>
      <c r="I1200" s="8"/>
      <c r="J1200" s="8"/>
      <c r="K1200" s="8"/>
      <c r="L1200" s="8"/>
      <c r="M1200" s="8"/>
      <c r="N1200" s="8"/>
      <c r="O1200" s="8"/>
      <c r="P1200" s="8"/>
      <c r="Q1200" s="8"/>
      <c r="R1200" s="79"/>
      <c r="S1200" s="79"/>
      <c r="T1200" s="79"/>
      <c r="U1200" s="34"/>
      <c r="V1200" s="34"/>
    </row>
    <row r="1201" spans="1:22" ht="15" customHeight="1" x14ac:dyDescent="0.2">
      <c r="A1201" s="38"/>
      <c r="B1201" s="38"/>
      <c r="C1201" s="8"/>
      <c r="D1201" s="8"/>
      <c r="E1201" s="8"/>
      <c r="F1201" s="8"/>
      <c r="G1201" s="8"/>
      <c r="H1201" s="8"/>
      <c r="I1201" s="8"/>
      <c r="J1201" s="8"/>
      <c r="K1201" s="8"/>
      <c r="L1201" s="8"/>
      <c r="M1201" s="8"/>
      <c r="N1201" s="8"/>
      <c r="O1201" s="8"/>
      <c r="P1201" s="8"/>
      <c r="Q1201" s="8"/>
      <c r="R1201" s="79"/>
      <c r="S1201" s="79"/>
      <c r="T1201" s="79"/>
      <c r="U1201" s="34"/>
      <c r="V1201" s="34"/>
    </row>
    <row r="1202" spans="1:22" ht="15" customHeight="1" x14ac:dyDescent="0.2">
      <c r="A1202" s="38"/>
      <c r="B1202" s="38"/>
      <c r="C1202" s="8"/>
      <c r="D1202" s="8"/>
      <c r="E1202" s="8"/>
      <c r="F1202" s="8"/>
      <c r="G1202" s="8"/>
      <c r="H1202" s="8"/>
      <c r="I1202" s="8"/>
      <c r="J1202" s="8"/>
      <c r="K1202" s="8"/>
      <c r="L1202" s="8"/>
      <c r="M1202" s="8"/>
      <c r="N1202" s="8"/>
      <c r="O1202" s="8"/>
      <c r="P1202" s="8"/>
      <c r="Q1202" s="8"/>
      <c r="R1202" s="79"/>
      <c r="S1202" s="79"/>
      <c r="T1202" s="79"/>
      <c r="U1202" s="34"/>
      <c r="V1202" s="34"/>
    </row>
    <row r="1203" spans="1:22" ht="15" customHeight="1" x14ac:dyDescent="0.2">
      <c r="A1203" s="38"/>
      <c r="B1203" s="38"/>
      <c r="C1203" s="8"/>
      <c r="D1203" s="8"/>
      <c r="E1203" s="8"/>
      <c r="F1203" s="8"/>
      <c r="G1203" s="8"/>
      <c r="H1203" s="8"/>
      <c r="I1203" s="8"/>
      <c r="J1203" s="8"/>
      <c r="K1203" s="8"/>
      <c r="L1203" s="8"/>
      <c r="M1203" s="8"/>
      <c r="N1203" s="8"/>
      <c r="O1203" s="8"/>
      <c r="P1203" s="8"/>
      <c r="Q1203" s="8"/>
      <c r="R1203" s="79"/>
      <c r="S1203" s="79"/>
      <c r="T1203" s="79"/>
      <c r="U1203" s="34"/>
      <c r="V1203" s="34"/>
    </row>
    <row r="1204" spans="1:22" ht="15" customHeight="1" x14ac:dyDescent="0.2">
      <c r="A1204" s="38"/>
      <c r="B1204" s="38"/>
      <c r="C1204" s="8"/>
      <c r="D1204" s="8"/>
      <c r="E1204" s="8"/>
      <c r="F1204" s="8"/>
      <c r="G1204" s="8"/>
      <c r="H1204" s="8"/>
      <c r="I1204" s="8"/>
      <c r="J1204" s="8"/>
      <c r="K1204" s="8"/>
      <c r="L1204" s="8"/>
      <c r="M1204" s="8"/>
      <c r="N1204" s="8"/>
      <c r="O1204" s="8"/>
      <c r="P1204" s="8"/>
      <c r="Q1204" s="8"/>
      <c r="R1204" s="79"/>
      <c r="S1204" s="79"/>
      <c r="T1204" s="79"/>
      <c r="U1204" s="34"/>
      <c r="V1204" s="34"/>
    </row>
    <row r="1205" spans="1:22" ht="15" customHeight="1" x14ac:dyDescent="0.2">
      <c r="A1205" s="38"/>
      <c r="B1205" s="38"/>
      <c r="C1205" s="8"/>
      <c r="D1205" s="8"/>
      <c r="E1205" s="8"/>
      <c r="F1205" s="8"/>
      <c r="G1205" s="8"/>
      <c r="H1205" s="8"/>
      <c r="I1205" s="8"/>
      <c r="J1205" s="8"/>
      <c r="K1205" s="8"/>
      <c r="L1205" s="8"/>
      <c r="M1205" s="8"/>
      <c r="N1205" s="8"/>
      <c r="O1205" s="8"/>
      <c r="P1205" s="8"/>
      <c r="Q1205" s="8"/>
      <c r="R1205" s="79"/>
      <c r="S1205" s="79"/>
      <c r="T1205" s="79"/>
      <c r="U1205" s="34"/>
      <c r="V1205" s="34"/>
    </row>
    <row r="1206" spans="1:22" ht="15" customHeight="1" x14ac:dyDescent="0.2">
      <c r="A1206" s="38"/>
      <c r="B1206" s="38"/>
      <c r="C1206" s="8"/>
      <c r="D1206" s="8"/>
      <c r="E1206" s="8"/>
      <c r="F1206" s="8"/>
      <c r="G1206" s="8"/>
      <c r="H1206" s="8"/>
      <c r="I1206" s="8"/>
      <c r="J1206" s="8"/>
      <c r="K1206" s="8"/>
      <c r="L1206" s="8"/>
      <c r="M1206" s="8"/>
      <c r="N1206" s="8"/>
      <c r="O1206" s="8"/>
      <c r="P1206" s="8"/>
      <c r="Q1206" s="8"/>
      <c r="R1206" s="79"/>
      <c r="S1206" s="79"/>
      <c r="T1206" s="79"/>
      <c r="U1206" s="34"/>
      <c r="V1206" s="34"/>
    </row>
    <row r="1207" spans="1:22" ht="15" customHeight="1" x14ac:dyDescent="0.2">
      <c r="A1207" s="38"/>
      <c r="B1207" s="38"/>
      <c r="C1207" s="8"/>
      <c r="D1207" s="8"/>
      <c r="E1207" s="8"/>
      <c r="F1207" s="8"/>
      <c r="G1207" s="8"/>
      <c r="H1207" s="8"/>
      <c r="I1207" s="8"/>
      <c r="J1207" s="8"/>
      <c r="K1207" s="8"/>
      <c r="L1207" s="8"/>
      <c r="M1207" s="8"/>
      <c r="N1207" s="8"/>
      <c r="O1207" s="8"/>
      <c r="P1207" s="8"/>
      <c r="Q1207" s="8"/>
      <c r="R1207" s="79"/>
      <c r="S1207" s="79"/>
      <c r="T1207" s="79"/>
      <c r="U1207" s="34"/>
      <c r="V1207" s="34"/>
    </row>
    <row r="1208" spans="1:22" ht="15" customHeight="1" x14ac:dyDescent="0.2">
      <c r="A1208" s="38"/>
      <c r="B1208" s="38"/>
      <c r="C1208" s="8"/>
      <c r="D1208" s="8"/>
      <c r="E1208" s="8"/>
      <c r="F1208" s="8"/>
      <c r="G1208" s="8"/>
      <c r="H1208" s="8"/>
      <c r="I1208" s="8"/>
      <c r="J1208" s="8"/>
      <c r="K1208" s="8"/>
      <c r="L1208" s="8"/>
      <c r="M1208" s="8"/>
      <c r="N1208" s="8"/>
      <c r="O1208" s="8"/>
      <c r="P1208" s="8"/>
      <c r="Q1208" s="8"/>
      <c r="R1208" s="79"/>
      <c r="S1208" s="79"/>
      <c r="T1208" s="79"/>
      <c r="U1208" s="34"/>
      <c r="V1208" s="34"/>
    </row>
    <row r="1209" spans="1:22" ht="15" customHeight="1" x14ac:dyDescent="0.2">
      <c r="A1209" s="38"/>
      <c r="B1209" s="38"/>
      <c r="C1209" s="8"/>
      <c r="D1209" s="8"/>
      <c r="E1209" s="8"/>
      <c r="F1209" s="8"/>
      <c r="G1209" s="8"/>
      <c r="H1209" s="8"/>
      <c r="I1209" s="8"/>
      <c r="J1209" s="8"/>
      <c r="K1209" s="8"/>
      <c r="L1209" s="8"/>
      <c r="M1209" s="8"/>
      <c r="N1209" s="8"/>
      <c r="O1209" s="8"/>
      <c r="P1209" s="8"/>
      <c r="Q1209" s="8"/>
      <c r="R1209" s="79"/>
      <c r="S1209" s="79"/>
      <c r="T1209" s="79"/>
      <c r="U1209" s="34"/>
      <c r="V1209" s="34"/>
    </row>
    <row r="1210" spans="1:22" ht="15" customHeight="1" x14ac:dyDescent="0.2">
      <c r="A1210" s="38"/>
      <c r="B1210" s="38"/>
      <c r="C1210" s="8"/>
      <c r="D1210" s="8"/>
      <c r="E1210" s="8"/>
      <c r="F1210" s="8"/>
      <c r="G1210" s="8"/>
      <c r="H1210" s="8"/>
      <c r="I1210" s="8"/>
      <c r="J1210" s="8"/>
      <c r="K1210" s="8"/>
      <c r="L1210" s="8"/>
      <c r="M1210" s="8"/>
      <c r="N1210" s="8"/>
      <c r="O1210" s="8"/>
      <c r="P1210" s="8"/>
      <c r="Q1210" s="8"/>
      <c r="R1210" s="79"/>
      <c r="S1210" s="79"/>
      <c r="T1210" s="79"/>
      <c r="U1210" s="34"/>
      <c r="V1210" s="34"/>
    </row>
    <row r="1211" spans="1:22" ht="15" customHeight="1" x14ac:dyDescent="0.2">
      <c r="A1211" s="38"/>
      <c r="B1211" s="38"/>
      <c r="C1211" s="8"/>
      <c r="D1211" s="8"/>
      <c r="E1211" s="8"/>
      <c r="F1211" s="8"/>
      <c r="G1211" s="8"/>
      <c r="H1211" s="8"/>
      <c r="I1211" s="8"/>
      <c r="J1211" s="8"/>
      <c r="K1211" s="8"/>
      <c r="L1211" s="8"/>
      <c r="M1211" s="8"/>
      <c r="N1211" s="8"/>
      <c r="O1211" s="8"/>
      <c r="P1211" s="8"/>
      <c r="Q1211" s="8"/>
      <c r="R1211" s="79"/>
      <c r="S1211" s="79"/>
      <c r="T1211" s="79"/>
      <c r="U1211" s="34"/>
      <c r="V1211" s="34"/>
    </row>
    <row r="1212" spans="1:22" ht="15" customHeight="1" x14ac:dyDescent="0.2">
      <c r="A1212" s="38"/>
      <c r="B1212" s="38"/>
      <c r="C1212" s="8"/>
      <c r="D1212" s="8"/>
      <c r="E1212" s="8"/>
      <c r="F1212" s="8"/>
      <c r="G1212" s="8"/>
      <c r="H1212" s="8"/>
      <c r="I1212" s="8"/>
      <c r="J1212" s="8"/>
      <c r="K1212" s="8"/>
      <c r="L1212" s="8"/>
      <c r="M1212" s="8"/>
      <c r="N1212" s="8"/>
      <c r="O1212" s="8"/>
      <c r="P1212" s="8"/>
      <c r="Q1212" s="8"/>
      <c r="R1212" s="79"/>
      <c r="S1212" s="79"/>
      <c r="T1212" s="79"/>
      <c r="U1212" s="34"/>
      <c r="V1212" s="34"/>
    </row>
    <row r="1213" spans="1:22" ht="15" customHeight="1" x14ac:dyDescent="0.2">
      <c r="A1213" s="38"/>
      <c r="B1213" s="38"/>
      <c r="C1213" s="8"/>
      <c r="D1213" s="8"/>
      <c r="E1213" s="8"/>
      <c r="F1213" s="8"/>
      <c r="G1213" s="8"/>
      <c r="H1213" s="8"/>
      <c r="I1213" s="8"/>
      <c r="J1213" s="8"/>
      <c r="K1213" s="8"/>
      <c r="L1213" s="8"/>
      <c r="M1213" s="8"/>
      <c r="N1213" s="8"/>
      <c r="O1213" s="8"/>
      <c r="P1213" s="8"/>
      <c r="Q1213" s="8"/>
      <c r="R1213" s="79"/>
      <c r="S1213" s="79"/>
      <c r="T1213" s="79"/>
      <c r="U1213" s="34"/>
      <c r="V1213" s="34"/>
    </row>
    <row r="1214" spans="1:22" ht="15" customHeight="1" x14ac:dyDescent="0.2">
      <c r="A1214" s="38"/>
      <c r="B1214" s="38"/>
      <c r="C1214" s="8"/>
      <c r="D1214" s="8"/>
      <c r="E1214" s="8"/>
      <c r="F1214" s="8"/>
      <c r="G1214" s="8"/>
      <c r="H1214" s="8"/>
      <c r="I1214" s="8"/>
      <c r="J1214" s="8"/>
      <c r="K1214" s="8"/>
      <c r="L1214" s="8"/>
      <c r="M1214" s="8"/>
      <c r="N1214" s="8"/>
      <c r="O1214" s="8"/>
      <c r="P1214" s="8"/>
      <c r="Q1214" s="8"/>
      <c r="R1214" s="79"/>
      <c r="S1214" s="79"/>
      <c r="T1214" s="79"/>
      <c r="U1214" s="34"/>
      <c r="V1214" s="34"/>
    </row>
    <row r="1215" spans="1:22" ht="15" customHeight="1" x14ac:dyDescent="0.2">
      <c r="A1215" s="38"/>
      <c r="B1215" s="38"/>
      <c r="C1215" s="8"/>
      <c r="D1215" s="8"/>
      <c r="E1215" s="8"/>
      <c r="F1215" s="8"/>
      <c r="G1215" s="8"/>
      <c r="H1215" s="8"/>
      <c r="I1215" s="8"/>
      <c r="J1215" s="8"/>
      <c r="K1215" s="8"/>
      <c r="L1215" s="8"/>
      <c r="M1215" s="8"/>
      <c r="N1215" s="8"/>
      <c r="O1215" s="8"/>
      <c r="P1215" s="8"/>
      <c r="Q1215" s="8"/>
      <c r="R1215" s="79"/>
      <c r="S1215" s="79"/>
      <c r="T1215" s="79"/>
      <c r="U1215" s="34"/>
      <c r="V1215" s="34"/>
    </row>
    <row r="1216" spans="1:22" ht="15" customHeight="1" x14ac:dyDescent="0.2">
      <c r="A1216" s="38"/>
      <c r="B1216" s="38"/>
      <c r="C1216" s="8"/>
      <c r="D1216" s="8"/>
      <c r="E1216" s="8"/>
      <c r="F1216" s="8"/>
      <c r="G1216" s="8"/>
      <c r="H1216" s="8"/>
      <c r="I1216" s="8"/>
      <c r="J1216" s="8"/>
      <c r="K1216" s="8"/>
      <c r="L1216" s="8"/>
      <c r="M1216" s="8"/>
      <c r="N1216" s="8"/>
      <c r="O1216" s="8"/>
      <c r="P1216" s="8"/>
      <c r="Q1216" s="8"/>
      <c r="R1216" s="79"/>
      <c r="S1216" s="79"/>
      <c r="T1216" s="79"/>
      <c r="U1216" s="34"/>
      <c r="V1216" s="34"/>
    </row>
    <row r="1217" spans="1:22" ht="15" customHeight="1" x14ac:dyDescent="0.2">
      <c r="A1217" s="38"/>
      <c r="B1217" s="38"/>
      <c r="C1217" s="8"/>
      <c r="D1217" s="8"/>
      <c r="E1217" s="8"/>
      <c r="F1217" s="8"/>
      <c r="G1217" s="8"/>
      <c r="H1217" s="8"/>
      <c r="I1217" s="8"/>
      <c r="J1217" s="8"/>
      <c r="K1217" s="8"/>
      <c r="L1217" s="8"/>
      <c r="M1217" s="8"/>
      <c r="N1217" s="8"/>
      <c r="O1217" s="8"/>
      <c r="P1217" s="8"/>
      <c r="Q1217" s="8"/>
      <c r="R1217" s="79"/>
      <c r="S1217" s="79"/>
      <c r="T1217" s="79"/>
      <c r="U1217" s="34"/>
      <c r="V1217" s="34"/>
    </row>
    <row r="1218" spans="1:22" ht="15" customHeight="1" x14ac:dyDescent="0.2">
      <c r="A1218" s="38"/>
      <c r="B1218" s="38"/>
      <c r="C1218" s="8"/>
      <c r="D1218" s="8"/>
      <c r="E1218" s="8"/>
      <c r="F1218" s="8"/>
      <c r="G1218" s="8"/>
      <c r="H1218" s="8"/>
      <c r="I1218" s="8"/>
      <c r="J1218" s="8"/>
      <c r="K1218" s="8"/>
      <c r="L1218" s="8"/>
      <c r="M1218" s="8"/>
      <c r="N1218" s="8"/>
      <c r="O1218" s="8"/>
      <c r="P1218" s="8"/>
      <c r="Q1218" s="8"/>
      <c r="R1218" s="79"/>
      <c r="S1218" s="79"/>
      <c r="T1218" s="79"/>
      <c r="U1218" s="34"/>
      <c r="V1218" s="34"/>
    </row>
    <row r="1219" spans="1:22" ht="15" customHeight="1" x14ac:dyDescent="0.2">
      <c r="A1219" s="38"/>
      <c r="B1219" s="38"/>
      <c r="C1219" s="8"/>
      <c r="D1219" s="8"/>
      <c r="E1219" s="8"/>
      <c r="F1219" s="8"/>
      <c r="G1219" s="8"/>
      <c r="H1219" s="8"/>
      <c r="I1219" s="8"/>
      <c r="J1219" s="8"/>
      <c r="K1219" s="8"/>
      <c r="L1219" s="8"/>
      <c r="M1219" s="8"/>
      <c r="N1219" s="8"/>
      <c r="O1219" s="8"/>
      <c r="P1219" s="8"/>
      <c r="Q1219" s="8"/>
      <c r="R1219" s="79"/>
      <c r="S1219" s="79"/>
      <c r="T1219" s="79"/>
      <c r="U1219" s="34"/>
      <c r="V1219" s="34"/>
    </row>
    <row r="1220" spans="1:22" ht="15" customHeight="1" x14ac:dyDescent="0.2">
      <c r="A1220" s="38"/>
      <c r="B1220" s="38"/>
      <c r="C1220" s="8"/>
      <c r="D1220" s="8"/>
      <c r="E1220" s="8"/>
      <c r="F1220" s="8"/>
      <c r="G1220" s="8"/>
      <c r="H1220" s="8"/>
      <c r="I1220" s="8"/>
      <c r="J1220" s="8"/>
      <c r="K1220" s="8"/>
      <c r="L1220" s="8"/>
      <c r="M1220" s="8"/>
      <c r="N1220" s="8"/>
      <c r="O1220" s="8"/>
      <c r="P1220" s="8"/>
      <c r="Q1220" s="8"/>
      <c r="R1220" s="79"/>
      <c r="S1220" s="79"/>
      <c r="T1220" s="79"/>
      <c r="U1220" s="34"/>
      <c r="V1220" s="34"/>
    </row>
    <row r="1221" spans="1:22" ht="15" customHeight="1" x14ac:dyDescent="0.2">
      <c r="A1221" s="38"/>
      <c r="B1221" s="38"/>
      <c r="C1221" s="8"/>
      <c r="D1221" s="8"/>
      <c r="E1221" s="8"/>
      <c r="F1221" s="8"/>
      <c r="G1221" s="8"/>
      <c r="H1221" s="8"/>
      <c r="I1221" s="8"/>
      <c r="J1221" s="8"/>
      <c r="K1221" s="8"/>
      <c r="L1221" s="8"/>
      <c r="M1221" s="8"/>
      <c r="N1221" s="8"/>
      <c r="O1221" s="8"/>
      <c r="P1221" s="8"/>
      <c r="Q1221" s="8"/>
      <c r="R1221" s="79"/>
      <c r="S1221" s="79"/>
      <c r="T1221" s="79"/>
      <c r="U1221" s="34"/>
      <c r="V1221" s="34"/>
    </row>
    <row r="1222" spans="1:22" ht="15" customHeight="1" x14ac:dyDescent="0.2">
      <c r="A1222" s="38"/>
      <c r="B1222" s="38"/>
      <c r="C1222" s="8"/>
      <c r="D1222" s="8"/>
      <c r="E1222" s="8"/>
      <c r="F1222" s="8"/>
      <c r="G1222" s="8"/>
      <c r="H1222" s="8"/>
      <c r="I1222" s="8"/>
      <c r="J1222" s="8"/>
      <c r="K1222" s="8"/>
      <c r="L1222" s="8"/>
      <c r="M1222" s="8"/>
      <c r="N1222" s="8"/>
      <c r="O1222" s="8"/>
      <c r="P1222" s="8"/>
      <c r="Q1222" s="8"/>
      <c r="R1222" s="79"/>
      <c r="S1222" s="79"/>
      <c r="T1222" s="79"/>
      <c r="U1222" s="34"/>
      <c r="V1222" s="34"/>
    </row>
    <row r="1223" spans="1:22" ht="15" customHeight="1" x14ac:dyDescent="0.2">
      <c r="A1223" s="38"/>
      <c r="B1223" s="38"/>
      <c r="C1223" s="8"/>
      <c r="D1223" s="8"/>
      <c r="E1223" s="8"/>
      <c r="F1223" s="8"/>
      <c r="G1223" s="8"/>
      <c r="H1223" s="8"/>
      <c r="I1223" s="8"/>
      <c r="J1223" s="8"/>
      <c r="K1223" s="8"/>
      <c r="L1223" s="8"/>
      <c r="M1223" s="8"/>
      <c r="N1223" s="8"/>
      <c r="O1223" s="8"/>
      <c r="P1223" s="8"/>
      <c r="Q1223" s="8"/>
      <c r="R1223" s="79"/>
      <c r="S1223" s="79"/>
      <c r="T1223" s="79"/>
      <c r="U1223" s="34"/>
      <c r="V1223" s="34"/>
    </row>
    <row r="1224" spans="1:22" ht="15" customHeight="1" x14ac:dyDescent="0.2">
      <c r="A1224" s="38"/>
      <c r="B1224" s="38"/>
      <c r="C1224" s="8"/>
      <c r="D1224" s="8"/>
      <c r="E1224" s="8"/>
      <c r="F1224" s="8"/>
      <c r="G1224" s="8"/>
      <c r="H1224" s="8"/>
      <c r="I1224" s="8"/>
      <c r="J1224" s="8"/>
      <c r="K1224" s="8"/>
      <c r="L1224" s="8"/>
      <c r="M1224" s="8"/>
      <c r="N1224" s="8"/>
      <c r="O1224" s="8"/>
      <c r="P1224" s="8"/>
      <c r="Q1224" s="8"/>
      <c r="R1224" s="79"/>
      <c r="S1224" s="79"/>
      <c r="T1224" s="79"/>
      <c r="U1224" s="34"/>
      <c r="V1224" s="34"/>
    </row>
    <row r="1225" spans="1:22" ht="15" customHeight="1" x14ac:dyDescent="0.2">
      <c r="A1225" s="38"/>
      <c r="B1225" s="38"/>
      <c r="C1225" s="8"/>
      <c r="D1225" s="8"/>
      <c r="E1225" s="8"/>
      <c r="F1225" s="8"/>
      <c r="G1225" s="8"/>
      <c r="H1225" s="8"/>
      <c r="I1225" s="8"/>
      <c r="J1225" s="8"/>
      <c r="K1225" s="8"/>
      <c r="L1225" s="8"/>
      <c r="M1225" s="8"/>
      <c r="N1225" s="8"/>
      <c r="O1225" s="8"/>
      <c r="P1225" s="8"/>
      <c r="Q1225" s="8"/>
      <c r="R1225" s="79"/>
      <c r="S1225" s="79"/>
      <c r="T1225" s="79"/>
      <c r="U1225" s="34"/>
      <c r="V1225" s="34"/>
    </row>
    <row r="1226" spans="1:22" ht="15" customHeight="1" x14ac:dyDescent="0.2">
      <c r="A1226" s="38"/>
      <c r="B1226" s="38"/>
      <c r="C1226" s="8"/>
      <c r="D1226" s="8"/>
      <c r="E1226" s="8"/>
      <c r="F1226" s="8"/>
      <c r="G1226" s="8"/>
      <c r="H1226" s="8"/>
      <c r="I1226" s="8"/>
      <c r="J1226" s="8"/>
      <c r="K1226" s="8"/>
      <c r="L1226" s="8"/>
      <c r="M1226" s="8"/>
      <c r="N1226" s="8"/>
      <c r="O1226" s="8"/>
      <c r="P1226" s="8"/>
      <c r="Q1226" s="8"/>
      <c r="R1226" s="79"/>
      <c r="S1226" s="79"/>
      <c r="T1226" s="79"/>
      <c r="U1226" s="34"/>
      <c r="V1226" s="34"/>
    </row>
    <row r="1227" spans="1:22" ht="15" customHeight="1" x14ac:dyDescent="0.2">
      <c r="A1227" s="38"/>
      <c r="B1227" s="38"/>
      <c r="C1227" s="8"/>
      <c r="D1227" s="8"/>
      <c r="E1227" s="8"/>
      <c r="F1227" s="8"/>
      <c r="G1227" s="8"/>
      <c r="H1227" s="8"/>
      <c r="I1227" s="8"/>
      <c r="J1227" s="8"/>
      <c r="K1227" s="8"/>
      <c r="L1227" s="8"/>
      <c r="M1227" s="8"/>
      <c r="N1227" s="8"/>
      <c r="O1227" s="8"/>
      <c r="P1227" s="8"/>
      <c r="Q1227" s="8"/>
      <c r="R1227" s="79"/>
      <c r="S1227" s="79"/>
      <c r="T1227" s="79"/>
      <c r="U1227" s="34"/>
      <c r="V1227" s="34"/>
    </row>
    <row r="1228" spans="1:22" ht="15" customHeight="1" x14ac:dyDescent="0.2">
      <c r="A1228" s="38"/>
      <c r="B1228" s="38"/>
      <c r="C1228" s="8"/>
      <c r="D1228" s="8"/>
      <c r="E1228" s="8"/>
      <c r="F1228" s="8"/>
      <c r="G1228" s="8"/>
      <c r="H1228" s="8"/>
      <c r="I1228" s="8"/>
      <c r="J1228" s="8"/>
      <c r="K1228" s="8"/>
      <c r="L1228" s="8"/>
      <c r="M1228" s="8"/>
      <c r="N1228" s="8"/>
      <c r="O1228" s="8"/>
      <c r="P1228" s="8"/>
      <c r="Q1228" s="8"/>
      <c r="R1228" s="79"/>
      <c r="S1228" s="79"/>
      <c r="T1228" s="79"/>
      <c r="U1228" s="34"/>
      <c r="V1228" s="34"/>
    </row>
    <row r="1229" spans="1:22" ht="15" customHeight="1" x14ac:dyDescent="0.2">
      <c r="A1229" s="38"/>
      <c r="B1229" s="38"/>
      <c r="C1229" s="8"/>
      <c r="D1229" s="8"/>
      <c r="E1229" s="8"/>
      <c r="F1229" s="8"/>
      <c r="G1229" s="8"/>
      <c r="H1229" s="8"/>
      <c r="I1229" s="8"/>
      <c r="J1229" s="8"/>
      <c r="K1229" s="8"/>
      <c r="L1229" s="8"/>
      <c r="M1229" s="8"/>
      <c r="N1229" s="8"/>
      <c r="O1229" s="8"/>
      <c r="P1229" s="8"/>
      <c r="Q1229" s="8"/>
      <c r="R1229" s="79"/>
      <c r="S1229" s="79"/>
      <c r="T1229" s="79"/>
      <c r="U1229" s="34"/>
      <c r="V1229" s="34"/>
    </row>
    <row r="1230" spans="1:22" ht="15" customHeight="1" x14ac:dyDescent="0.2">
      <c r="A1230" s="38"/>
      <c r="B1230" s="38"/>
      <c r="C1230" s="8"/>
      <c r="D1230" s="8"/>
      <c r="E1230" s="8"/>
      <c r="F1230" s="8"/>
      <c r="G1230" s="8"/>
      <c r="H1230" s="8"/>
      <c r="I1230" s="8"/>
      <c r="J1230" s="8"/>
      <c r="K1230" s="8"/>
      <c r="L1230" s="8"/>
      <c r="M1230" s="8"/>
      <c r="N1230" s="8"/>
      <c r="O1230" s="8"/>
      <c r="P1230" s="8"/>
      <c r="Q1230" s="8"/>
      <c r="R1230" s="79"/>
      <c r="S1230" s="79"/>
      <c r="T1230" s="79"/>
      <c r="U1230" s="34"/>
      <c r="V1230" s="34"/>
    </row>
    <row r="1231" spans="1:22" ht="15" customHeight="1" x14ac:dyDescent="0.2">
      <c r="A1231" s="38"/>
      <c r="B1231" s="38"/>
      <c r="C1231" s="8"/>
      <c r="D1231" s="8"/>
      <c r="E1231" s="8"/>
      <c r="F1231" s="8"/>
      <c r="G1231" s="8"/>
      <c r="H1231" s="8"/>
      <c r="I1231" s="8"/>
      <c r="J1231" s="8"/>
      <c r="K1231" s="8"/>
      <c r="L1231" s="8"/>
      <c r="M1231" s="8"/>
      <c r="N1231" s="8"/>
      <c r="O1231" s="8"/>
      <c r="P1231" s="8"/>
      <c r="Q1231" s="8"/>
      <c r="R1231" s="79"/>
      <c r="S1231" s="79"/>
      <c r="T1231" s="79"/>
      <c r="U1231" s="34"/>
      <c r="V1231" s="34"/>
    </row>
    <row r="1232" spans="1:22" ht="15" customHeight="1" x14ac:dyDescent="0.2">
      <c r="A1232" s="38"/>
      <c r="B1232" s="38"/>
      <c r="C1232" s="8"/>
      <c r="D1232" s="8"/>
      <c r="E1232" s="8"/>
      <c r="F1232" s="8"/>
      <c r="G1232" s="8"/>
      <c r="H1232" s="8"/>
      <c r="I1232" s="8"/>
      <c r="J1232" s="8"/>
      <c r="K1232" s="8"/>
      <c r="L1232" s="8"/>
      <c r="M1232" s="8"/>
      <c r="N1232" s="8"/>
      <c r="O1232" s="8"/>
      <c r="P1232" s="8"/>
      <c r="Q1232" s="8"/>
      <c r="R1232" s="79"/>
      <c r="S1232" s="79"/>
      <c r="T1232" s="79"/>
      <c r="U1232" s="34"/>
      <c r="V1232" s="34"/>
    </row>
    <row r="1233" spans="1:22" ht="15" customHeight="1" x14ac:dyDescent="0.2">
      <c r="A1233" s="38"/>
      <c r="B1233" s="38"/>
      <c r="C1233" s="8"/>
      <c r="D1233" s="8"/>
      <c r="E1233" s="8"/>
      <c r="F1233" s="8"/>
      <c r="G1233" s="8"/>
      <c r="H1233" s="8"/>
      <c r="I1233" s="8"/>
      <c r="J1233" s="8"/>
      <c r="K1233" s="8"/>
      <c r="L1233" s="8"/>
      <c r="M1233" s="8"/>
      <c r="N1233" s="8"/>
      <c r="O1233" s="8"/>
      <c r="P1233" s="8"/>
      <c r="Q1233" s="8"/>
      <c r="R1233" s="79"/>
      <c r="S1233" s="79"/>
      <c r="T1233" s="79"/>
      <c r="U1233" s="34"/>
      <c r="V1233" s="34"/>
    </row>
    <row r="1234" spans="1:22" ht="15" customHeight="1" x14ac:dyDescent="0.2">
      <c r="A1234" s="38"/>
      <c r="B1234" s="38"/>
      <c r="C1234" s="8"/>
      <c r="D1234" s="8"/>
      <c r="E1234" s="8"/>
      <c r="F1234" s="8"/>
      <c r="G1234" s="8"/>
      <c r="H1234" s="8"/>
      <c r="I1234" s="8"/>
      <c r="J1234" s="8"/>
      <c r="K1234" s="8"/>
      <c r="L1234" s="8"/>
      <c r="M1234" s="8"/>
      <c r="N1234" s="8"/>
      <c r="O1234" s="8"/>
      <c r="P1234" s="8"/>
      <c r="Q1234" s="8"/>
      <c r="R1234" s="79"/>
      <c r="S1234" s="79"/>
      <c r="T1234" s="79"/>
      <c r="U1234" s="34"/>
      <c r="V1234" s="34"/>
    </row>
    <row r="1235" spans="1:22" ht="15" customHeight="1" x14ac:dyDescent="0.2">
      <c r="A1235" s="38"/>
      <c r="B1235" s="38"/>
      <c r="C1235" s="8"/>
      <c r="D1235" s="8"/>
      <c r="E1235" s="8"/>
      <c r="F1235" s="8"/>
      <c r="G1235" s="8"/>
      <c r="H1235" s="8"/>
      <c r="I1235" s="8"/>
      <c r="J1235" s="8"/>
      <c r="K1235" s="8"/>
      <c r="L1235" s="8"/>
      <c r="M1235" s="8"/>
      <c r="N1235" s="8"/>
      <c r="O1235" s="8"/>
      <c r="P1235" s="8"/>
      <c r="Q1235" s="8"/>
      <c r="R1235" s="79"/>
      <c r="S1235" s="79"/>
      <c r="T1235" s="79"/>
      <c r="U1235" s="34"/>
      <c r="V1235" s="34"/>
    </row>
    <row r="1236" spans="1:22" ht="15" customHeight="1" x14ac:dyDescent="0.2">
      <c r="A1236" s="38"/>
      <c r="B1236" s="38"/>
      <c r="C1236" s="8"/>
      <c r="D1236" s="8"/>
      <c r="E1236" s="8"/>
      <c r="F1236" s="8"/>
      <c r="G1236" s="8"/>
      <c r="H1236" s="8"/>
      <c r="I1236" s="8"/>
      <c r="J1236" s="8"/>
      <c r="K1236" s="8"/>
      <c r="L1236" s="8"/>
      <c r="M1236" s="8"/>
      <c r="N1236" s="8"/>
      <c r="O1236" s="8"/>
      <c r="P1236" s="8"/>
      <c r="Q1236" s="8"/>
      <c r="R1236" s="79"/>
      <c r="S1236" s="79"/>
      <c r="T1236" s="79"/>
      <c r="U1236" s="34"/>
      <c r="V1236" s="34"/>
    </row>
    <row r="1237" spans="1:22" ht="15" customHeight="1" x14ac:dyDescent="0.2">
      <c r="A1237" s="38"/>
      <c r="B1237" s="38"/>
      <c r="C1237" s="8"/>
      <c r="D1237" s="8"/>
      <c r="E1237" s="8"/>
      <c r="F1237" s="8"/>
      <c r="G1237" s="8"/>
      <c r="H1237" s="8"/>
      <c r="I1237" s="8"/>
      <c r="J1237" s="8"/>
      <c r="K1237" s="8"/>
      <c r="L1237" s="8"/>
      <c r="M1237" s="8"/>
      <c r="N1237" s="8"/>
      <c r="O1237" s="8"/>
      <c r="P1237" s="8"/>
      <c r="Q1237" s="8"/>
      <c r="R1237" s="79"/>
      <c r="S1237" s="79"/>
      <c r="T1237" s="79"/>
      <c r="U1237" s="34"/>
      <c r="V1237" s="34"/>
    </row>
    <row r="1238" spans="1:22" ht="15" customHeight="1" x14ac:dyDescent="0.2">
      <c r="A1238" s="38"/>
      <c r="B1238" s="38"/>
      <c r="C1238" s="8"/>
      <c r="D1238" s="8"/>
      <c r="E1238" s="8"/>
      <c r="F1238" s="8"/>
      <c r="G1238" s="8"/>
      <c r="H1238" s="8"/>
      <c r="I1238" s="8"/>
      <c r="J1238" s="8"/>
      <c r="K1238" s="8"/>
      <c r="L1238" s="8"/>
      <c r="M1238" s="8"/>
      <c r="N1238" s="8"/>
      <c r="O1238" s="8"/>
      <c r="P1238" s="8"/>
      <c r="Q1238" s="8"/>
      <c r="R1238" s="79"/>
      <c r="S1238" s="79"/>
      <c r="T1238" s="79"/>
      <c r="U1238" s="34"/>
      <c r="V1238" s="34"/>
    </row>
    <row r="1239" spans="1:22" ht="15" customHeight="1" x14ac:dyDescent="0.2">
      <c r="A1239" s="38"/>
      <c r="B1239" s="38"/>
      <c r="C1239" s="8"/>
      <c r="D1239" s="8"/>
      <c r="E1239" s="8"/>
      <c r="F1239" s="8"/>
      <c r="G1239" s="8"/>
      <c r="H1239" s="8"/>
      <c r="I1239" s="8"/>
      <c r="J1239" s="8"/>
      <c r="K1239" s="8"/>
      <c r="L1239" s="8"/>
      <c r="M1239" s="8"/>
      <c r="N1239" s="8"/>
      <c r="O1239" s="8"/>
      <c r="P1239" s="8"/>
      <c r="Q1239" s="8"/>
      <c r="R1239" s="79"/>
      <c r="S1239" s="79"/>
      <c r="T1239" s="79"/>
      <c r="U1239" s="34"/>
      <c r="V1239" s="34"/>
    </row>
    <row r="1240" spans="1:22" ht="15" customHeight="1" x14ac:dyDescent="0.2">
      <c r="A1240" s="38"/>
      <c r="B1240" s="38"/>
      <c r="C1240" s="8"/>
      <c r="D1240" s="8"/>
      <c r="E1240" s="8"/>
      <c r="F1240" s="8"/>
      <c r="G1240" s="8"/>
      <c r="H1240" s="8"/>
      <c r="I1240" s="8"/>
      <c r="J1240" s="8"/>
      <c r="K1240" s="8"/>
      <c r="L1240" s="8"/>
      <c r="M1240" s="8"/>
      <c r="N1240" s="8"/>
      <c r="O1240" s="8"/>
      <c r="P1240" s="8"/>
      <c r="Q1240" s="8"/>
      <c r="R1240" s="79"/>
      <c r="S1240" s="79"/>
      <c r="T1240" s="79"/>
      <c r="U1240" s="34"/>
      <c r="V1240" s="34"/>
    </row>
    <row r="1241" spans="1:22" ht="15" customHeight="1" x14ac:dyDescent="0.2">
      <c r="A1241" s="38"/>
      <c r="B1241" s="38"/>
      <c r="C1241" s="8"/>
      <c r="D1241" s="8"/>
      <c r="E1241" s="8"/>
      <c r="F1241" s="8"/>
      <c r="G1241" s="8"/>
      <c r="H1241" s="8"/>
      <c r="I1241" s="8"/>
      <c r="J1241" s="8"/>
      <c r="K1241" s="8"/>
      <c r="L1241" s="8"/>
      <c r="M1241" s="8"/>
      <c r="N1241" s="8"/>
      <c r="O1241" s="8"/>
      <c r="P1241" s="8"/>
      <c r="Q1241" s="8"/>
      <c r="R1241" s="79"/>
      <c r="S1241" s="79"/>
      <c r="T1241" s="79"/>
      <c r="U1241" s="34"/>
      <c r="V1241" s="34"/>
    </row>
    <row r="1242" spans="1:22" ht="15" customHeight="1" x14ac:dyDescent="0.2">
      <c r="A1242" s="38"/>
      <c r="B1242" s="38"/>
      <c r="C1242" s="8"/>
      <c r="D1242" s="8"/>
      <c r="E1242" s="8"/>
      <c r="F1242" s="8"/>
      <c r="G1242" s="8"/>
      <c r="H1242" s="8"/>
      <c r="I1242" s="8"/>
      <c r="J1242" s="8"/>
      <c r="K1242" s="8"/>
      <c r="L1242" s="8"/>
      <c r="M1242" s="8"/>
      <c r="N1242" s="8"/>
      <c r="O1242" s="8"/>
      <c r="P1242" s="8"/>
      <c r="Q1242" s="8"/>
      <c r="R1242" s="79"/>
      <c r="S1242" s="79"/>
      <c r="T1242" s="79"/>
      <c r="U1242" s="34"/>
      <c r="V1242" s="34"/>
    </row>
    <row r="1243" spans="1:22" ht="15" customHeight="1" x14ac:dyDescent="0.2">
      <c r="A1243" s="38"/>
      <c r="B1243" s="38"/>
      <c r="C1243" s="8"/>
      <c r="D1243" s="8"/>
      <c r="E1243" s="8"/>
      <c r="F1243" s="8"/>
      <c r="G1243" s="8"/>
      <c r="H1243" s="8"/>
      <c r="I1243" s="8"/>
      <c r="J1243" s="8"/>
      <c r="K1243" s="8"/>
      <c r="L1243" s="8"/>
      <c r="M1243" s="8"/>
      <c r="N1243" s="8"/>
      <c r="O1243" s="8"/>
      <c r="P1243" s="8"/>
      <c r="Q1243" s="8"/>
      <c r="R1243" s="79"/>
      <c r="S1243" s="79"/>
      <c r="T1243" s="79"/>
      <c r="U1243" s="34"/>
      <c r="V1243" s="34"/>
    </row>
    <row r="1244" spans="1:22" ht="15" customHeight="1" x14ac:dyDescent="0.2">
      <c r="A1244" s="38"/>
      <c r="B1244" s="38"/>
      <c r="C1244" s="8"/>
      <c r="D1244" s="8"/>
      <c r="E1244" s="8"/>
      <c r="F1244" s="8"/>
      <c r="G1244" s="8"/>
      <c r="H1244" s="8"/>
      <c r="I1244" s="8"/>
      <c r="J1244" s="8"/>
      <c r="K1244" s="8"/>
      <c r="L1244" s="8"/>
      <c r="M1244" s="8"/>
      <c r="N1244" s="8"/>
      <c r="O1244" s="8"/>
      <c r="P1244" s="8"/>
      <c r="Q1244" s="8"/>
      <c r="R1244" s="79"/>
      <c r="S1244" s="79"/>
      <c r="T1244" s="79"/>
      <c r="U1244" s="34"/>
      <c r="V1244" s="34"/>
    </row>
    <row r="1245" spans="1:22" ht="15" customHeight="1" x14ac:dyDescent="0.2">
      <c r="A1245" s="38"/>
      <c r="B1245" s="38"/>
      <c r="C1245" s="8"/>
      <c r="D1245" s="8"/>
      <c r="E1245" s="8"/>
      <c r="F1245" s="8"/>
      <c r="G1245" s="8"/>
      <c r="H1245" s="8"/>
      <c r="I1245" s="8"/>
      <c r="J1245" s="8"/>
      <c r="K1245" s="8"/>
      <c r="L1245" s="8"/>
      <c r="M1245" s="8"/>
      <c r="N1245" s="8"/>
      <c r="O1245" s="8"/>
      <c r="P1245" s="8"/>
      <c r="Q1245" s="8"/>
      <c r="R1245" s="79"/>
      <c r="S1245" s="79"/>
      <c r="T1245" s="79"/>
      <c r="U1245" s="34"/>
      <c r="V1245" s="34"/>
    </row>
    <row r="1246" spans="1:22" ht="15" customHeight="1" x14ac:dyDescent="0.2">
      <c r="A1246" s="38"/>
      <c r="B1246" s="38"/>
      <c r="C1246" s="8"/>
      <c r="D1246" s="8"/>
      <c r="E1246" s="8"/>
      <c r="F1246" s="8"/>
      <c r="G1246" s="8"/>
      <c r="H1246" s="8"/>
      <c r="I1246" s="8"/>
      <c r="J1246" s="8"/>
      <c r="K1246" s="8"/>
      <c r="L1246" s="8"/>
      <c r="M1246" s="8"/>
      <c r="N1246" s="8"/>
      <c r="O1246" s="8"/>
      <c r="P1246" s="8"/>
      <c r="Q1246" s="8"/>
      <c r="R1246" s="79"/>
      <c r="S1246" s="79"/>
      <c r="T1246" s="79"/>
      <c r="U1246" s="34"/>
      <c r="V1246" s="34"/>
    </row>
    <row r="1247" spans="1:22" ht="15" customHeight="1" x14ac:dyDescent="0.2">
      <c r="A1247" s="38"/>
      <c r="B1247" s="38"/>
      <c r="C1247" s="8"/>
      <c r="D1247" s="8"/>
      <c r="E1247" s="8"/>
      <c r="F1247" s="8"/>
      <c r="G1247" s="8"/>
      <c r="H1247" s="8"/>
      <c r="I1247" s="8"/>
      <c r="J1247" s="8"/>
      <c r="K1247" s="8"/>
      <c r="L1247" s="8"/>
      <c r="M1247" s="8"/>
      <c r="N1247" s="8"/>
      <c r="O1247" s="8"/>
      <c r="P1247" s="8"/>
      <c r="Q1247" s="8"/>
      <c r="R1247" s="79"/>
      <c r="S1247" s="79"/>
      <c r="T1247" s="79"/>
      <c r="U1247" s="34"/>
      <c r="V1247" s="34"/>
    </row>
    <row r="1248" spans="1:22" ht="15" customHeight="1" x14ac:dyDescent="0.2">
      <c r="A1248" s="38"/>
      <c r="B1248" s="38"/>
      <c r="C1248" s="8"/>
      <c r="D1248" s="8"/>
      <c r="E1248" s="8"/>
      <c r="F1248" s="8"/>
      <c r="G1248" s="8"/>
      <c r="H1248" s="8"/>
      <c r="I1248" s="8"/>
      <c r="J1248" s="8"/>
      <c r="K1248" s="8"/>
      <c r="L1248" s="8"/>
      <c r="M1248" s="8"/>
      <c r="N1248" s="8"/>
      <c r="O1248" s="8"/>
      <c r="P1248" s="8"/>
      <c r="Q1248" s="8"/>
      <c r="R1248" s="79"/>
      <c r="S1248" s="79"/>
      <c r="T1248" s="79"/>
      <c r="U1248" s="34"/>
      <c r="V1248" s="34"/>
    </row>
    <row r="1249" spans="1:22" ht="15" customHeight="1" x14ac:dyDescent="0.2">
      <c r="A1249" s="38"/>
      <c r="B1249" s="38"/>
      <c r="C1249" s="8"/>
      <c r="D1249" s="8"/>
      <c r="E1249" s="8"/>
      <c r="F1249" s="8"/>
      <c r="G1249" s="8"/>
      <c r="H1249" s="8"/>
      <c r="I1249" s="8"/>
      <c r="J1249" s="8"/>
      <c r="K1249" s="8"/>
      <c r="L1249" s="8"/>
      <c r="M1249" s="8"/>
      <c r="N1249" s="8"/>
      <c r="O1249" s="8"/>
      <c r="P1249" s="8"/>
      <c r="Q1249" s="8"/>
      <c r="R1249" s="79"/>
      <c r="S1249" s="79"/>
      <c r="T1249" s="79"/>
      <c r="U1249" s="34"/>
      <c r="V1249" s="34"/>
    </row>
    <row r="1250" spans="1:22" ht="15" customHeight="1" x14ac:dyDescent="0.2">
      <c r="A1250" s="38"/>
      <c r="B1250" s="38"/>
      <c r="C1250" s="8"/>
      <c r="D1250" s="8"/>
      <c r="E1250" s="8"/>
      <c r="F1250" s="8"/>
      <c r="G1250" s="8"/>
      <c r="H1250" s="8"/>
      <c r="I1250" s="8"/>
      <c r="J1250" s="8"/>
      <c r="K1250" s="8"/>
      <c r="L1250" s="8"/>
      <c r="M1250" s="8"/>
      <c r="N1250" s="8"/>
      <c r="O1250" s="8"/>
      <c r="P1250" s="8"/>
      <c r="Q1250" s="8"/>
      <c r="R1250" s="79"/>
      <c r="S1250" s="79"/>
      <c r="T1250" s="79"/>
      <c r="U1250" s="34"/>
      <c r="V1250" s="34"/>
    </row>
    <row r="1251" spans="1:22" ht="15" customHeight="1" x14ac:dyDescent="0.2">
      <c r="A1251" s="38"/>
      <c r="B1251" s="38"/>
      <c r="C1251" s="8"/>
      <c r="D1251" s="8"/>
      <c r="E1251" s="8"/>
      <c r="F1251" s="8"/>
      <c r="G1251" s="8"/>
      <c r="H1251" s="8"/>
      <c r="I1251" s="8"/>
      <c r="J1251" s="8"/>
      <c r="K1251" s="8"/>
      <c r="L1251" s="8"/>
      <c r="M1251" s="8"/>
      <c r="N1251" s="8"/>
      <c r="O1251" s="8"/>
      <c r="P1251" s="8"/>
      <c r="Q1251" s="8"/>
      <c r="R1251" s="79"/>
      <c r="S1251" s="79"/>
      <c r="T1251" s="79"/>
      <c r="U1251" s="34"/>
      <c r="V1251" s="34"/>
    </row>
    <row r="1252" spans="1:22" ht="15" customHeight="1" x14ac:dyDescent="0.2">
      <c r="A1252" s="38"/>
      <c r="B1252" s="38"/>
      <c r="C1252" s="8"/>
      <c r="D1252" s="8"/>
      <c r="E1252" s="8"/>
      <c r="F1252" s="8"/>
      <c r="G1252" s="8"/>
      <c r="H1252" s="8"/>
      <c r="I1252" s="8"/>
      <c r="J1252" s="8"/>
      <c r="K1252" s="8"/>
      <c r="L1252" s="8"/>
      <c r="M1252" s="8"/>
      <c r="N1252" s="8"/>
      <c r="O1252" s="8"/>
      <c r="P1252" s="8"/>
      <c r="Q1252" s="8"/>
      <c r="R1252" s="79"/>
      <c r="S1252" s="79"/>
      <c r="T1252" s="79"/>
      <c r="U1252" s="34"/>
      <c r="V1252" s="34"/>
    </row>
    <row r="1253" spans="1:22" ht="15" customHeight="1" x14ac:dyDescent="0.2">
      <c r="A1253" s="38"/>
      <c r="B1253" s="38"/>
      <c r="C1253" s="8"/>
      <c r="D1253" s="8"/>
      <c r="E1253" s="8"/>
      <c r="F1253" s="8"/>
      <c r="G1253" s="8"/>
      <c r="H1253" s="8"/>
      <c r="I1253" s="8"/>
      <c r="J1253" s="8"/>
      <c r="K1253" s="8"/>
      <c r="L1253" s="8"/>
      <c r="M1253" s="8"/>
      <c r="N1253" s="8"/>
      <c r="O1253" s="8"/>
      <c r="P1253" s="8"/>
      <c r="Q1253" s="8"/>
      <c r="R1253" s="79"/>
      <c r="S1253" s="79"/>
      <c r="T1253" s="79"/>
      <c r="U1253" s="34"/>
      <c r="V1253" s="34"/>
    </row>
    <row r="1254" spans="1:22" ht="15" customHeight="1" x14ac:dyDescent="0.2">
      <c r="A1254" s="38"/>
      <c r="B1254" s="38"/>
      <c r="C1254" s="8"/>
      <c r="D1254" s="8"/>
      <c r="E1254" s="8"/>
      <c r="F1254" s="8"/>
      <c r="G1254" s="8"/>
      <c r="H1254" s="8"/>
      <c r="I1254" s="8"/>
      <c r="J1254" s="8"/>
      <c r="K1254" s="8"/>
      <c r="L1254" s="8"/>
      <c r="M1254" s="8"/>
      <c r="N1254" s="8"/>
      <c r="O1254" s="8"/>
      <c r="P1254" s="8"/>
      <c r="Q1254" s="8"/>
      <c r="R1254" s="79"/>
      <c r="S1254" s="79"/>
      <c r="T1254" s="79"/>
      <c r="U1254" s="34"/>
      <c r="V1254" s="34"/>
    </row>
    <row r="1255" spans="1:22" ht="15" customHeight="1" x14ac:dyDescent="0.2">
      <c r="A1255" s="38"/>
      <c r="B1255" s="38"/>
      <c r="C1255" s="8"/>
      <c r="D1255" s="8"/>
      <c r="E1255" s="8"/>
      <c r="F1255" s="8"/>
      <c r="G1255" s="8"/>
      <c r="H1255" s="8"/>
      <c r="I1255" s="8"/>
      <c r="J1255" s="8"/>
      <c r="K1255" s="8"/>
      <c r="L1255" s="8"/>
      <c r="M1255" s="8"/>
      <c r="N1255" s="8"/>
      <c r="O1255" s="8"/>
      <c r="P1255" s="8"/>
      <c r="Q1255" s="8"/>
      <c r="R1255" s="79"/>
      <c r="S1255" s="79"/>
      <c r="T1255" s="79"/>
      <c r="U1255" s="34"/>
      <c r="V1255" s="34"/>
    </row>
    <row r="1256" spans="1:22" ht="15" customHeight="1" x14ac:dyDescent="0.2">
      <c r="A1256" s="38"/>
      <c r="B1256" s="38"/>
      <c r="C1256" s="8"/>
      <c r="D1256" s="8"/>
      <c r="E1256" s="8"/>
      <c r="F1256" s="8"/>
      <c r="G1256" s="8"/>
      <c r="H1256" s="8"/>
      <c r="I1256" s="8"/>
      <c r="J1256" s="8"/>
      <c r="K1256" s="8"/>
      <c r="L1256" s="8"/>
      <c r="M1256" s="8"/>
      <c r="N1256" s="8"/>
      <c r="O1256" s="8"/>
      <c r="P1256" s="8"/>
      <c r="Q1256" s="8"/>
      <c r="R1256" s="79"/>
      <c r="S1256" s="79"/>
      <c r="T1256" s="79"/>
      <c r="U1256" s="34"/>
      <c r="V1256" s="34"/>
    </row>
    <row r="1257" spans="1:22" ht="15" customHeight="1" x14ac:dyDescent="0.2">
      <c r="A1257" s="38"/>
      <c r="B1257" s="38"/>
      <c r="C1257" s="8"/>
      <c r="D1257" s="8"/>
      <c r="E1257" s="8"/>
      <c r="F1257" s="8"/>
      <c r="G1257" s="8"/>
      <c r="H1257" s="8"/>
      <c r="I1257" s="8"/>
      <c r="J1257" s="8"/>
      <c r="K1257" s="8"/>
      <c r="L1257" s="8"/>
      <c r="M1257" s="8"/>
      <c r="N1257" s="8"/>
      <c r="O1257" s="8"/>
      <c r="P1257" s="8"/>
      <c r="Q1257" s="8"/>
      <c r="R1257" s="79"/>
      <c r="S1257" s="79"/>
      <c r="T1257" s="79"/>
      <c r="U1257" s="34"/>
      <c r="V1257" s="34"/>
    </row>
    <row r="1258" spans="1:22" ht="15" customHeight="1" x14ac:dyDescent="0.2">
      <c r="A1258" s="38"/>
      <c r="B1258" s="38"/>
      <c r="C1258" s="8"/>
      <c r="D1258" s="8"/>
      <c r="E1258" s="8"/>
      <c r="F1258" s="8"/>
      <c r="G1258" s="8"/>
      <c r="H1258" s="8"/>
      <c r="I1258" s="8"/>
      <c r="J1258" s="8"/>
      <c r="K1258" s="8"/>
      <c r="L1258" s="8"/>
      <c r="M1258" s="8"/>
      <c r="N1258" s="8"/>
      <c r="O1258" s="8"/>
      <c r="P1258" s="8"/>
      <c r="Q1258" s="8"/>
      <c r="R1258" s="79"/>
      <c r="S1258" s="79"/>
      <c r="T1258" s="79"/>
      <c r="U1258" s="34"/>
      <c r="V1258" s="34"/>
    </row>
    <row r="1259" spans="1:22" ht="15" customHeight="1" x14ac:dyDescent="0.2">
      <c r="A1259" s="38"/>
      <c r="B1259" s="38"/>
      <c r="C1259" s="8"/>
      <c r="D1259" s="8"/>
      <c r="E1259" s="8"/>
      <c r="F1259" s="8"/>
      <c r="G1259" s="8"/>
      <c r="H1259" s="8"/>
      <c r="I1259" s="8"/>
      <c r="J1259" s="8"/>
      <c r="K1259" s="8"/>
      <c r="L1259" s="8"/>
      <c r="M1259" s="8"/>
      <c r="N1259" s="8"/>
      <c r="O1259" s="8"/>
      <c r="P1259" s="8"/>
      <c r="Q1259" s="8"/>
      <c r="R1259" s="79"/>
      <c r="S1259" s="79"/>
      <c r="T1259" s="79"/>
      <c r="U1259" s="34"/>
      <c r="V1259" s="34"/>
    </row>
    <row r="1260" spans="1:22" ht="15" customHeight="1" x14ac:dyDescent="0.2">
      <c r="A1260" s="38"/>
      <c r="B1260" s="38"/>
      <c r="C1260" s="8"/>
      <c r="D1260" s="8"/>
      <c r="E1260" s="8"/>
      <c r="F1260" s="8"/>
      <c r="G1260" s="8"/>
      <c r="H1260" s="8"/>
      <c r="I1260" s="8"/>
      <c r="J1260" s="8"/>
      <c r="K1260" s="8"/>
      <c r="L1260" s="8"/>
      <c r="M1260" s="8"/>
      <c r="N1260" s="8"/>
      <c r="O1260" s="8"/>
      <c r="P1260" s="8"/>
      <c r="Q1260" s="8"/>
      <c r="R1260" s="79"/>
      <c r="S1260" s="79"/>
      <c r="T1260" s="79"/>
      <c r="U1260" s="34"/>
      <c r="V1260" s="34"/>
    </row>
    <row r="1261" spans="1:22" ht="15" customHeight="1" x14ac:dyDescent="0.2">
      <c r="A1261" s="38"/>
      <c r="B1261" s="38"/>
      <c r="C1261" s="8"/>
      <c r="D1261" s="8"/>
      <c r="E1261" s="8"/>
      <c r="F1261" s="8"/>
      <c r="G1261" s="8"/>
      <c r="H1261" s="8"/>
      <c r="I1261" s="8"/>
      <c r="J1261" s="8"/>
      <c r="K1261" s="8"/>
      <c r="L1261" s="8"/>
      <c r="M1261" s="8"/>
      <c r="N1261" s="8"/>
      <c r="O1261" s="8"/>
      <c r="P1261" s="8"/>
      <c r="Q1261" s="8"/>
      <c r="R1261" s="79"/>
      <c r="S1261" s="79"/>
      <c r="T1261" s="79"/>
      <c r="U1261" s="34"/>
      <c r="V1261" s="34"/>
    </row>
    <row r="1262" spans="1:22" ht="15" customHeight="1" x14ac:dyDescent="0.2">
      <c r="A1262" s="38"/>
      <c r="B1262" s="38"/>
      <c r="C1262" s="8"/>
      <c r="D1262" s="8"/>
      <c r="E1262" s="8"/>
      <c r="F1262" s="8"/>
      <c r="G1262" s="8"/>
      <c r="H1262" s="8"/>
      <c r="I1262" s="8"/>
      <c r="J1262" s="8"/>
      <c r="K1262" s="8"/>
      <c r="L1262" s="8"/>
      <c r="M1262" s="8"/>
      <c r="N1262" s="8"/>
      <c r="O1262" s="8"/>
      <c r="P1262" s="8"/>
      <c r="Q1262" s="8"/>
      <c r="R1262" s="79"/>
      <c r="S1262" s="79"/>
      <c r="T1262" s="79"/>
      <c r="U1262" s="34"/>
      <c r="V1262" s="34"/>
    </row>
    <row r="1263" spans="1:22" ht="15" customHeight="1" x14ac:dyDescent="0.2">
      <c r="A1263" s="38"/>
      <c r="B1263" s="38"/>
      <c r="C1263" s="8"/>
      <c r="D1263" s="8"/>
      <c r="E1263" s="8"/>
      <c r="F1263" s="8"/>
      <c r="G1263" s="8"/>
      <c r="H1263" s="8"/>
      <c r="I1263" s="8"/>
      <c r="J1263" s="8"/>
      <c r="K1263" s="8"/>
      <c r="L1263" s="8"/>
      <c r="M1263" s="8"/>
      <c r="N1263" s="8"/>
      <c r="O1263" s="8"/>
      <c r="P1263" s="8"/>
      <c r="Q1263" s="8"/>
      <c r="R1263" s="79"/>
      <c r="S1263" s="79"/>
      <c r="T1263" s="79"/>
      <c r="U1263" s="34"/>
      <c r="V1263" s="34"/>
    </row>
    <row r="1264" spans="1:22" ht="15" customHeight="1" x14ac:dyDescent="0.2">
      <c r="A1264" s="38"/>
      <c r="B1264" s="38"/>
      <c r="C1264" s="8"/>
      <c r="D1264" s="8"/>
      <c r="E1264" s="8"/>
      <c r="F1264" s="8"/>
      <c r="G1264" s="8"/>
      <c r="H1264" s="8"/>
      <c r="I1264" s="8"/>
      <c r="J1264" s="8"/>
      <c r="K1264" s="8"/>
      <c r="L1264" s="8"/>
      <c r="M1264" s="8"/>
      <c r="N1264" s="8"/>
      <c r="O1264" s="8"/>
      <c r="P1264" s="8"/>
      <c r="Q1264" s="8"/>
      <c r="R1264" s="79"/>
      <c r="S1264" s="79"/>
      <c r="T1264" s="79"/>
      <c r="U1264" s="34"/>
      <c r="V1264" s="34"/>
    </row>
    <row r="1265" spans="1:22" ht="15" customHeight="1" x14ac:dyDescent="0.2">
      <c r="A1265" s="38"/>
      <c r="B1265" s="38"/>
      <c r="C1265" s="8"/>
      <c r="D1265" s="8"/>
      <c r="E1265" s="8"/>
      <c r="F1265" s="8"/>
      <c r="G1265" s="8"/>
      <c r="H1265" s="8"/>
      <c r="I1265" s="8"/>
      <c r="J1265" s="8"/>
      <c r="K1265" s="8"/>
      <c r="L1265" s="8"/>
      <c r="M1265" s="8"/>
      <c r="N1265" s="8"/>
      <c r="O1265" s="8"/>
      <c r="P1265" s="8"/>
      <c r="Q1265" s="8"/>
      <c r="R1265" s="79"/>
      <c r="S1265" s="79"/>
      <c r="T1265" s="79"/>
      <c r="U1265" s="34"/>
      <c r="V1265" s="34"/>
    </row>
    <row r="1266" spans="1:22" ht="15" customHeight="1" x14ac:dyDescent="0.2">
      <c r="A1266" s="38"/>
      <c r="B1266" s="38"/>
      <c r="C1266" s="8"/>
      <c r="D1266" s="8"/>
      <c r="E1266" s="8"/>
      <c r="F1266" s="8"/>
      <c r="G1266" s="8"/>
      <c r="H1266" s="8"/>
      <c r="I1266" s="8"/>
      <c r="J1266" s="8"/>
      <c r="K1266" s="8"/>
      <c r="L1266" s="8"/>
      <c r="M1266" s="8"/>
      <c r="N1266" s="8"/>
      <c r="O1266" s="8"/>
      <c r="P1266" s="8"/>
      <c r="Q1266" s="8"/>
      <c r="R1266" s="79"/>
      <c r="S1266" s="79"/>
      <c r="T1266" s="79"/>
      <c r="U1266" s="34"/>
      <c r="V1266" s="34"/>
    </row>
    <row r="1267" spans="1:22" ht="15" customHeight="1" x14ac:dyDescent="0.2">
      <c r="A1267" s="38"/>
      <c r="B1267" s="38"/>
      <c r="C1267" s="8"/>
      <c r="D1267" s="8"/>
      <c r="E1267" s="8"/>
      <c r="F1267" s="8"/>
      <c r="G1267" s="8"/>
      <c r="H1267" s="8"/>
      <c r="I1267" s="8"/>
      <c r="J1267" s="8"/>
      <c r="K1267" s="8"/>
      <c r="L1267" s="8"/>
      <c r="M1267" s="8"/>
      <c r="N1267" s="8"/>
      <c r="O1267" s="8"/>
      <c r="P1267" s="8"/>
      <c r="Q1267" s="8"/>
      <c r="R1267" s="79"/>
      <c r="S1267" s="79"/>
      <c r="T1267" s="79"/>
      <c r="U1267" s="34"/>
      <c r="V1267" s="34"/>
    </row>
    <row r="1268" spans="1:22" ht="15" customHeight="1" x14ac:dyDescent="0.2">
      <c r="A1268" s="38"/>
      <c r="B1268" s="38"/>
      <c r="C1268" s="8"/>
      <c r="D1268" s="8"/>
      <c r="E1268" s="8"/>
      <c r="F1268" s="8"/>
      <c r="G1268" s="8"/>
      <c r="H1268" s="8"/>
      <c r="I1268" s="8"/>
      <c r="J1268" s="8"/>
      <c r="K1268" s="8"/>
      <c r="L1268" s="8"/>
      <c r="M1268" s="8"/>
      <c r="N1268" s="8"/>
      <c r="O1268" s="8"/>
      <c r="P1268" s="8"/>
      <c r="Q1268" s="8"/>
      <c r="R1268" s="79"/>
      <c r="S1268" s="79"/>
      <c r="T1268" s="79"/>
      <c r="U1268" s="34"/>
      <c r="V1268" s="34"/>
    </row>
    <row r="1269" spans="1:22" ht="15" customHeight="1" x14ac:dyDescent="0.2">
      <c r="A1269" s="38"/>
      <c r="B1269" s="38"/>
      <c r="C1269" s="8"/>
      <c r="D1269" s="8"/>
      <c r="E1269" s="8"/>
      <c r="F1269" s="8"/>
      <c r="G1269" s="8"/>
      <c r="H1269" s="8"/>
      <c r="I1269" s="8"/>
      <c r="J1269" s="8"/>
      <c r="K1269" s="8"/>
      <c r="L1269" s="8"/>
      <c r="M1269" s="8"/>
      <c r="N1269" s="8"/>
      <c r="O1269" s="8"/>
      <c r="P1269" s="8"/>
      <c r="Q1269" s="8"/>
      <c r="R1269" s="79"/>
      <c r="S1269" s="79"/>
      <c r="T1269" s="79"/>
      <c r="U1269" s="34"/>
      <c r="V1269" s="34"/>
    </row>
    <row r="1270" spans="1:22" ht="15" customHeight="1" x14ac:dyDescent="0.2">
      <c r="A1270" s="38"/>
      <c r="B1270" s="38"/>
      <c r="C1270" s="8"/>
      <c r="D1270" s="8"/>
      <c r="E1270" s="8"/>
      <c r="F1270" s="8"/>
      <c r="G1270" s="8"/>
      <c r="H1270" s="8"/>
      <c r="I1270" s="8"/>
      <c r="J1270" s="8"/>
      <c r="K1270" s="8"/>
      <c r="L1270" s="8"/>
      <c r="M1270" s="8"/>
      <c r="N1270" s="8"/>
      <c r="O1270" s="8"/>
      <c r="P1270" s="8"/>
      <c r="Q1270" s="8"/>
      <c r="R1270" s="79"/>
      <c r="S1270" s="79"/>
      <c r="T1270" s="79"/>
      <c r="U1270" s="34"/>
      <c r="V1270" s="34"/>
    </row>
    <row r="1271" spans="1:22" ht="15" customHeight="1" x14ac:dyDescent="0.2">
      <c r="A1271" s="38"/>
      <c r="B1271" s="38"/>
      <c r="C1271" s="8"/>
      <c r="D1271" s="8"/>
      <c r="E1271" s="8"/>
      <c r="F1271" s="8"/>
      <c r="G1271" s="8"/>
      <c r="H1271" s="8"/>
      <c r="I1271" s="8"/>
      <c r="J1271" s="8"/>
      <c r="K1271" s="8"/>
      <c r="L1271" s="8"/>
      <c r="M1271" s="8"/>
      <c r="N1271" s="8"/>
      <c r="O1271" s="8"/>
      <c r="P1271" s="8"/>
      <c r="Q1271" s="8"/>
      <c r="R1271" s="79"/>
      <c r="S1271" s="79"/>
      <c r="T1271" s="79"/>
      <c r="U1271" s="34"/>
      <c r="V1271" s="34"/>
    </row>
    <row r="1272" spans="1:22" ht="15" customHeight="1" x14ac:dyDescent="0.2">
      <c r="A1272" s="38"/>
      <c r="B1272" s="38"/>
      <c r="C1272" s="8"/>
      <c r="D1272" s="8"/>
      <c r="E1272" s="8"/>
      <c r="F1272" s="8"/>
      <c r="G1272" s="8"/>
      <c r="H1272" s="8"/>
      <c r="I1272" s="8"/>
      <c r="J1272" s="8"/>
      <c r="K1272" s="8"/>
      <c r="L1272" s="8"/>
      <c r="M1272" s="8"/>
      <c r="N1272" s="8"/>
      <c r="O1272" s="8"/>
      <c r="P1272" s="8"/>
      <c r="Q1272" s="8"/>
      <c r="R1272" s="79"/>
      <c r="S1272" s="79"/>
      <c r="T1272" s="79"/>
      <c r="U1272" s="34"/>
      <c r="V1272" s="34"/>
    </row>
    <row r="1273" spans="1:22" ht="15" customHeight="1" x14ac:dyDescent="0.2">
      <c r="A1273" s="38"/>
      <c r="B1273" s="38"/>
      <c r="C1273" s="8"/>
      <c r="D1273" s="8"/>
      <c r="E1273" s="8"/>
      <c r="F1273" s="8"/>
      <c r="G1273" s="8"/>
      <c r="H1273" s="8"/>
      <c r="I1273" s="8"/>
      <c r="J1273" s="8"/>
      <c r="K1273" s="8"/>
      <c r="L1273" s="8"/>
      <c r="M1273" s="8"/>
      <c r="N1273" s="8"/>
      <c r="O1273" s="8"/>
      <c r="P1273" s="8"/>
      <c r="Q1273" s="8"/>
      <c r="R1273" s="79"/>
      <c r="S1273" s="79"/>
      <c r="T1273" s="79"/>
      <c r="U1273" s="34"/>
      <c r="V1273" s="34"/>
    </row>
    <row r="1274" spans="1:22" ht="15" customHeight="1" x14ac:dyDescent="0.2">
      <c r="A1274" s="38"/>
      <c r="B1274" s="38"/>
      <c r="C1274" s="8"/>
      <c r="D1274" s="8"/>
      <c r="E1274" s="8"/>
      <c r="F1274" s="8"/>
      <c r="G1274" s="8"/>
      <c r="H1274" s="8"/>
      <c r="I1274" s="8"/>
      <c r="J1274" s="8"/>
      <c r="K1274" s="8"/>
      <c r="L1274" s="8"/>
      <c r="M1274" s="8"/>
      <c r="N1274" s="8"/>
      <c r="O1274" s="8"/>
      <c r="P1274" s="8"/>
      <c r="Q1274" s="8"/>
      <c r="R1274" s="79"/>
      <c r="S1274" s="79"/>
      <c r="T1274" s="79"/>
      <c r="U1274" s="34"/>
      <c r="V1274" s="34"/>
    </row>
    <row r="1275" spans="1:22" ht="15" customHeight="1" x14ac:dyDescent="0.2">
      <c r="A1275" s="38"/>
      <c r="B1275" s="38"/>
      <c r="C1275" s="8"/>
      <c r="D1275" s="8"/>
      <c r="E1275" s="8"/>
      <c r="F1275" s="8"/>
      <c r="G1275" s="8"/>
      <c r="H1275" s="8"/>
      <c r="I1275" s="8"/>
      <c r="J1275" s="8"/>
      <c r="K1275" s="8"/>
      <c r="L1275" s="8"/>
      <c r="M1275" s="8"/>
      <c r="N1275" s="8"/>
      <c r="O1275" s="8"/>
      <c r="P1275" s="8"/>
      <c r="Q1275" s="8"/>
      <c r="R1275" s="79"/>
      <c r="S1275" s="79"/>
      <c r="T1275" s="79"/>
      <c r="U1275" s="34"/>
      <c r="V1275" s="34"/>
    </row>
    <row r="1276" spans="1:22" ht="15" customHeight="1" x14ac:dyDescent="0.2">
      <c r="A1276" s="38"/>
      <c r="B1276" s="38"/>
      <c r="C1276" s="8"/>
      <c r="D1276" s="8"/>
      <c r="E1276" s="8"/>
      <c r="F1276" s="8"/>
      <c r="G1276" s="8"/>
      <c r="H1276" s="8"/>
      <c r="I1276" s="8"/>
      <c r="J1276" s="8"/>
      <c r="K1276" s="8"/>
      <c r="L1276" s="8"/>
      <c r="M1276" s="8"/>
      <c r="N1276" s="8"/>
      <c r="O1276" s="8"/>
      <c r="P1276" s="8"/>
      <c r="Q1276" s="8"/>
      <c r="R1276" s="79"/>
      <c r="S1276" s="79"/>
      <c r="T1276" s="79"/>
      <c r="U1276" s="34"/>
      <c r="V1276" s="34"/>
    </row>
    <row r="1277" spans="1:22" ht="15" customHeight="1" x14ac:dyDescent="0.2">
      <c r="A1277" s="38"/>
      <c r="B1277" s="38"/>
      <c r="C1277" s="8"/>
      <c r="D1277" s="8"/>
      <c r="E1277" s="8"/>
      <c r="F1277" s="8"/>
      <c r="G1277" s="8"/>
      <c r="H1277" s="8"/>
      <c r="I1277" s="8"/>
      <c r="J1277" s="8"/>
      <c r="K1277" s="8"/>
      <c r="L1277" s="8"/>
      <c r="M1277" s="8"/>
      <c r="N1277" s="8"/>
      <c r="O1277" s="8"/>
      <c r="P1277" s="8"/>
      <c r="Q1277" s="8"/>
      <c r="R1277" s="79"/>
      <c r="S1277" s="79"/>
      <c r="T1277" s="79"/>
      <c r="U1277" s="34"/>
      <c r="V1277" s="34"/>
    </row>
    <row r="1278" spans="1:22" ht="15" customHeight="1" x14ac:dyDescent="0.2">
      <c r="A1278" s="38"/>
      <c r="B1278" s="38"/>
      <c r="C1278" s="8"/>
      <c r="D1278" s="8"/>
      <c r="E1278" s="8"/>
      <c r="F1278" s="8"/>
      <c r="G1278" s="8"/>
      <c r="H1278" s="8"/>
      <c r="I1278" s="8"/>
      <c r="J1278" s="8"/>
      <c r="K1278" s="8"/>
      <c r="L1278" s="8"/>
      <c r="M1278" s="8"/>
      <c r="N1278" s="8"/>
      <c r="O1278" s="8"/>
      <c r="P1278" s="8"/>
      <c r="Q1278" s="8"/>
      <c r="R1278" s="79"/>
      <c r="S1278" s="79"/>
      <c r="T1278" s="79"/>
      <c r="U1278" s="34"/>
      <c r="V1278" s="34"/>
    </row>
    <row r="1279" spans="1:22" ht="15" customHeight="1" x14ac:dyDescent="0.2">
      <c r="A1279" s="38"/>
      <c r="B1279" s="38"/>
      <c r="C1279" s="8"/>
      <c r="D1279" s="8"/>
      <c r="E1279" s="8"/>
      <c r="F1279" s="8"/>
      <c r="G1279" s="8"/>
      <c r="H1279" s="8"/>
      <c r="I1279" s="8"/>
      <c r="J1279" s="8"/>
      <c r="K1279" s="8"/>
      <c r="L1279" s="8"/>
      <c r="M1279" s="8"/>
      <c r="N1279" s="8"/>
      <c r="O1279" s="8"/>
      <c r="P1279" s="8"/>
      <c r="Q1279" s="8"/>
      <c r="R1279" s="79"/>
      <c r="S1279" s="79"/>
      <c r="T1279" s="79"/>
      <c r="U1279" s="34"/>
      <c r="V1279" s="34"/>
    </row>
    <row r="1280" spans="1:22" ht="15" customHeight="1" x14ac:dyDescent="0.2">
      <c r="A1280" s="38"/>
      <c r="B1280" s="38"/>
      <c r="C1280" s="8"/>
      <c r="D1280" s="8"/>
      <c r="E1280" s="8"/>
      <c r="F1280" s="8"/>
      <c r="G1280" s="8"/>
      <c r="H1280" s="8"/>
      <c r="I1280" s="8"/>
      <c r="J1280" s="8"/>
      <c r="K1280" s="8"/>
      <c r="L1280" s="8"/>
      <c r="M1280" s="8"/>
      <c r="N1280" s="8"/>
      <c r="O1280" s="8"/>
      <c r="P1280" s="8"/>
      <c r="Q1280" s="8"/>
      <c r="R1280" s="79"/>
      <c r="S1280" s="79"/>
      <c r="T1280" s="79"/>
      <c r="U1280" s="34"/>
      <c r="V1280" s="34"/>
    </row>
    <row r="1281" spans="1:22" ht="15" customHeight="1" x14ac:dyDescent="0.2">
      <c r="A1281" s="38"/>
      <c r="B1281" s="38"/>
      <c r="C1281" s="8"/>
      <c r="D1281" s="8"/>
      <c r="E1281" s="8"/>
      <c r="F1281" s="8"/>
      <c r="G1281" s="8"/>
      <c r="H1281" s="8"/>
      <c r="I1281" s="8"/>
      <c r="J1281" s="8"/>
      <c r="K1281" s="8"/>
      <c r="L1281" s="8"/>
      <c r="M1281" s="8"/>
      <c r="N1281" s="8"/>
      <c r="O1281" s="8"/>
      <c r="P1281" s="8"/>
      <c r="Q1281" s="8"/>
      <c r="R1281" s="79"/>
      <c r="S1281" s="79"/>
      <c r="T1281" s="79"/>
      <c r="U1281" s="34"/>
      <c r="V1281" s="34"/>
    </row>
    <row r="1282" spans="1:22" ht="15" customHeight="1" x14ac:dyDescent="0.2">
      <c r="A1282" s="38"/>
      <c r="B1282" s="38"/>
      <c r="C1282" s="8"/>
      <c r="D1282" s="8"/>
      <c r="E1282" s="8"/>
      <c r="F1282" s="8"/>
      <c r="G1282" s="8"/>
      <c r="H1282" s="8"/>
      <c r="I1282" s="8"/>
      <c r="J1282" s="8"/>
      <c r="K1282" s="8"/>
      <c r="L1282" s="8"/>
      <c r="M1282" s="8"/>
      <c r="N1282" s="8"/>
      <c r="O1282" s="8"/>
      <c r="P1282" s="8"/>
      <c r="Q1282" s="8"/>
      <c r="R1282" s="79"/>
      <c r="S1282" s="79"/>
      <c r="T1282" s="79"/>
      <c r="U1282" s="34"/>
      <c r="V1282" s="34"/>
    </row>
    <row r="1283" spans="1:22" ht="15" customHeight="1" x14ac:dyDescent="0.2">
      <c r="A1283" s="38"/>
      <c r="B1283" s="38"/>
      <c r="C1283" s="8"/>
      <c r="D1283" s="8"/>
      <c r="E1283" s="8"/>
      <c r="F1283" s="8"/>
      <c r="G1283" s="8"/>
      <c r="H1283" s="8"/>
      <c r="I1283" s="8"/>
      <c r="J1283" s="8"/>
      <c r="K1283" s="8"/>
      <c r="L1283" s="8"/>
      <c r="M1283" s="8"/>
      <c r="N1283" s="8"/>
      <c r="O1283" s="8"/>
      <c r="P1283" s="8"/>
      <c r="Q1283" s="8"/>
      <c r="R1283" s="79"/>
      <c r="S1283" s="79"/>
      <c r="T1283" s="79"/>
      <c r="U1283" s="34"/>
      <c r="V1283" s="34"/>
    </row>
    <row r="1284" spans="1:22" ht="15" customHeight="1" x14ac:dyDescent="0.2">
      <c r="A1284" s="38"/>
      <c r="B1284" s="38"/>
      <c r="C1284" s="8"/>
      <c r="D1284" s="8"/>
      <c r="E1284" s="8"/>
      <c r="F1284" s="8"/>
      <c r="G1284" s="8"/>
      <c r="H1284" s="8"/>
      <c r="I1284" s="8"/>
      <c r="J1284" s="8"/>
      <c r="K1284" s="8"/>
      <c r="L1284" s="8"/>
      <c r="M1284" s="8"/>
      <c r="N1284" s="8"/>
      <c r="O1284" s="8"/>
      <c r="P1284" s="8"/>
      <c r="Q1284" s="8"/>
      <c r="R1284" s="79"/>
      <c r="S1284" s="79"/>
      <c r="T1284" s="79"/>
      <c r="U1284" s="34"/>
      <c r="V1284" s="34"/>
    </row>
    <row r="1285" spans="1:22" ht="15" customHeight="1" x14ac:dyDescent="0.2">
      <c r="A1285" s="38"/>
      <c r="B1285" s="38"/>
      <c r="C1285" s="8"/>
      <c r="D1285" s="8"/>
      <c r="E1285" s="8"/>
      <c r="F1285" s="8"/>
      <c r="G1285" s="8"/>
      <c r="H1285" s="8"/>
      <c r="I1285" s="8"/>
      <c r="J1285" s="8"/>
      <c r="K1285" s="8"/>
      <c r="L1285" s="8"/>
      <c r="M1285" s="8"/>
      <c r="N1285" s="8"/>
      <c r="O1285" s="8"/>
      <c r="P1285" s="8"/>
      <c r="Q1285" s="8"/>
      <c r="R1285" s="79"/>
      <c r="S1285" s="79"/>
      <c r="T1285" s="79"/>
      <c r="U1285" s="34"/>
      <c r="V1285" s="34"/>
    </row>
    <row r="1286" spans="1:22" ht="15" customHeight="1" x14ac:dyDescent="0.2">
      <c r="A1286" s="38"/>
      <c r="B1286" s="38"/>
      <c r="C1286" s="8"/>
      <c r="D1286" s="8"/>
      <c r="E1286" s="8"/>
      <c r="F1286" s="8"/>
      <c r="G1286" s="8"/>
      <c r="H1286" s="8"/>
      <c r="I1286" s="8"/>
      <c r="J1286" s="8"/>
      <c r="K1286" s="8"/>
      <c r="L1286" s="8"/>
      <c r="M1286" s="8"/>
      <c r="N1286" s="8"/>
      <c r="O1286" s="8"/>
      <c r="P1286" s="8"/>
      <c r="Q1286" s="8"/>
      <c r="R1286" s="79"/>
      <c r="S1286" s="79"/>
      <c r="T1286" s="79"/>
      <c r="U1286" s="34"/>
      <c r="V1286" s="34"/>
    </row>
    <row r="1287" spans="1:22" ht="15" customHeight="1" x14ac:dyDescent="0.2">
      <c r="A1287" s="38"/>
      <c r="B1287" s="38"/>
      <c r="C1287" s="8"/>
      <c r="D1287" s="8"/>
      <c r="E1287" s="8"/>
      <c r="F1287" s="8"/>
      <c r="G1287" s="8"/>
      <c r="H1287" s="8"/>
      <c r="I1287" s="8"/>
      <c r="J1287" s="8"/>
      <c r="K1287" s="8"/>
      <c r="L1287" s="8"/>
      <c r="M1287" s="8"/>
      <c r="N1287" s="8"/>
      <c r="O1287" s="8"/>
      <c r="P1287" s="8"/>
      <c r="Q1287" s="8"/>
      <c r="R1287" s="79"/>
      <c r="S1287" s="79"/>
      <c r="T1287" s="79"/>
      <c r="U1287" s="34"/>
      <c r="V1287" s="34"/>
    </row>
    <row r="1288" spans="1:22" ht="15" customHeight="1" x14ac:dyDescent="0.2">
      <c r="A1288" s="38"/>
      <c r="B1288" s="38"/>
      <c r="C1288" s="8"/>
      <c r="D1288" s="8"/>
      <c r="E1288" s="8"/>
      <c r="F1288" s="8"/>
      <c r="G1288" s="8"/>
      <c r="H1288" s="8"/>
      <c r="I1288" s="8"/>
      <c r="J1288" s="8"/>
      <c r="K1288" s="8"/>
      <c r="L1288" s="8"/>
      <c r="M1288" s="8"/>
      <c r="N1288" s="8"/>
      <c r="O1288" s="8"/>
      <c r="P1288" s="8"/>
      <c r="Q1288" s="8"/>
      <c r="R1288" s="79"/>
      <c r="S1288" s="79"/>
      <c r="T1288" s="79"/>
      <c r="U1288" s="34"/>
      <c r="V1288" s="34"/>
    </row>
    <row r="1289" spans="1:22" ht="15" customHeight="1" x14ac:dyDescent="0.2">
      <c r="A1289" s="38"/>
      <c r="B1289" s="38"/>
      <c r="C1289" s="8"/>
      <c r="D1289" s="8"/>
      <c r="E1289" s="8"/>
      <c r="F1289" s="8"/>
      <c r="G1289" s="8"/>
      <c r="H1289" s="8"/>
      <c r="I1289" s="8"/>
      <c r="J1289" s="8"/>
      <c r="K1289" s="8"/>
      <c r="L1289" s="8"/>
      <c r="M1289" s="8"/>
      <c r="N1289" s="8"/>
      <c r="O1289" s="8"/>
      <c r="P1289" s="8"/>
      <c r="Q1289" s="8"/>
      <c r="R1289" s="79"/>
      <c r="S1289" s="79"/>
      <c r="T1289" s="79"/>
      <c r="U1289" s="34"/>
      <c r="V1289" s="34"/>
    </row>
    <row r="1290" spans="1:22" ht="15" customHeight="1" x14ac:dyDescent="0.2">
      <c r="A1290" s="38"/>
      <c r="B1290" s="38"/>
      <c r="C1290" s="8"/>
      <c r="D1290" s="8"/>
      <c r="E1290" s="8"/>
      <c r="F1290" s="8"/>
      <c r="G1290" s="8"/>
      <c r="H1290" s="8"/>
      <c r="I1290" s="8"/>
      <c r="J1290" s="8"/>
      <c r="K1290" s="8"/>
      <c r="L1290" s="8"/>
      <c r="M1290" s="8"/>
      <c r="N1290" s="8"/>
      <c r="O1290" s="8"/>
      <c r="P1290" s="8"/>
      <c r="Q1290" s="8"/>
      <c r="R1290" s="79"/>
      <c r="S1290" s="79"/>
      <c r="T1290" s="79"/>
      <c r="U1290" s="34"/>
      <c r="V1290" s="34"/>
    </row>
    <row r="1291" spans="1:22" ht="15" customHeight="1" x14ac:dyDescent="0.2">
      <c r="A1291" s="38"/>
      <c r="B1291" s="38"/>
      <c r="C1291" s="8"/>
      <c r="D1291" s="8"/>
      <c r="E1291" s="8"/>
      <c r="F1291" s="8"/>
      <c r="G1291" s="8"/>
      <c r="H1291" s="8"/>
      <c r="I1291" s="8"/>
      <c r="J1291" s="8"/>
      <c r="K1291" s="8"/>
      <c r="L1291" s="8"/>
      <c r="M1291" s="8"/>
      <c r="N1291" s="8"/>
      <c r="O1291" s="8"/>
      <c r="P1291" s="8"/>
      <c r="Q1291" s="8"/>
      <c r="R1291" s="79"/>
      <c r="S1291" s="79"/>
      <c r="T1291" s="79"/>
      <c r="U1291" s="34"/>
      <c r="V1291" s="34"/>
    </row>
    <row r="1292" spans="1:22" ht="15" customHeight="1" x14ac:dyDescent="0.2">
      <c r="A1292" s="38"/>
      <c r="B1292" s="38"/>
      <c r="C1292" s="8"/>
      <c r="D1292" s="8"/>
      <c r="E1292" s="8"/>
      <c r="F1292" s="8"/>
      <c r="G1292" s="8"/>
      <c r="H1292" s="8"/>
      <c r="I1292" s="8"/>
      <c r="J1292" s="8"/>
      <c r="K1292" s="8"/>
      <c r="L1292" s="8"/>
      <c r="M1292" s="8"/>
      <c r="N1292" s="8"/>
      <c r="O1292" s="8"/>
      <c r="P1292" s="8"/>
      <c r="Q1292" s="8"/>
      <c r="R1292" s="79"/>
      <c r="S1292" s="79"/>
      <c r="T1292" s="79"/>
      <c r="U1292" s="34"/>
      <c r="V1292" s="34"/>
    </row>
    <row r="1293" spans="1:22" ht="15" customHeight="1" x14ac:dyDescent="0.2">
      <c r="A1293" s="38"/>
      <c r="B1293" s="38"/>
      <c r="C1293" s="8"/>
      <c r="D1293" s="8"/>
      <c r="E1293" s="8"/>
      <c r="F1293" s="8"/>
      <c r="G1293" s="8"/>
      <c r="H1293" s="8"/>
      <c r="I1293" s="8"/>
      <c r="J1293" s="8"/>
      <c r="K1293" s="8"/>
      <c r="L1293" s="8"/>
      <c r="M1293" s="8"/>
      <c r="N1293" s="8"/>
      <c r="O1293" s="8"/>
      <c r="P1293" s="8"/>
      <c r="Q1293" s="8"/>
      <c r="R1293" s="79"/>
      <c r="S1293" s="79"/>
      <c r="T1293" s="79"/>
      <c r="U1293" s="34"/>
      <c r="V1293" s="34"/>
    </row>
    <row r="1294" spans="1:22" ht="15" customHeight="1" x14ac:dyDescent="0.2">
      <c r="A1294" s="38"/>
      <c r="B1294" s="38"/>
      <c r="C1294" s="8"/>
      <c r="D1294" s="8"/>
      <c r="E1294" s="8"/>
      <c r="F1294" s="8"/>
      <c r="G1294" s="8"/>
      <c r="H1294" s="8"/>
      <c r="I1294" s="8"/>
      <c r="J1294" s="8"/>
      <c r="K1294" s="8"/>
      <c r="L1294" s="8"/>
      <c r="M1294" s="8"/>
      <c r="N1294" s="8"/>
      <c r="O1294" s="8"/>
      <c r="P1294" s="8"/>
      <c r="Q1294" s="8"/>
      <c r="R1294" s="79"/>
      <c r="S1294" s="79"/>
      <c r="T1294" s="79"/>
      <c r="U1294" s="34"/>
      <c r="V1294" s="34"/>
    </row>
    <row r="1295" spans="1:22" ht="15" customHeight="1" x14ac:dyDescent="0.2">
      <c r="A1295" s="38"/>
      <c r="B1295" s="38"/>
      <c r="C1295" s="8"/>
      <c r="D1295" s="8"/>
      <c r="E1295" s="8"/>
      <c r="F1295" s="8"/>
      <c r="G1295" s="8"/>
      <c r="H1295" s="8"/>
      <c r="I1295" s="8"/>
      <c r="J1295" s="8"/>
      <c r="K1295" s="8"/>
      <c r="L1295" s="8"/>
      <c r="M1295" s="8"/>
      <c r="N1295" s="8"/>
      <c r="O1295" s="8"/>
      <c r="P1295" s="8"/>
      <c r="Q1295" s="8"/>
      <c r="R1295" s="79"/>
      <c r="S1295" s="79"/>
      <c r="T1295" s="79"/>
      <c r="U1295" s="34"/>
      <c r="V1295" s="34"/>
    </row>
    <row r="1296" spans="1:22" ht="15" customHeight="1" x14ac:dyDescent="0.2">
      <c r="A1296" s="38"/>
      <c r="B1296" s="38"/>
      <c r="C1296" s="8"/>
      <c r="D1296" s="8"/>
      <c r="E1296" s="8"/>
      <c r="F1296" s="8"/>
      <c r="G1296" s="8"/>
      <c r="H1296" s="8"/>
      <c r="I1296" s="8"/>
      <c r="J1296" s="8"/>
      <c r="K1296" s="8"/>
      <c r="L1296" s="8"/>
      <c r="M1296" s="8"/>
      <c r="N1296" s="8"/>
      <c r="O1296" s="8"/>
      <c r="P1296" s="8"/>
      <c r="Q1296" s="8"/>
      <c r="R1296" s="79"/>
      <c r="S1296" s="79"/>
      <c r="T1296" s="79"/>
      <c r="U1296" s="34"/>
      <c r="V1296" s="34"/>
    </row>
    <row r="1297" spans="1:22" ht="15" customHeight="1" x14ac:dyDescent="0.2">
      <c r="A1297" s="38"/>
      <c r="B1297" s="38"/>
      <c r="C1297" s="8"/>
      <c r="D1297" s="8"/>
      <c r="E1297" s="8"/>
      <c r="F1297" s="8"/>
      <c r="G1297" s="8"/>
      <c r="H1297" s="8"/>
      <c r="I1297" s="8"/>
      <c r="J1297" s="8"/>
      <c r="K1297" s="8"/>
      <c r="L1297" s="8"/>
      <c r="M1297" s="8"/>
      <c r="N1297" s="8"/>
      <c r="O1297" s="8"/>
      <c r="P1297" s="8"/>
      <c r="Q1297" s="8"/>
      <c r="R1297" s="79"/>
      <c r="S1297" s="79"/>
      <c r="T1297" s="79"/>
      <c r="U1297" s="34"/>
      <c r="V1297" s="34"/>
    </row>
    <row r="1298" spans="1:22" ht="15" customHeight="1" x14ac:dyDescent="0.2">
      <c r="A1298" s="38"/>
      <c r="B1298" s="38"/>
      <c r="C1298" s="8"/>
      <c r="D1298" s="8"/>
      <c r="E1298" s="8"/>
      <c r="F1298" s="8"/>
      <c r="G1298" s="8"/>
      <c r="H1298" s="8"/>
      <c r="I1298" s="8"/>
      <c r="J1298" s="8"/>
      <c r="K1298" s="8"/>
      <c r="L1298" s="8"/>
      <c r="M1298" s="8"/>
      <c r="N1298" s="8"/>
      <c r="O1298" s="8"/>
      <c r="P1298" s="8"/>
      <c r="Q1298" s="8"/>
      <c r="R1298" s="79"/>
      <c r="S1298" s="79"/>
      <c r="T1298" s="79"/>
      <c r="U1298" s="34"/>
      <c r="V1298" s="34"/>
    </row>
    <row r="1299" spans="1:22" ht="15" customHeight="1" x14ac:dyDescent="0.2">
      <c r="A1299" s="38"/>
      <c r="B1299" s="38"/>
      <c r="C1299" s="8"/>
      <c r="D1299" s="8"/>
      <c r="E1299" s="8"/>
      <c r="F1299" s="8"/>
      <c r="G1299" s="8"/>
      <c r="H1299" s="8"/>
      <c r="I1299" s="8"/>
      <c r="J1299" s="8"/>
      <c r="K1299" s="8"/>
      <c r="L1299" s="8"/>
      <c r="M1299" s="8"/>
      <c r="N1299" s="8"/>
      <c r="O1299" s="8"/>
      <c r="P1299" s="8"/>
      <c r="Q1299" s="8"/>
      <c r="R1299" s="79"/>
      <c r="S1299" s="79"/>
      <c r="T1299" s="79"/>
      <c r="U1299" s="34"/>
      <c r="V1299" s="34"/>
    </row>
    <row r="1300" spans="1:22" ht="15" customHeight="1" x14ac:dyDescent="0.2">
      <c r="A1300" s="38"/>
      <c r="B1300" s="38"/>
      <c r="C1300" s="8"/>
      <c r="D1300" s="8"/>
      <c r="E1300" s="8"/>
      <c r="F1300" s="8"/>
      <c r="G1300" s="8"/>
      <c r="H1300" s="8"/>
      <c r="I1300" s="8"/>
      <c r="J1300" s="8"/>
      <c r="K1300" s="8"/>
      <c r="L1300" s="8"/>
      <c r="M1300" s="8"/>
      <c r="N1300" s="8"/>
      <c r="O1300" s="8"/>
      <c r="P1300" s="8"/>
      <c r="Q1300" s="8"/>
      <c r="R1300" s="79"/>
      <c r="S1300" s="79"/>
      <c r="T1300" s="79"/>
      <c r="U1300" s="34"/>
      <c r="V1300" s="34"/>
    </row>
    <row r="1301" spans="1:22" ht="15" customHeight="1" x14ac:dyDescent="0.2">
      <c r="A1301" s="38"/>
      <c r="B1301" s="38"/>
      <c r="C1301" s="8"/>
      <c r="D1301" s="8"/>
      <c r="E1301" s="8"/>
      <c r="F1301" s="8"/>
      <c r="G1301" s="8"/>
      <c r="H1301" s="8"/>
      <c r="I1301" s="8"/>
      <c r="J1301" s="8"/>
      <c r="K1301" s="8"/>
      <c r="L1301" s="8"/>
      <c r="M1301" s="8"/>
      <c r="N1301" s="8"/>
      <c r="O1301" s="8"/>
      <c r="P1301" s="8"/>
      <c r="Q1301" s="8"/>
      <c r="R1301" s="79"/>
      <c r="S1301" s="79"/>
      <c r="T1301" s="79"/>
      <c r="U1301" s="34"/>
      <c r="V1301" s="34"/>
    </row>
    <row r="1302" spans="1:22" ht="15" customHeight="1" x14ac:dyDescent="0.2">
      <c r="A1302" s="38"/>
      <c r="B1302" s="38"/>
      <c r="C1302" s="8"/>
      <c r="D1302" s="8"/>
      <c r="E1302" s="8"/>
      <c r="F1302" s="8"/>
      <c r="G1302" s="8"/>
      <c r="H1302" s="8"/>
      <c r="I1302" s="8"/>
      <c r="J1302" s="8"/>
      <c r="K1302" s="8"/>
      <c r="L1302" s="8"/>
      <c r="M1302" s="8"/>
      <c r="N1302" s="8"/>
      <c r="O1302" s="8"/>
      <c r="P1302" s="8"/>
      <c r="Q1302" s="8"/>
      <c r="R1302" s="79"/>
      <c r="S1302" s="79"/>
      <c r="T1302" s="79"/>
      <c r="U1302" s="34"/>
      <c r="V1302" s="34"/>
    </row>
    <row r="1303" spans="1:22" ht="15" customHeight="1" x14ac:dyDescent="0.2">
      <c r="A1303" s="38"/>
      <c r="B1303" s="38"/>
      <c r="C1303" s="8"/>
      <c r="D1303" s="8"/>
      <c r="E1303" s="8"/>
      <c r="F1303" s="8"/>
      <c r="G1303" s="8"/>
      <c r="H1303" s="8"/>
      <c r="I1303" s="8"/>
      <c r="J1303" s="8"/>
      <c r="K1303" s="8"/>
      <c r="L1303" s="8"/>
      <c r="M1303" s="8"/>
      <c r="N1303" s="8"/>
      <c r="O1303" s="8"/>
      <c r="P1303" s="8"/>
      <c r="Q1303" s="8"/>
      <c r="R1303" s="79"/>
      <c r="S1303" s="79"/>
      <c r="T1303" s="79"/>
      <c r="U1303" s="34"/>
      <c r="V1303" s="34"/>
    </row>
    <row r="1304" spans="1:22" ht="15" customHeight="1" x14ac:dyDescent="0.2">
      <c r="A1304" s="38"/>
      <c r="B1304" s="38"/>
      <c r="C1304" s="8"/>
      <c r="D1304" s="8"/>
      <c r="E1304" s="8"/>
      <c r="F1304" s="8"/>
      <c r="G1304" s="8"/>
      <c r="H1304" s="8"/>
      <c r="I1304" s="8"/>
      <c r="J1304" s="8"/>
      <c r="K1304" s="8"/>
      <c r="L1304" s="8"/>
      <c r="M1304" s="8"/>
      <c r="N1304" s="8"/>
      <c r="O1304" s="8"/>
      <c r="P1304" s="8"/>
      <c r="Q1304" s="8"/>
      <c r="R1304" s="79"/>
      <c r="S1304" s="79"/>
      <c r="T1304" s="79"/>
      <c r="U1304" s="34"/>
      <c r="V1304" s="34"/>
    </row>
    <row r="1305" spans="1:22" ht="15" customHeight="1" x14ac:dyDescent="0.2">
      <c r="A1305" s="38"/>
      <c r="B1305" s="38"/>
      <c r="C1305" s="8"/>
      <c r="D1305" s="8"/>
      <c r="E1305" s="8"/>
      <c r="F1305" s="8"/>
      <c r="G1305" s="8"/>
      <c r="H1305" s="8"/>
      <c r="I1305" s="8"/>
      <c r="J1305" s="8"/>
      <c r="K1305" s="8"/>
      <c r="L1305" s="8"/>
      <c r="M1305" s="8"/>
      <c r="N1305" s="8"/>
      <c r="O1305" s="8"/>
      <c r="P1305" s="8"/>
      <c r="Q1305" s="8"/>
      <c r="R1305" s="79"/>
      <c r="S1305" s="79"/>
      <c r="T1305" s="79"/>
      <c r="U1305" s="34"/>
      <c r="V1305" s="34"/>
    </row>
    <row r="1306" spans="1:22" ht="15" customHeight="1" x14ac:dyDescent="0.2">
      <c r="A1306" s="38"/>
      <c r="B1306" s="38"/>
      <c r="C1306" s="8"/>
      <c r="D1306" s="8"/>
      <c r="E1306" s="8"/>
      <c r="F1306" s="8"/>
      <c r="G1306" s="8"/>
      <c r="H1306" s="8"/>
      <c r="I1306" s="8"/>
      <c r="J1306" s="8"/>
      <c r="K1306" s="8"/>
      <c r="L1306" s="8"/>
      <c r="M1306" s="8"/>
      <c r="N1306" s="8"/>
      <c r="O1306" s="8"/>
      <c r="P1306" s="8"/>
      <c r="Q1306" s="8"/>
      <c r="R1306" s="79"/>
      <c r="S1306" s="79"/>
      <c r="T1306" s="79"/>
      <c r="U1306" s="34"/>
      <c r="V1306" s="34"/>
    </row>
    <row r="1307" spans="1:22" ht="15" customHeight="1" x14ac:dyDescent="0.2">
      <c r="A1307" s="38"/>
      <c r="B1307" s="38"/>
      <c r="C1307" s="8"/>
      <c r="D1307" s="8"/>
      <c r="E1307" s="8"/>
      <c r="F1307" s="8"/>
      <c r="G1307" s="8"/>
      <c r="H1307" s="8"/>
      <c r="I1307" s="8"/>
      <c r="J1307" s="8"/>
      <c r="K1307" s="8"/>
      <c r="L1307" s="8"/>
      <c r="M1307" s="8"/>
      <c r="N1307" s="8"/>
      <c r="O1307" s="8"/>
      <c r="P1307" s="8"/>
      <c r="Q1307" s="8"/>
      <c r="R1307" s="79"/>
      <c r="S1307" s="79"/>
      <c r="T1307" s="79"/>
      <c r="U1307" s="34"/>
      <c r="V1307" s="34"/>
    </row>
    <row r="1308" spans="1:22" ht="15" customHeight="1" x14ac:dyDescent="0.2">
      <c r="A1308" s="38"/>
      <c r="B1308" s="38"/>
      <c r="C1308" s="8"/>
      <c r="D1308" s="8"/>
      <c r="E1308" s="8"/>
      <c r="F1308" s="8"/>
      <c r="G1308" s="8"/>
      <c r="H1308" s="8"/>
      <c r="I1308" s="8"/>
      <c r="J1308" s="8"/>
      <c r="K1308" s="8"/>
      <c r="L1308" s="8"/>
      <c r="M1308" s="8"/>
      <c r="N1308" s="8"/>
      <c r="O1308" s="8"/>
      <c r="P1308" s="8"/>
      <c r="Q1308" s="8"/>
      <c r="R1308" s="79"/>
      <c r="S1308" s="79"/>
      <c r="T1308" s="79"/>
      <c r="U1308" s="34"/>
      <c r="V1308" s="34"/>
    </row>
    <row r="1309" spans="1:22" ht="15" customHeight="1" x14ac:dyDescent="0.2">
      <c r="A1309" s="38"/>
      <c r="B1309" s="38"/>
      <c r="C1309" s="8"/>
      <c r="D1309" s="8"/>
      <c r="E1309" s="8"/>
      <c r="F1309" s="8"/>
      <c r="G1309" s="8"/>
      <c r="H1309" s="8"/>
      <c r="I1309" s="8"/>
      <c r="J1309" s="8"/>
      <c r="K1309" s="8"/>
      <c r="L1309" s="8"/>
      <c r="M1309" s="8"/>
      <c r="N1309" s="8"/>
      <c r="O1309" s="8"/>
      <c r="P1309" s="8"/>
      <c r="Q1309" s="8"/>
      <c r="R1309" s="79"/>
      <c r="S1309" s="79"/>
      <c r="T1309" s="79"/>
      <c r="U1309" s="34"/>
      <c r="V1309" s="34"/>
    </row>
    <row r="1310" spans="1:22" ht="15" customHeight="1" x14ac:dyDescent="0.2">
      <c r="A1310" s="38"/>
      <c r="B1310" s="38"/>
      <c r="C1310" s="8"/>
      <c r="D1310" s="8"/>
      <c r="E1310" s="8"/>
      <c r="F1310" s="8"/>
      <c r="G1310" s="8"/>
      <c r="H1310" s="8"/>
      <c r="I1310" s="8"/>
      <c r="J1310" s="8"/>
      <c r="K1310" s="8"/>
      <c r="L1310" s="8"/>
      <c r="M1310" s="8"/>
      <c r="N1310" s="8"/>
      <c r="O1310" s="8"/>
      <c r="P1310" s="8"/>
      <c r="Q1310" s="8"/>
      <c r="R1310" s="79"/>
      <c r="S1310" s="79"/>
      <c r="T1310" s="79"/>
      <c r="U1310" s="34"/>
      <c r="V1310" s="34"/>
    </row>
    <row r="1311" spans="1:22" ht="15" customHeight="1" x14ac:dyDescent="0.2">
      <c r="A1311" s="38"/>
      <c r="B1311" s="38"/>
      <c r="C1311" s="8"/>
      <c r="D1311" s="8"/>
      <c r="E1311" s="8"/>
      <c r="F1311" s="8"/>
      <c r="G1311" s="8"/>
      <c r="H1311" s="8"/>
      <c r="I1311" s="8"/>
      <c r="J1311" s="8"/>
      <c r="K1311" s="8"/>
      <c r="L1311" s="8"/>
      <c r="M1311" s="8"/>
      <c r="N1311" s="8"/>
      <c r="O1311" s="8"/>
      <c r="P1311" s="8"/>
      <c r="Q1311" s="8"/>
      <c r="R1311" s="79"/>
      <c r="S1311" s="79"/>
      <c r="T1311" s="79"/>
      <c r="U1311" s="34"/>
      <c r="V1311" s="34"/>
    </row>
    <row r="1312" spans="1:22" ht="15" customHeight="1" x14ac:dyDescent="0.2">
      <c r="A1312" s="38"/>
      <c r="B1312" s="38"/>
      <c r="C1312" s="8"/>
      <c r="D1312" s="8"/>
      <c r="E1312" s="8"/>
      <c r="F1312" s="8"/>
      <c r="G1312" s="8"/>
      <c r="H1312" s="8"/>
      <c r="I1312" s="8"/>
      <c r="J1312" s="8"/>
      <c r="K1312" s="8"/>
      <c r="L1312" s="8"/>
      <c r="M1312" s="8"/>
      <c r="N1312" s="8"/>
      <c r="O1312" s="8"/>
      <c r="P1312" s="8"/>
      <c r="Q1312" s="8"/>
      <c r="R1312" s="79"/>
      <c r="S1312" s="79"/>
      <c r="T1312" s="79"/>
      <c r="U1312" s="34"/>
      <c r="V1312" s="34"/>
    </row>
    <row r="1313" spans="1:22" ht="15" customHeight="1" x14ac:dyDescent="0.2">
      <c r="A1313" s="38"/>
      <c r="B1313" s="38"/>
      <c r="C1313" s="8"/>
      <c r="D1313" s="8"/>
      <c r="E1313" s="8"/>
      <c r="F1313" s="8"/>
      <c r="G1313" s="8"/>
      <c r="H1313" s="8"/>
      <c r="I1313" s="8"/>
      <c r="J1313" s="8"/>
      <c r="K1313" s="8"/>
      <c r="L1313" s="8"/>
      <c r="M1313" s="8"/>
      <c r="N1313" s="8"/>
      <c r="O1313" s="8"/>
      <c r="P1313" s="8"/>
      <c r="Q1313" s="8"/>
      <c r="R1313" s="79"/>
      <c r="S1313" s="79"/>
      <c r="T1313" s="79"/>
      <c r="U1313" s="34"/>
      <c r="V1313" s="34"/>
    </row>
    <row r="1314" spans="1:22" ht="15" customHeight="1" x14ac:dyDescent="0.2">
      <c r="A1314" s="38"/>
      <c r="B1314" s="38"/>
      <c r="C1314" s="8"/>
      <c r="D1314" s="8"/>
      <c r="E1314" s="8"/>
      <c r="F1314" s="8"/>
      <c r="G1314" s="8"/>
      <c r="H1314" s="8"/>
      <c r="I1314" s="8"/>
      <c r="J1314" s="8"/>
      <c r="K1314" s="8"/>
      <c r="L1314" s="8"/>
      <c r="M1314" s="8"/>
      <c r="N1314" s="8"/>
      <c r="O1314" s="8"/>
      <c r="P1314" s="8"/>
      <c r="Q1314" s="8"/>
      <c r="R1314" s="79"/>
      <c r="S1314" s="79"/>
      <c r="T1314" s="79"/>
      <c r="U1314" s="34"/>
      <c r="V1314" s="34"/>
    </row>
    <row r="1315" spans="1:22" ht="15" customHeight="1" x14ac:dyDescent="0.2">
      <c r="A1315" s="38"/>
      <c r="B1315" s="38"/>
      <c r="C1315" s="8"/>
      <c r="D1315" s="8"/>
      <c r="E1315" s="8"/>
      <c r="F1315" s="8"/>
      <c r="G1315" s="8"/>
      <c r="H1315" s="8"/>
      <c r="I1315" s="8"/>
      <c r="J1315" s="8"/>
      <c r="K1315" s="8"/>
      <c r="L1315" s="8"/>
      <c r="M1315" s="8"/>
      <c r="N1315" s="8"/>
      <c r="O1315" s="8"/>
      <c r="P1315" s="8"/>
      <c r="Q1315" s="8"/>
      <c r="R1315" s="79"/>
      <c r="S1315" s="79"/>
      <c r="T1315" s="79"/>
      <c r="U1315" s="34"/>
      <c r="V1315" s="34"/>
    </row>
    <row r="1316" spans="1:22" ht="15" customHeight="1" x14ac:dyDescent="0.2">
      <c r="A1316" s="38"/>
      <c r="B1316" s="38"/>
      <c r="C1316" s="8"/>
      <c r="D1316" s="8"/>
      <c r="E1316" s="8"/>
      <c r="F1316" s="8"/>
      <c r="G1316" s="8"/>
      <c r="H1316" s="8"/>
      <c r="I1316" s="8"/>
      <c r="J1316" s="8"/>
      <c r="K1316" s="8"/>
      <c r="L1316" s="8"/>
      <c r="M1316" s="8"/>
      <c r="N1316" s="8"/>
      <c r="O1316" s="8"/>
      <c r="P1316" s="8"/>
      <c r="Q1316" s="8"/>
      <c r="R1316" s="79"/>
      <c r="S1316" s="79"/>
      <c r="T1316" s="79"/>
      <c r="U1316" s="34"/>
      <c r="V1316" s="34"/>
    </row>
    <row r="1317" spans="1:22" ht="15" customHeight="1" x14ac:dyDescent="0.2">
      <c r="A1317" s="38"/>
      <c r="B1317" s="38"/>
      <c r="C1317" s="8"/>
      <c r="D1317" s="8"/>
      <c r="E1317" s="8"/>
      <c r="F1317" s="8"/>
      <c r="G1317" s="8"/>
      <c r="H1317" s="8"/>
      <c r="I1317" s="8"/>
      <c r="J1317" s="8"/>
      <c r="K1317" s="8"/>
      <c r="L1317" s="8"/>
      <c r="M1317" s="8"/>
      <c r="N1317" s="8"/>
      <c r="O1317" s="8"/>
      <c r="P1317" s="8"/>
      <c r="Q1317" s="8"/>
      <c r="R1317" s="79"/>
      <c r="S1317" s="79"/>
      <c r="T1317" s="79"/>
      <c r="U1317" s="34"/>
      <c r="V1317" s="34"/>
    </row>
    <row r="1318" spans="1:22" ht="15" customHeight="1" x14ac:dyDescent="0.2">
      <c r="A1318" s="38"/>
      <c r="B1318" s="38"/>
      <c r="C1318" s="8"/>
      <c r="D1318" s="8"/>
      <c r="E1318" s="8"/>
      <c r="F1318" s="8"/>
      <c r="G1318" s="8"/>
      <c r="H1318" s="8"/>
      <c r="I1318" s="8"/>
      <c r="J1318" s="8"/>
      <c r="K1318" s="8"/>
      <c r="L1318" s="8"/>
      <c r="M1318" s="8"/>
      <c r="N1318" s="8"/>
      <c r="O1318" s="8"/>
      <c r="P1318" s="8"/>
      <c r="Q1318" s="8"/>
      <c r="R1318" s="79"/>
      <c r="S1318" s="79"/>
      <c r="T1318" s="79"/>
      <c r="U1318" s="34"/>
      <c r="V1318" s="34"/>
    </row>
    <row r="1319" spans="1:22" ht="15" customHeight="1" x14ac:dyDescent="0.2">
      <c r="A1319" s="38"/>
      <c r="B1319" s="38"/>
      <c r="C1319" s="8"/>
      <c r="D1319" s="8"/>
      <c r="E1319" s="8"/>
      <c r="F1319" s="8"/>
      <c r="G1319" s="8"/>
      <c r="H1319" s="8"/>
      <c r="I1319" s="8"/>
      <c r="J1319" s="8"/>
      <c r="K1319" s="8"/>
      <c r="L1319" s="8"/>
      <c r="M1319" s="8"/>
      <c r="N1319" s="8"/>
      <c r="O1319" s="8"/>
      <c r="P1319" s="8"/>
      <c r="Q1319" s="8"/>
      <c r="R1319" s="79"/>
      <c r="S1319" s="79"/>
      <c r="T1319" s="79"/>
      <c r="U1319" s="34"/>
      <c r="V1319" s="34"/>
    </row>
    <row r="1320" spans="1:22" ht="15" customHeight="1" x14ac:dyDescent="0.2">
      <c r="A1320" s="38"/>
      <c r="B1320" s="38"/>
      <c r="C1320" s="8"/>
      <c r="D1320" s="8"/>
      <c r="E1320" s="8"/>
      <c r="F1320" s="8"/>
      <c r="G1320" s="8"/>
      <c r="H1320" s="8"/>
      <c r="I1320" s="8"/>
      <c r="J1320" s="8"/>
      <c r="K1320" s="8"/>
      <c r="L1320" s="8"/>
      <c r="M1320" s="8"/>
      <c r="N1320" s="8"/>
      <c r="O1320" s="8"/>
      <c r="P1320" s="8"/>
      <c r="Q1320" s="8"/>
      <c r="R1320" s="79"/>
      <c r="S1320" s="79"/>
      <c r="T1320" s="79"/>
      <c r="U1320" s="34"/>
      <c r="V1320" s="34"/>
    </row>
    <row r="1321" spans="1:22" ht="15" customHeight="1" x14ac:dyDescent="0.2">
      <c r="A1321" s="38"/>
      <c r="B1321" s="38"/>
      <c r="C1321" s="8"/>
      <c r="D1321" s="8"/>
      <c r="E1321" s="8"/>
      <c r="F1321" s="8"/>
      <c r="G1321" s="8"/>
      <c r="H1321" s="8"/>
      <c r="I1321" s="8"/>
      <c r="J1321" s="8"/>
      <c r="K1321" s="8"/>
      <c r="L1321" s="8"/>
      <c r="M1321" s="8"/>
      <c r="N1321" s="8"/>
      <c r="O1321" s="8"/>
      <c r="P1321" s="8"/>
      <c r="Q1321" s="8"/>
      <c r="R1321" s="79"/>
      <c r="S1321" s="79"/>
      <c r="T1321" s="79"/>
      <c r="U1321" s="34"/>
      <c r="V1321" s="34"/>
    </row>
    <row r="1322" spans="1:22" ht="15" customHeight="1" x14ac:dyDescent="0.2">
      <c r="A1322" s="38"/>
      <c r="B1322" s="38"/>
      <c r="C1322" s="8"/>
      <c r="D1322" s="8"/>
      <c r="E1322" s="8"/>
      <c r="F1322" s="8"/>
      <c r="G1322" s="8"/>
      <c r="H1322" s="8"/>
      <c r="I1322" s="8"/>
      <c r="J1322" s="8"/>
      <c r="K1322" s="8"/>
      <c r="L1322" s="8"/>
      <c r="M1322" s="8"/>
      <c r="N1322" s="8"/>
      <c r="O1322" s="8"/>
      <c r="P1322" s="8"/>
      <c r="Q1322" s="8"/>
      <c r="R1322" s="79"/>
      <c r="S1322" s="79"/>
      <c r="T1322" s="79"/>
      <c r="U1322" s="34"/>
      <c r="V1322" s="34"/>
    </row>
    <row r="1323" spans="1:22" ht="15" customHeight="1" x14ac:dyDescent="0.2">
      <c r="A1323" s="38"/>
      <c r="B1323" s="38"/>
      <c r="C1323" s="8"/>
      <c r="D1323" s="8"/>
      <c r="E1323" s="8"/>
      <c r="F1323" s="8"/>
      <c r="G1323" s="8"/>
      <c r="H1323" s="8"/>
      <c r="I1323" s="8"/>
      <c r="J1323" s="8"/>
      <c r="K1323" s="8"/>
      <c r="L1323" s="8"/>
      <c r="M1323" s="8"/>
      <c r="N1323" s="8"/>
      <c r="O1323" s="8"/>
      <c r="P1323" s="8"/>
      <c r="Q1323" s="8"/>
      <c r="R1323" s="79"/>
      <c r="S1323" s="79"/>
      <c r="T1323" s="79"/>
      <c r="U1323" s="34"/>
      <c r="V1323" s="34"/>
    </row>
    <row r="1324" spans="1:22" ht="15" customHeight="1" x14ac:dyDescent="0.2">
      <c r="A1324" s="38"/>
      <c r="B1324" s="38"/>
      <c r="C1324" s="8"/>
      <c r="D1324" s="8"/>
      <c r="E1324" s="8"/>
      <c r="F1324" s="8"/>
      <c r="G1324" s="8"/>
      <c r="H1324" s="8"/>
      <c r="I1324" s="8"/>
      <c r="J1324" s="8"/>
      <c r="K1324" s="8"/>
      <c r="L1324" s="8"/>
      <c r="M1324" s="8"/>
      <c r="N1324" s="8"/>
      <c r="O1324" s="8"/>
      <c r="P1324" s="8"/>
      <c r="Q1324" s="8"/>
      <c r="R1324" s="79"/>
      <c r="S1324" s="79"/>
      <c r="T1324" s="79"/>
      <c r="U1324" s="34"/>
      <c r="V1324" s="34"/>
    </row>
    <row r="1325" spans="1:22" ht="15" customHeight="1" x14ac:dyDescent="0.2">
      <c r="A1325" s="38"/>
      <c r="B1325" s="38"/>
      <c r="C1325" s="8"/>
      <c r="D1325" s="8"/>
      <c r="E1325" s="8"/>
      <c r="F1325" s="8"/>
      <c r="G1325" s="8"/>
      <c r="H1325" s="8"/>
      <c r="I1325" s="8"/>
      <c r="J1325" s="8"/>
      <c r="K1325" s="8"/>
      <c r="L1325" s="8"/>
      <c r="M1325" s="8"/>
      <c r="N1325" s="8"/>
      <c r="O1325" s="8"/>
      <c r="P1325" s="8"/>
      <c r="Q1325" s="8"/>
      <c r="R1325" s="79"/>
      <c r="S1325" s="79"/>
      <c r="T1325" s="79"/>
      <c r="U1325" s="34"/>
      <c r="V1325" s="34"/>
    </row>
    <row r="1326" spans="1:22" ht="15" customHeight="1" x14ac:dyDescent="0.2">
      <c r="A1326" s="38"/>
      <c r="B1326" s="38"/>
      <c r="C1326" s="8"/>
      <c r="D1326" s="8"/>
      <c r="E1326" s="8"/>
      <c r="F1326" s="8"/>
      <c r="G1326" s="8"/>
      <c r="H1326" s="8"/>
      <c r="I1326" s="8"/>
      <c r="J1326" s="8"/>
      <c r="K1326" s="8"/>
      <c r="L1326" s="8"/>
      <c r="M1326" s="8"/>
      <c r="N1326" s="8"/>
      <c r="O1326" s="8"/>
      <c r="P1326" s="8"/>
      <c r="Q1326" s="8"/>
      <c r="R1326" s="79"/>
      <c r="S1326" s="79"/>
      <c r="T1326" s="79"/>
      <c r="U1326" s="34"/>
      <c r="V1326" s="34"/>
    </row>
    <row r="1327" spans="1:22" ht="15" customHeight="1" x14ac:dyDescent="0.2">
      <c r="A1327" s="38"/>
      <c r="B1327" s="38"/>
      <c r="C1327" s="8"/>
      <c r="D1327" s="8"/>
      <c r="E1327" s="8"/>
      <c r="F1327" s="8"/>
      <c r="G1327" s="8"/>
      <c r="H1327" s="8"/>
      <c r="I1327" s="8"/>
      <c r="J1327" s="8"/>
      <c r="K1327" s="8"/>
      <c r="L1327" s="8"/>
      <c r="M1327" s="8"/>
      <c r="N1327" s="8"/>
      <c r="O1327" s="8"/>
      <c r="P1327" s="8"/>
      <c r="Q1327" s="8"/>
      <c r="R1327" s="79"/>
      <c r="S1327" s="79"/>
      <c r="T1327" s="79"/>
      <c r="U1327" s="34"/>
      <c r="V1327" s="34"/>
    </row>
    <row r="1328" spans="1:22" ht="15" customHeight="1" x14ac:dyDescent="0.2">
      <c r="A1328" s="38"/>
      <c r="B1328" s="38"/>
      <c r="C1328" s="8"/>
      <c r="D1328" s="8"/>
      <c r="E1328" s="8"/>
      <c r="F1328" s="8"/>
      <c r="G1328" s="8"/>
      <c r="H1328" s="8"/>
      <c r="I1328" s="8"/>
      <c r="J1328" s="8"/>
      <c r="K1328" s="8"/>
      <c r="L1328" s="8"/>
      <c r="M1328" s="8"/>
      <c r="N1328" s="8"/>
      <c r="O1328" s="8"/>
      <c r="P1328" s="8"/>
      <c r="Q1328" s="8"/>
      <c r="R1328" s="79"/>
      <c r="S1328" s="79"/>
      <c r="T1328" s="79"/>
      <c r="U1328" s="34"/>
      <c r="V1328" s="34"/>
    </row>
    <row r="1329" spans="1:22" ht="15" customHeight="1" x14ac:dyDescent="0.2">
      <c r="A1329" s="38"/>
      <c r="B1329" s="38"/>
      <c r="C1329" s="8"/>
      <c r="D1329" s="8"/>
      <c r="E1329" s="8"/>
      <c r="F1329" s="8"/>
      <c r="G1329" s="8"/>
      <c r="H1329" s="8"/>
      <c r="I1329" s="8"/>
      <c r="J1329" s="8"/>
      <c r="K1329" s="8"/>
      <c r="L1329" s="8"/>
      <c r="M1329" s="8"/>
      <c r="N1329" s="8"/>
      <c r="O1329" s="8"/>
      <c r="P1329" s="8"/>
      <c r="Q1329" s="8"/>
      <c r="R1329" s="79"/>
      <c r="S1329" s="79"/>
      <c r="T1329" s="79"/>
      <c r="U1329" s="34"/>
      <c r="V1329" s="34"/>
    </row>
    <row r="1330" spans="1:22" ht="15" customHeight="1" x14ac:dyDescent="0.2">
      <c r="A1330" s="38"/>
      <c r="B1330" s="38"/>
      <c r="C1330" s="8"/>
      <c r="D1330" s="8"/>
      <c r="E1330" s="8"/>
      <c r="F1330" s="8"/>
      <c r="G1330" s="8"/>
      <c r="H1330" s="8"/>
      <c r="I1330" s="8"/>
      <c r="J1330" s="8"/>
      <c r="K1330" s="8"/>
      <c r="L1330" s="8"/>
      <c r="M1330" s="8"/>
      <c r="N1330" s="8"/>
      <c r="O1330" s="8"/>
      <c r="P1330" s="8"/>
      <c r="Q1330" s="8"/>
      <c r="R1330" s="79"/>
      <c r="S1330" s="79"/>
      <c r="T1330" s="79"/>
      <c r="U1330" s="34"/>
      <c r="V1330" s="34"/>
    </row>
    <row r="1331" spans="1:22" ht="15" customHeight="1" x14ac:dyDescent="0.2">
      <c r="A1331" s="38"/>
      <c r="B1331" s="38"/>
      <c r="C1331" s="8"/>
      <c r="D1331" s="8"/>
      <c r="E1331" s="8"/>
      <c r="F1331" s="8"/>
      <c r="G1331" s="8"/>
      <c r="H1331" s="8"/>
      <c r="I1331" s="8"/>
      <c r="J1331" s="8"/>
      <c r="K1331" s="8"/>
      <c r="L1331" s="8"/>
      <c r="M1331" s="8"/>
      <c r="N1331" s="8"/>
      <c r="O1331" s="8"/>
      <c r="P1331" s="8"/>
      <c r="Q1331" s="8"/>
      <c r="R1331" s="79"/>
      <c r="S1331" s="79"/>
      <c r="T1331" s="79"/>
      <c r="U1331" s="34"/>
      <c r="V1331" s="34"/>
    </row>
    <row r="1332" spans="1:22" ht="15" customHeight="1" x14ac:dyDescent="0.2">
      <c r="A1332" s="38"/>
      <c r="B1332" s="38"/>
      <c r="C1332" s="8"/>
      <c r="D1332" s="8"/>
      <c r="E1332" s="8"/>
      <c r="F1332" s="8"/>
      <c r="G1332" s="8"/>
      <c r="H1332" s="8"/>
      <c r="I1332" s="8"/>
      <c r="J1332" s="8"/>
      <c r="K1332" s="8"/>
      <c r="L1332" s="8"/>
      <c r="M1332" s="8"/>
      <c r="N1332" s="8"/>
      <c r="O1332" s="8"/>
      <c r="P1332" s="8"/>
      <c r="Q1332" s="8"/>
      <c r="R1332" s="79"/>
      <c r="S1332" s="79"/>
      <c r="T1332" s="79"/>
      <c r="U1332" s="34"/>
      <c r="V1332" s="34"/>
    </row>
    <row r="1333" spans="1:22" ht="15" customHeight="1" x14ac:dyDescent="0.2">
      <c r="A1333" s="38"/>
      <c r="B1333" s="38"/>
      <c r="C1333" s="8"/>
      <c r="D1333" s="8"/>
      <c r="E1333" s="8"/>
      <c r="F1333" s="8"/>
      <c r="G1333" s="8"/>
      <c r="H1333" s="8"/>
      <c r="I1333" s="8"/>
      <c r="J1333" s="8"/>
      <c r="K1333" s="8"/>
      <c r="L1333" s="8"/>
      <c r="M1333" s="8"/>
      <c r="N1333" s="8"/>
      <c r="O1333" s="8"/>
      <c r="P1333" s="8"/>
      <c r="Q1333" s="8"/>
      <c r="R1333" s="79"/>
      <c r="S1333" s="79"/>
      <c r="T1333" s="79"/>
      <c r="U1333" s="34"/>
      <c r="V1333" s="34"/>
    </row>
    <row r="1334" spans="1:22" ht="15" customHeight="1" x14ac:dyDescent="0.2">
      <c r="A1334" s="38"/>
      <c r="B1334" s="38"/>
      <c r="C1334" s="8"/>
      <c r="D1334" s="8"/>
      <c r="E1334" s="8"/>
      <c r="F1334" s="8"/>
      <c r="G1334" s="8"/>
      <c r="H1334" s="8"/>
      <c r="I1334" s="8"/>
      <c r="J1334" s="8"/>
      <c r="K1334" s="8"/>
      <c r="L1334" s="8"/>
      <c r="M1334" s="8"/>
      <c r="N1334" s="8"/>
      <c r="O1334" s="8"/>
      <c r="P1334" s="8"/>
      <c r="Q1334" s="8"/>
      <c r="R1334" s="79"/>
      <c r="S1334" s="79"/>
      <c r="T1334" s="79"/>
      <c r="U1334" s="34"/>
      <c r="V1334" s="34"/>
    </row>
    <row r="1335" spans="1:22" ht="15" customHeight="1" x14ac:dyDescent="0.2">
      <c r="A1335" s="38"/>
      <c r="B1335" s="38"/>
      <c r="C1335" s="8"/>
      <c r="D1335" s="8"/>
      <c r="E1335" s="8"/>
      <c r="F1335" s="8"/>
      <c r="G1335" s="8"/>
      <c r="H1335" s="8"/>
      <c r="I1335" s="8"/>
      <c r="J1335" s="8"/>
      <c r="K1335" s="8"/>
      <c r="L1335" s="8"/>
      <c r="M1335" s="8"/>
      <c r="N1335" s="8"/>
      <c r="O1335" s="8"/>
      <c r="P1335" s="8"/>
      <c r="Q1335" s="8"/>
      <c r="R1335" s="79"/>
      <c r="S1335" s="79"/>
      <c r="T1335" s="79"/>
      <c r="U1335" s="34"/>
      <c r="V1335" s="34"/>
    </row>
    <row r="1336" spans="1:22" ht="15" customHeight="1" x14ac:dyDescent="0.2">
      <c r="A1336" s="38"/>
      <c r="B1336" s="38"/>
      <c r="C1336" s="8"/>
      <c r="D1336" s="8"/>
      <c r="E1336" s="8"/>
      <c r="F1336" s="8"/>
      <c r="G1336" s="8"/>
      <c r="H1336" s="8"/>
      <c r="I1336" s="8"/>
      <c r="J1336" s="8"/>
      <c r="K1336" s="8"/>
      <c r="L1336" s="8"/>
      <c r="M1336" s="8"/>
      <c r="N1336" s="8"/>
      <c r="O1336" s="8"/>
      <c r="P1336" s="8"/>
      <c r="Q1336" s="8"/>
      <c r="R1336" s="79"/>
      <c r="S1336" s="79"/>
      <c r="T1336" s="79"/>
      <c r="U1336" s="34"/>
      <c r="V1336" s="34"/>
    </row>
    <row r="1337" spans="1:22" ht="15" customHeight="1" x14ac:dyDescent="0.2">
      <c r="A1337" s="38"/>
      <c r="B1337" s="38"/>
      <c r="C1337" s="8"/>
      <c r="D1337" s="8"/>
      <c r="E1337" s="8"/>
      <c r="F1337" s="8"/>
      <c r="G1337" s="8"/>
      <c r="H1337" s="8"/>
      <c r="I1337" s="8"/>
      <c r="J1337" s="8"/>
      <c r="K1337" s="8"/>
      <c r="L1337" s="8"/>
      <c r="M1337" s="8"/>
      <c r="N1337" s="8"/>
      <c r="O1337" s="8"/>
      <c r="P1337" s="8"/>
      <c r="Q1337" s="8"/>
      <c r="R1337" s="79"/>
      <c r="S1337" s="79"/>
      <c r="T1337" s="79"/>
      <c r="U1337" s="34"/>
      <c r="V1337" s="34"/>
    </row>
    <row r="1338" spans="1:22" ht="15" customHeight="1" x14ac:dyDescent="0.2">
      <c r="A1338" s="38"/>
      <c r="B1338" s="38"/>
      <c r="C1338" s="8"/>
      <c r="D1338" s="8"/>
      <c r="E1338" s="8"/>
      <c r="F1338" s="8"/>
      <c r="G1338" s="8"/>
      <c r="H1338" s="8"/>
      <c r="I1338" s="8"/>
      <c r="J1338" s="8"/>
      <c r="K1338" s="8"/>
      <c r="L1338" s="8"/>
      <c r="M1338" s="8"/>
      <c r="N1338" s="8"/>
      <c r="O1338" s="8"/>
      <c r="P1338" s="8"/>
      <c r="Q1338" s="8"/>
      <c r="R1338" s="79"/>
      <c r="S1338" s="79"/>
      <c r="T1338" s="79"/>
      <c r="U1338" s="34"/>
      <c r="V1338" s="34"/>
    </row>
    <row r="1339" spans="1:22" ht="15" customHeight="1" x14ac:dyDescent="0.2">
      <c r="A1339" s="38"/>
      <c r="B1339" s="38"/>
      <c r="C1339" s="8"/>
      <c r="D1339" s="8"/>
      <c r="E1339" s="8"/>
      <c r="F1339" s="8"/>
      <c r="G1339" s="8"/>
      <c r="H1339" s="8"/>
      <c r="I1339" s="8"/>
      <c r="J1339" s="8"/>
      <c r="K1339" s="8"/>
      <c r="L1339" s="8"/>
      <c r="M1339" s="8"/>
      <c r="N1339" s="8"/>
      <c r="O1339" s="8"/>
      <c r="P1339" s="8"/>
      <c r="Q1339" s="8"/>
      <c r="R1339" s="79"/>
      <c r="S1339" s="79"/>
      <c r="T1339" s="79"/>
      <c r="U1339" s="34"/>
      <c r="V1339" s="34"/>
    </row>
    <row r="1340" spans="1:22" ht="15" customHeight="1" x14ac:dyDescent="0.2">
      <c r="A1340" s="38"/>
      <c r="B1340" s="38"/>
      <c r="C1340" s="8"/>
      <c r="D1340" s="8"/>
      <c r="E1340" s="8"/>
      <c r="F1340" s="8"/>
      <c r="G1340" s="8"/>
      <c r="H1340" s="8"/>
      <c r="I1340" s="8"/>
      <c r="J1340" s="8"/>
      <c r="K1340" s="8"/>
      <c r="L1340" s="8"/>
      <c r="M1340" s="8"/>
      <c r="N1340" s="8"/>
      <c r="O1340" s="8"/>
      <c r="P1340" s="8"/>
      <c r="Q1340" s="8"/>
      <c r="R1340" s="79"/>
      <c r="S1340" s="79"/>
      <c r="T1340" s="79"/>
      <c r="U1340" s="34"/>
      <c r="V1340" s="34"/>
    </row>
    <row r="1341" spans="1:22" ht="15" customHeight="1" x14ac:dyDescent="0.2">
      <c r="A1341" s="38"/>
      <c r="B1341" s="38"/>
      <c r="C1341" s="8"/>
      <c r="D1341" s="8"/>
      <c r="E1341" s="8"/>
      <c r="F1341" s="8"/>
      <c r="G1341" s="8"/>
      <c r="H1341" s="8"/>
      <c r="I1341" s="8"/>
      <c r="J1341" s="8"/>
      <c r="K1341" s="8"/>
      <c r="L1341" s="8"/>
      <c r="M1341" s="8"/>
      <c r="N1341" s="8"/>
      <c r="O1341" s="8"/>
      <c r="P1341" s="8"/>
      <c r="Q1341" s="8"/>
      <c r="R1341" s="79"/>
      <c r="S1341" s="79"/>
      <c r="T1341" s="79"/>
      <c r="U1341" s="34"/>
      <c r="V1341" s="34"/>
    </row>
    <row r="1342" spans="1:22" ht="15" customHeight="1" x14ac:dyDescent="0.2">
      <c r="A1342" s="38"/>
      <c r="B1342" s="38"/>
      <c r="C1342" s="8"/>
      <c r="D1342" s="8"/>
      <c r="E1342" s="8"/>
      <c r="F1342" s="8"/>
      <c r="G1342" s="8"/>
      <c r="H1342" s="8"/>
      <c r="I1342" s="8"/>
      <c r="J1342" s="8"/>
      <c r="K1342" s="8"/>
      <c r="L1342" s="8"/>
      <c r="M1342" s="8"/>
      <c r="N1342" s="8"/>
      <c r="O1342" s="8"/>
      <c r="P1342" s="8"/>
      <c r="Q1342" s="8"/>
      <c r="R1342" s="79"/>
      <c r="S1342" s="79"/>
      <c r="T1342" s="79"/>
      <c r="U1342" s="34"/>
      <c r="V1342" s="34"/>
    </row>
    <row r="1343" spans="1:22" ht="15" customHeight="1" x14ac:dyDescent="0.2">
      <c r="A1343" s="38"/>
      <c r="B1343" s="38"/>
      <c r="C1343" s="8"/>
      <c r="D1343" s="8"/>
      <c r="E1343" s="8"/>
      <c r="F1343" s="8"/>
      <c r="G1343" s="8"/>
      <c r="H1343" s="8"/>
      <c r="I1343" s="8"/>
      <c r="J1343" s="8"/>
      <c r="K1343" s="8"/>
      <c r="L1343" s="8"/>
      <c r="M1343" s="8"/>
      <c r="N1343" s="8"/>
      <c r="O1343" s="8"/>
      <c r="P1343" s="8"/>
      <c r="Q1343" s="8"/>
      <c r="R1343" s="79"/>
      <c r="S1343" s="79"/>
      <c r="T1343" s="79"/>
      <c r="U1343" s="34"/>
      <c r="V1343" s="34"/>
    </row>
    <row r="1344" spans="1:22" ht="15" customHeight="1" x14ac:dyDescent="0.2">
      <c r="A1344" s="38"/>
      <c r="B1344" s="38"/>
      <c r="C1344" s="8"/>
      <c r="D1344" s="8"/>
      <c r="E1344" s="8"/>
      <c r="F1344" s="8"/>
      <c r="G1344" s="8"/>
      <c r="H1344" s="8"/>
      <c r="I1344" s="8"/>
      <c r="J1344" s="8"/>
      <c r="K1344" s="8"/>
      <c r="L1344" s="8"/>
      <c r="M1344" s="8"/>
      <c r="N1344" s="8"/>
      <c r="O1344" s="8"/>
      <c r="P1344" s="8"/>
      <c r="Q1344" s="8"/>
      <c r="R1344" s="79"/>
      <c r="S1344" s="79"/>
      <c r="T1344" s="79"/>
      <c r="U1344" s="34"/>
      <c r="V1344" s="34"/>
    </row>
    <row r="1345" spans="1:22" ht="15" customHeight="1" x14ac:dyDescent="0.2">
      <c r="A1345" s="38"/>
      <c r="B1345" s="38"/>
      <c r="C1345" s="8"/>
      <c r="D1345" s="8"/>
      <c r="E1345" s="8"/>
      <c r="F1345" s="8"/>
      <c r="G1345" s="8"/>
      <c r="H1345" s="8"/>
      <c r="I1345" s="8"/>
      <c r="J1345" s="8"/>
      <c r="K1345" s="8"/>
      <c r="L1345" s="8"/>
      <c r="M1345" s="8"/>
      <c r="N1345" s="8"/>
      <c r="O1345" s="8"/>
      <c r="P1345" s="8"/>
      <c r="Q1345" s="8"/>
      <c r="R1345" s="79"/>
      <c r="S1345" s="79"/>
      <c r="T1345" s="79"/>
      <c r="U1345" s="34"/>
      <c r="V1345" s="34"/>
    </row>
    <row r="1346" spans="1:22" ht="15" customHeight="1" x14ac:dyDescent="0.2">
      <c r="A1346" s="38"/>
      <c r="B1346" s="38"/>
      <c r="C1346" s="8"/>
      <c r="D1346" s="8"/>
      <c r="E1346" s="8"/>
      <c r="F1346" s="8"/>
      <c r="G1346" s="8"/>
      <c r="H1346" s="8"/>
      <c r="I1346" s="8"/>
      <c r="J1346" s="8"/>
      <c r="K1346" s="8"/>
      <c r="L1346" s="8"/>
      <c r="M1346" s="8"/>
      <c r="N1346" s="8"/>
      <c r="O1346" s="8"/>
      <c r="P1346" s="8"/>
      <c r="Q1346" s="8"/>
      <c r="R1346" s="79"/>
      <c r="S1346" s="79"/>
      <c r="T1346" s="79"/>
      <c r="U1346" s="34"/>
      <c r="V1346" s="34"/>
    </row>
    <row r="1347" spans="1:22" ht="15" customHeight="1" x14ac:dyDescent="0.2">
      <c r="A1347" s="38"/>
      <c r="B1347" s="38"/>
      <c r="C1347" s="8"/>
      <c r="D1347" s="8"/>
      <c r="E1347" s="8"/>
      <c r="F1347" s="8"/>
      <c r="G1347" s="8"/>
      <c r="H1347" s="8"/>
      <c r="I1347" s="8"/>
      <c r="J1347" s="8"/>
      <c r="K1347" s="8"/>
      <c r="L1347" s="8"/>
      <c r="M1347" s="8"/>
      <c r="N1347" s="8"/>
      <c r="O1347" s="8"/>
      <c r="P1347" s="8"/>
      <c r="Q1347" s="8"/>
      <c r="R1347" s="79"/>
      <c r="S1347" s="79"/>
      <c r="T1347" s="79"/>
      <c r="U1347" s="34"/>
      <c r="V1347" s="34"/>
    </row>
    <row r="1348" spans="1:22" ht="15" customHeight="1" x14ac:dyDescent="0.2">
      <c r="A1348" s="38"/>
      <c r="B1348" s="38"/>
      <c r="C1348" s="8"/>
      <c r="D1348" s="8"/>
      <c r="E1348" s="8"/>
      <c r="F1348" s="8"/>
      <c r="G1348" s="8"/>
      <c r="H1348" s="8"/>
      <c r="I1348" s="8"/>
      <c r="J1348" s="8"/>
      <c r="K1348" s="8"/>
      <c r="L1348" s="8"/>
      <c r="M1348" s="8"/>
      <c r="N1348" s="8"/>
      <c r="O1348" s="8"/>
      <c r="P1348" s="8"/>
      <c r="Q1348" s="8"/>
      <c r="R1348" s="79"/>
      <c r="S1348" s="79"/>
      <c r="T1348" s="79"/>
      <c r="U1348" s="34"/>
      <c r="V1348" s="34"/>
    </row>
    <row r="1349" spans="1:22" ht="15" customHeight="1" x14ac:dyDescent="0.2">
      <c r="A1349" s="38"/>
      <c r="B1349" s="38"/>
      <c r="C1349" s="8"/>
      <c r="D1349" s="8"/>
      <c r="E1349" s="8"/>
      <c r="F1349" s="8"/>
      <c r="G1349" s="8"/>
      <c r="H1349" s="8"/>
      <c r="I1349" s="8"/>
      <c r="J1349" s="8"/>
      <c r="K1349" s="8"/>
      <c r="L1349" s="8"/>
      <c r="M1349" s="8"/>
      <c r="N1349" s="8"/>
      <c r="O1349" s="8"/>
      <c r="P1349" s="8"/>
      <c r="Q1349" s="8"/>
      <c r="R1349" s="79"/>
      <c r="S1349" s="79"/>
      <c r="T1349" s="79"/>
      <c r="U1349" s="34"/>
      <c r="V1349" s="34"/>
    </row>
    <row r="1350" spans="1:22" ht="15" customHeight="1" x14ac:dyDescent="0.2">
      <c r="A1350" s="38"/>
      <c r="B1350" s="38"/>
      <c r="C1350" s="8"/>
      <c r="D1350" s="8"/>
      <c r="E1350" s="8"/>
      <c r="F1350" s="8"/>
      <c r="G1350" s="8"/>
      <c r="H1350" s="8"/>
      <c r="I1350" s="8"/>
      <c r="J1350" s="8"/>
      <c r="K1350" s="8"/>
      <c r="L1350" s="8"/>
      <c r="M1350" s="8"/>
      <c r="N1350" s="8"/>
      <c r="O1350" s="8"/>
      <c r="P1350" s="8"/>
      <c r="Q1350" s="8"/>
      <c r="R1350" s="79"/>
      <c r="S1350" s="79"/>
      <c r="T1350" s="79"/>
      <c r="U1350" s="34"/>
      <c r="V1350" s="34"/>
    </row>
    <row r="1351" spans="1:22" ht="15" customHeight="1" x14ac:dyDescent="0.2">
      <c r="A1351" s="38"/>
      <c r="B1351" s="38"/>
      <c r="C1351" s="8"/>
      <c r="D1351" s="8"/>
      <c r="E1351" s="8"/>
      <c r="F1351" s="8"/>
      <c r="G1351" s="8"/>
      <c r="H1351" s="8"/>
      <c r="I1351" s="8"/>
      <c r="J1351" s="8"/>
      <c r="K1351" s="8"/>
      <c r="L1351" s="8"/>
      <c r="M1351" s="8"/>
      <c r="N1351" s="8"/>
      <c r="O1351" s="8"/>
      <c r="P1351" s="8"/>
      <c r="Q1351" s="8"/>
      <c r="R1351" s="79"/>
      <c r="S1351" s="79"/>
      <c r="T1351" s="79"/>
      <c r="U1351" s="34"/>
      <c r="V1351" s="34"/>
    </row>
    <row r="1352" spans="1:22" ht="15" customHeight="1" x14ac:dyDescent="0.2">
      <c r="A1352" s="38"/>
      <c r="B1352" s="38"/>
      <c r="C1352" s="8"/>
      <c r="D1352" s="8"/>
      <c r="E1352" s="8"/>
      <c r="F1352" s="8"/>
      <c r="G1352" s="8"/>
      <c r="H1352" s="8"/>
      <c r="I1352" s="8"/>
      <c r="J1352" s="8"/>
      <c r="K1352" s="8"/>
      <c r="L1352" s="8"/>
      <c r="M1352" s="8"/>
      <c r="N1352" s="8"/>
      <c r="O1352" s="8"/>
      <c r="P1352" s="8"/>
      <c r="Q1352" s="8"/>
      <c r="R1352" s="79"/>
      <c r="S1352" s="79"/>
      <c r="T1352" s="79"/>
      <c r="U1352" s="34"/>
      <c r="V1352" s="34"/>
    </row>
    <row r="1353" spans="1:22" ht="15" customHeight="1" x14ac:dyDescent="0.2">
      <c r="A1353" s="38"/>
      <c r="B1353" s="38"/>
      <c r="C1353" s="8"/>
      <c r="D1353" s="8"/>
      <c r="E1353" s="8"/>
      <c r="F1353" s="8"/>
      <c r="G1353" s="8"/>
      <c r="H1353" s="8"/>
      <c r="I1353" s="8"/>
      <c r="J1353" s="8"/>
      <c r="K1353" s="8"/>
      <c r="L1353" s="8"/>
      <c r="M1353" s="8"/>
      <c r="N1353" s="8"/>
      <c r="O1353" s="8"/>
      <c r="P1353" s="8"/>
      <c r="Q1353" s="8"/>
      <c r="R1353" s="79"/>
      <c r="S1353" s="79"/>
      <c r="T1353" s="79"/>
      <c r="U1353" s="34"/>
      <c r="V1353" s="34"/>
    </row>
    <row r="1354" spans="1:22" ht="15" customHeight="1" x14ac:dyDescent="0.2">
      <c r="A1354" s="38"/>
      <c r="B1354" s="38"/>
      <c r="C1354" s="8"/>
      <c r="D1354" s="8"/>
      <c r="E1354" s="8"/>
      <c r="F1354" s="8"/>
      <c r="G1354" s="8"/>
      <c r="H1354" s="8"/>
      <c r="I1354" s="8"/>
      <c r="J1354" s="8"/>
      <c r="K1354" s="8"/>
      <c r="L1354" s="8"/>
      <c r="M1354" s="8"/>
      <c r="N1354" s="8"/>
      <c r="O1354" s="8"/>
      <c r="P1354" s="8"/>
      <c r="Q1354" s="8"/>
      <c r="R1354" s="79"/>
      <c r="S1354" s="79"/>
      <c r="T1354" s="79"/>
      <c r="U1354" s="34"/>
      <c r="V1354" s="34"/>
    </row>
    <row r="1355" spans="1:22" ht="15" customHeight="1" x14ac:dyDescent="0.2">
      <c r="A1355" s="38"/>
      <c r="B1355" s="38"/>
      <c r="C1355" s="8"/>
      <c r="D1355" s="8"/>
      <c r="E1355" s="8"/>
      <c r="F1355" s="8"/>
      <c r="G1355" s="8"/>
      <c r="H1355" s="8"/>
      <c r="I1355" s="8"/>
      <c r="J1355" s="8"/>
      <c r="K1355" s="8"/>
      <c r="L1355" s="8"/>
      <c r="M1355" s="8"/>
      <c r="N1355" s="8"/>
      <c r="O1355" s="8"/>
      <c r="P1355" s="8"/>
      <c r="Q1355" s="8"/>
      <c r="R1355" s="79"/>
      <c r="S1355" s="79"/>
      <c r="T1355" s="79"/>
      <c r="U1355" s="34"/>
      <c r="V1355" s="34"/>
    </row>
    <row r="1356" spans="1:22" ht="15" customHeight="1" x14ac:dyDescent="0.2">
      <c r="A1356" s="38"/>
      <c r="B1356" s="38"/>
      <c r="C1356" s="8"/>
      <c r="D1356" s="8"/>
      <c r="E1356" s="8"/>
      <c r="F1356" s="8"/>
      <c r="G1356" s="8"/>
      <c r="H1356" s="8"/>
      <c r="I1356" s="8"/>
      <c r="J1356" s="8"/>
      <c r="K1356" s="8"/>
      <c r="L1356" s="8"/>
      <c r="M1356" s="8"/>
      <c r="N1356" s="8"/>
      <c r="O1356" s="8"/>
      <c r="P1356" s="8"/>
      <c r="Q1356" s="8"/>
      <c r="R1356" s="79"/>
      <c r="S1356" s="79"/>
      <c r="T1356" s="79"/>
      <c r="U1356" s="34"/>
      <c r="V1356" s="34"/>
    </row>
    <row r="1357" spans="1:22" ht="15" customHeight="1" x14ac:dyDescent="0.2">
      <c r="A1357" s="38"/>
      <c r="B1357" s="38"/>
      <c r="C1357" s="8"/>
      <c r="D1357" s="8"/>
      <c r="E1357" s="8"/>
      <c r="F1357" s="8"/>
      <c r="G1357" s="8"/>
      <c r="H1357" s="8"/>
      <c r="I1357" s="8"/>
      <c r="J1357" s="8"/>
      <c r="K1357" s="8"/>
      <c r="L1357" s="8"/>
      <c r="M1357" s="8"/>
      <c r="N1357" s="8"/>
      <c r="O1357" s="8"/>
      <c r="P1357" s="8"/>
      <c r="Q1357" s="8"/>
      <c r="R1357" s="79"/>
      <c r="S1357" s="79"/>
      <c r="T1357" s="79"/>
      <c r="U1357" s="34"/>
      <c r="V1357" s="34"/>
    </row>
    <row r="1358" spans="1:22" ht="15" customHeight="1" x14ac:dyDescent="0.2">
      <c r="A1358" s="38"/>
      <c r="B1358" s="38"/>
      <c r="C1358" s="8"/>
      <c r="D1358" s="8"/>
      <c r="E1358" s="8"/>
      <c r="F1358" s="8"/>
      <c r="G1358" s="8"/>
      <c r="H1358" s="8"/>
      <c r="I1358" s="8"/>
      <c r="J1358" s="8"/>
      <c r="K1358" s="8"/>
      <c r="L1358" s="8"/>
      <c r="M1358" s="8"/>
      <c r="N1358" s="8"/>
      <c r="O1358" s="8"/>
      <c r="P1358" s="8"/>
      <c r="Q1358" s="8"/>
      <c r="R1358" s="79"/>
      <c r="S1358" s="79"/>
      <c r="T1358" s="79"/>
      <c r="U1358" s="34"/>
      <c r="V1358" s="34"/>
    </row>
    <row r="1359" spans="1:22" ht="15" customHeight="1" x14ac:dyDescent="0.2">
      <c r="A1359" s="38"/>
      <c r="B1359" s="38"/>
      <c r="C1359" s="8"/>
      <c r="D1359" s="8"/>
      <c r="E1359" s="8"/>
      <c r="F1359" s="8"/>
      <c r="G1359" s="8"/>
      <c r="H1359" s="8"/>
      <c r="I1359" s="8"/>
      <c r="J1359" s="8"/>
      <c r="K1359" s="8"/>
      <c r="L1359" s="8"/>
      <c r="M1359" s="8"/>
      <c r="N1359" s="8"/>
      <c r="O1359" s="8"/>
      <c r="P1359" s="8"/>
      <c r="Q1359" s="8"/>
      <c r="R1359" s="79"/>
      <c r="S1359" s="79"/>
      <c r="T1359" s="79"/>
      <c r="U1359" s="34"/>
      <c r="V1359" s="34"/>
    </row>
    <row r="1360" spans="1:22" ht="15" customHeight="1" x14ac:dyDescent="0.2">
      <c r="A1360" s="38"/>
      <c r="B1360" s="38"/>
      <c r="C1360" s="8"/>
      <c r="D1360" s="8"/>
      <c r="E1360" s="8"/>
      <c r="F1360" s="8"/>
      <c r="G1360" s="8"/>
      <c r="H1360" s="8"/>
      <c r="I1360" s="8"/>
      <c r="J1360" s="8"/>
      <c r="K1360" s="8"/>
      <c r="L1360" s="8"/>
      <c r="M1360" s="8"/>
      <c r="N1360" s="8"/>
      <c r="O1360" s="8"/>
      <c r="P1360" s="8"/>
      <c r="Q1360" s="8"/>
      <c r="R1360" s="79"/>
      <c r="S1360" s="79"/>
      <c r="T1360" s="79"/>
      <c r="U1360" s="34"/>
      <c r="V1360" s="34"/>
    </row>
    <row r="1361" spans="1:22" ht="15" customHeight="1" x14ac:dyDescent="0.2">
      <c r="A1361" s="38"/>
      <c r="B1361" s="38"/>
      <c r="C1361" s="8"/>
      <c r="D1361" s="8"/>
      <c r="E1361" s="8"/>
      <c r="F1361" s="8"/>
      <c r="G1361" s="8"/>
      <c r="H1361" s="8"/>
      <c r="I1361" s="8"/>
      <c r="J1361" s="8"/>
      <c r="K1361" s="8"/>
      <c r="L1361" s="8"/>
      <c r="M1361" s="8"/>
      <c r="N1361" s="8"/>
      <c r="O1361" s="8"/>
      <c r="P1361" s="8"/>
      <c r="Q1361" s="8"/>
      <c r="R1361" s="79"/>
      <c r="S1361" s="79"/>
      <c r="T1361" s="79"/>
      <c r="U1361" s="34"/>
      <c r="V1361" s="34"/>
    </row>
    <row r="1362" spans="1:22" ht="15" customHeight="1" x14ac:dyDescent="0.2">
      <c r="A1362" s="38"/>
      <c r="B1362" s="38"/>
      <c r="C1362" s="8"/>
      <c r="D1362" s="8"/>
      <c r="E1362" s="8"/>
      <c r="F1362" s="8"/>
      <c r="G1362" s="8"/>
      <c r="H1362" s="8"/>
      <c r="I1362" s="8"/>
      <c r="J1362" s="8"/>
      <c r="K1362" s="8"/>
      <c r="L1362" s="8"/>
      <c r="M1362" s="8"/>
      <c r="N1362" s="8"/>
      <c r="O1362" s="8"/>
      <c r="P1362" s="8"/>
      <c r="Q1362" s="8"/>
      <c r="R1362" s="79"/>
      <c r="S1362" s="79"/>
      <c r="T1362" s="79"/>
      <c r="U1362" s="34"/>
      <c r="V1362" s="34"/>
    </row>
    <row r="1363" spans="1:22" ht="15" customHeight="1" x14ac:dyDescent="0.2">
      <c r="A1363" s="38"/>
      <c r="B1363" s="38"/>
      <c r="C1363" s="8"/>
      <c r="D1363" s="8"/>
      <c r="E1363" s="8"/>
      <c r="F1363" s="8"/>
      <c r="G1363" s="8"/>
      <c r="H1363" s="8"/>
      <c r="I1363" s="8"/>
      <c r="J1363" s="8"/>
      <c r="K1363" s="8"/>
      <c r="L1363" s="8"/>
      <c r="M1363" s="8"/>
      <c r="N1363" s="8"/>
      <c r="O1363" s="8"/>
      <c r="P1363" s="8"/>
      <c r="Q1363" s="8"/>
      <c r="R1363" s="79"/>
      <c r="S1363" s="79"/>
      <c r="T1363" s="79"/>
      <c r="U1363" s="34"/>
      <c r="V1363" s="34"/>
    </row>
    <row r="1364" spans="1:22" ht="15" customHeight="1" x14ac:dyDescent="0.2">
      <c r="A1364" s="38"/>
      <c r="B1364" s="38"/>
      <c r="C1364" s="8"/>
      <c r="D1364" s="8"/>
      <c r="E1364" s="8"/>
      <c r="F1364" s="8"/>
      <c r="G1364" s="8"/>
      <c r="H1364" s="8"/>
      <c r="I1364" s="8"/>
      <c r="J1364" s="8"/>
      <c r="K1364" s="8"/>
      <c r="L1364" s="8"/>
      <c r="M1364" s="8"/>
      <c r="N1364" s="8"/>
      <c r="O1364" s="8"/>
      <c r="P1364" s="8"/>
      <c r="Q1364" s="8"/>
      <c r="R1364" s="79"/>
      <c r="S1364" s="79"/>
      <c r="T1364" s="79"/>
      <c r="U1364" s="34"/>
      <c r="V1364" s="34"/>
    </row>
    <row r="1365" spans="1:22" ht="15" customHeight="1" x14ac:dyDescent="0.2">
      <c r="A1365" s="38"/>
      <c r="B1365" s="38"/>
      <c r="C1365" s="8"/>
      <c r="D1365" s="8"/>
      <c r="E1365" s="8"/>
      <c r="F1365" s="8"/>
      <c r="G1365" s="8"/>
      <c r="H1365" s="8"/>
      <c r="I1365" s="8"/>
      <c r="J1365" s="8"/>
      <c r="K1365" s="8"/>
      <c r="L1365" s="8"/>
      <c r="M1365" s="8"/>
      <c r="N1365" s="8"/>
      <c r="O1365" s="8"/>
      <c r="P1365" s="8"/>
      <c r="Q1365" s="8"/>
      <c r="R1365" s="79"/>
      <c r="S1365" s="79"/>
      <c r="T1365" s="79"/>
      <c r="U1365" s="34"/>
      <c r="V1365" s="34"/>
    </row>
    <row r="1366" spans="1:22" ht="15" customHeight="1" x14ac:dyDescent="0.2">
      <c r="A1366" s="38"/>
      <c r="B1366" s="38"/>
      <c r="C1366" s="8"/>
      <c r="D1366" s="8"/>
      <c r="E1366" s="8"/>
      <c r="F1366" s="8"/>
      <c r="G1366" s="8"/>
      <c r="H1366" s="8"/>
      <c r="I1366" s="8"/>
      <c r="J1366" s="8"/>
      <c r="K1366" s="8"/>
      <c r="L1366" s="8"/>
      <c r="M1366" s="8"/>
      <c r="N1366" s="8"/>
      <c r="O1366" s="8"/>
      <c r="P1366" s="8"/>
      <c r="Q1366" s="8"/>
      <c r="R1366" s="79"/>
      <c r="S1366" s="79"/>
      <c r="T1366" s="79"/>
      <c r="U1366" s="34"/>
      <c r="V1366" s="34"/>
    </row>
    <row r="1367" spans="1:22" ht="15" customHeight="1" x14ac:dyDescent="0.2">
      <c r="A1367" s="38"/>
      <c r="B1367" s="38"/>
      <c r="C1367" s="8"/>
      <c r="D1367" s="8"/>
      <c r="E1367" s="8"/>
      <c r="F1367" s="8"/>
      <c r="G1367" s="8"/>
      <c r="H1367" s="8"/>
      <c r="I1367" s="8"/>
      <c r="J1367" s="8"/>
      <c r="K1367" s="8"/>
      <c r="L1367" s="8"/>
      <c r="M1367" s="8"/>
      <c r="N1367" s="8"/>
      <c r="O1367" s="8"/>
      <c r="P1367" s="8"/>
      <c r="Q1367" s="8"/>
      <c r="R1367" s="79"/>
      <c r="S1367" s="79"/>
      <c r="T1367" s="79"/>
      <c r="U1367" s="34"/>
      <c r="V1367" s="34"/>
    </row>
    <row r="1368" spans="1:22" ht="15" customHeight="1" x14ac:dyDescent="0.2">
      <c r="A1368" s="38"/>
      <c r="B1368" s="38"/>
      <c r="C1368" s="8"/>
      <c r="D1368" s="8"/>
      <c r="E1368" s="8"/>
      <c r="F1368" s="8"/>
      <c r="G1368" s="8"/>
      <c r="H1368" s="8"/>
      <c r="I1368" s="8"/>
      <c r="J1368" s="8"/>
      <c r="K1368" s="8"/>
      <c r="L1368" s="8"/>
      <c r="M1368" s="8"/>
      <c r="N1368" s="8"/>
      <c r="O1368" s="8"/>
      <c r="P1368" s="8"/>
      <c r="Q1368" s="8"/>
      <c r="R1368" s="79"/>
      <c r="S1368" s="79"/>
      <c r="T1368" s="79"/>
      <c r="U1368" s="34"/>
      <c r="V1368" s="34"/>
    </row>
    <row r="1369" spans="1:22" ht="15" customHeight="1" x14ac:dyDescent="0.2">
      <c r="A1369" s="38"/>
      <c r="B1369" s="38"/>
      <c r="C1369" s="8"/>
      <c r="D1369" s="8"/>
      <c r="E1369" s="8"/>
      <c r="F1369" s="8"/>
      <c r="G1369" s="8"/>
      <c r="H1369" s="8"/>
      <c r="I1369" s="8"/>
      <c r="J1369" s="8"/>
      <c r="K1369" s="8"/>
      <c r="L1369" s="8"/>
      <c r="M1369" s="8"/>
      <c r="N1369" s="8"/>
      <c r="O1369" s="8"/>
      <c r="P1369" s="8"/>
      <c r="Q1369" s="8"/>
      <c r="R1369" s="79"/>
      <c r="S1369" s="79"/>
      <c r="T1369" s="79"/>
      <c r="U1369" s="34"/>
      <c r="V1369" s="34"/>
    </row>
    <row r="1370" spans="1:22" ht="15" customHeight="1" x14ac:dyDescent="0.2">
      <c r="A1370" s="38"/>
      <c r="B1370" s="38"/>
      <c r="C1370" s="8"/>
      <c r="D1370" s="8"/>
      <c r="E1370" s="8"/>
      <c r="F1370" s="8"/>
      <c r="G1370" s="8"/>
      <c r="H1370" s="8"/>
      <c r="I1370" s="8"/>
      <c r="J1370" s="8"/>
      <c r="K1370" s="8"/>
      <c r="L1370" s="8"/>
      <c r="M1370" s="8"/>
      <c r="N1370" s="8"/>
      <c r="O1370" s="8"/>
      <c r="P1370" s="8"/>
      <c r="Q1370" s="8"/>
      <c r="R1370" s="79"/>
      <c r="S1370" s="79"/>
      <c r="T1370" s="79"/>
      <c r="U1370" s="34"/>
      <c r="V1370" s="34"/>
    </row>
    <row r="1371" spans="1:22" ht="15" customHeight="1" x14ac:dyDescent="0.2">
      <c r="A1371" s="38"/>
      <c r="B1371" s="38"/>
      <c r="C1371" s="8"/>
      <c r="D1371" s="8"/>
      <c r="E1371" s="8"/>
      <c r="F1371" s="8"/>
      <c r="G1371" s="8"/>
      <c r="H1371" s="8"/>
      <c r="I1371" s="8"/>
      <c r="J1371" s="8"/>
      <c r="K1371" s="8"/>
      <c r="L1371" s="8"/>
      <c r="M1371" s="8"/>
      <c r="N1371" s="8"/>
      <c r="O1371" s="8"/>
      <c r="P1371" s="8"/>
      <c r="Q1371" s="8"/>
      <c r="R1371" s="79"/>
      <c r="S1371" s="79"/>
      <c r="T1371" s="79"/>
      <c r="U1371" s="34"/>
      <c r="V1371" s="34"/>
    </row>
    <row r="1372" spans="1:22" ht="15" customHeight="1" x14ac:dyDescent="0.2">
      <c r="A1372" s="38"/>
      <c r="B1372" s="38"/>
      <c r="C1372" s="8"/>
      <c r="D1372" s="8"/>
      <c r="E1372" s="8"/>
      <c r="F1372" s="8"/>
      <c r="G1372" s="8"/>
      <c r="H1372" s="8"/>
      <c r="I1372" s="8"/>
      <c r="J1372" s="8"/>
      <c r="K1372" s="8"/>
      <c r="L1372" s="8"/>
      <c r="M1372" s="8"/>
      <c r="N1372" s="8"/>
      <c r="O1372" s="8"/>
      <c r="P1372" s="8"/>
      <c r="Q1372" s="8"/>
      <c r="R1372" s="79"/>
      <c r="S1372" s="79"/>
      <c r="T1372" s="79"/>
      <c r="U1372" s="34"/>
      <c r="V1372" s="34"/>
    </row>
    <row r="1373" spans="1:22" ht="15" customHeight="1" x14ac:dyDescent="0.2">
      <c r="A1373" s="38"/>
      <c r="B1373" s="38"/>
      <c r="C1373" s="8"/>
      <c r="D1373" s="8"/>
      <c r="E1373" s="8"/>
      <c r="F1373" s="8"/>
      <c r="G1373" s="8"/>
      <c r="H1373" s="8"/>
      <c r="I1373" s="8"/>
      <c r="J1373" s="8"/>
      <c r="K1373" s="8"/>
      <c r="L1373" s="8"/>
      <c r="M1373" s="8"/>
      <c r="N1373" s="8"/>
      <c r="O1373" s="8"/>
      <c r="P1373" s="8"/>
      <c r="Q1373" s="8"/>
      <c r="R1373" s="79"/>
      <c r="S1373" s="79"/>
      <c r="T1373" s="79"/>
      <c r="U1373" s="34"/>
      <c r="V1373" s="34"/>
    </row>
    <row r="1374" spans="1:22" ht="15" customHeight="1" x14ac:dyDescent="0.2">
      <c r="A1374" s="38"/>
      <c r="B1374" s="38"/>
      <c r="C1374" s="8"/>
      <c r="D1374" s="8"/>
      <c r="E1374" s="8"/>
      <c r="F1374" s="8"/>
      <c r="G1374" s="8"/>
      <c r="H1374" s="8"/>
      <c r="I1374" s="8"/>
      <c r="J1374" s="8"/>
      <c r="K1374" s="8"/>
      <c r="L1374" s="8"/>
      <c r="M1374" s="8"/>
      <c r="N1374" s="8"/>
      <c r="O1374" s="8"/>
      <c r="P1374" s="8"/>
      <c r="Q1374" s="8"/>
      <c r="R1374" s="79"/>
      <c r="S1374" s="79"/>
      <c r="T1374" s="79"/>
      <c r="U1374" s="34"/>
      <c r="V1374" s="34"/>
    </row>
    <row r="1375" spans="1:22" ht="15" customHeight="1" x14ac:dyDescent="0.2">
      <c r="A1375" s="38"/>
      <c r="B1375" s="38"/>
      <c r="C1375" s="8"/>
      <c r="D1375" s="8"/>
      <c r="E1375" s="8"/>
      <c r="F1375" s="8"/>
      <c r="G1375" s="8"/>
      <c r="H1375" s="8"/>
      <c r="I1375" s="8"/>
      <c r="J1375" s="8"/>
      <c r="K1375" s="8"/>
      <c r="L1375" s="8"/>
      <c r="M1375" s="8"/>
      <c r="N1375" s="8"/>
      <c r="O1375" s="8"/>
      <c r="P1375" s="8"/>
      <c r="Q1375" s="8"/>
      <c r="R1375" s="79"/>
      <c r="S1375" s="79"/>
      <c r="T1375" s="79"/>
      <c r="U1375" s="34"/>
      <c r="V1375" s="34"/>
    </row>
    <row r="1376" spans="1:22" ht="15" customHeight="1" x14ac:dyDescent="0.2">
      <c r="A1376" s="38"/>
      <c r="B1376" s="38"/>
      <c r="C1376" s="8"/>
      <c r="D1376" s="8"/>
      <c r="E1376" s="8"/>
      <c r="F1376" s="8"/>
      <c r="G1376" s="8"/>
      <c r="H1376" s="8"/>
      <c r="I1376" s="8"/>
      <c r="J1376" s="8"/>
      <c r="K1376" s="8"/>
      <c r="L1376" s="8"/>
      <c r="M1376" s="8"/>
      <c r="N1376" s="8"/>
      <c r="O1376" s="8"/>
      <c r="P1376" s="8"/>
      <c r="Q1376" s="8"/>
      <c r="R1376" s="79"/>
      <c r="S1376" s="79"/>
      <c r="T1376" s="79"/>
      <c r="U1376" s="34"/>
      <c r="V1376" s="34"/>
    </row>
    <row r="1377" spans="1:22" ht="15" customHeight="1" x14ac:dyDescent="0.2">
      <c r="A1377" s="38"/>
      <c r="B1377" s="38"/>
      <c r="C1377" s="8"/>
      <c r="D1377" s="8"/>
      <c r="E1377" s="8"/>
      <c r="F1377" s="8"/>
      <c r="G1377" s="8"/>
      <c r="H1377" s="8"/>
      <c r="I1377" s="8"/>
      <c r="J1377" s="8"/>
      <c r="K1377" s="8"/>
      <c r="L1377" s="8"/>
      <c r="M1377" s="8"/>
      <c r="N1377" s="8"/>
      <c r="O1377" s="8"/>
      <c r="P1377" s="8"/>
      <c r="Q1377" s="8"/>
      <c r="R1377" s="79"/>
      <c r="S1377" s="79"/>
      <c r="T1377" s="79"/>
      <c r="U1377" s="34"/>
      <c r="V1377" s="34"/>
    </row>
    <row r="1378" spans="1:22" ht="15" customHeight="1" x14ac:dyDescent="0.2">
      <c r="A1378" s="38"/>
      <c r="B1378" s="38"/>
      <c r="C1378" s="8"/>
      <c r="D1378" s="8"/>
      <c r="E1378" s="8"/>
      <c r="F1378" s="8"/>
      <c r="G1378" s="8"/>
      <c r="H1378" s="8"/>
      <c r="I1378" s="8"/>
      <c r="J1378" s="8"/>
      <c r="K1378" s="8"/>
      <c r="L1378" s="8"/>
      <c r="M1378" s="8"/>
      <c r="N1378" s="8"/>
      <c r="O1378" s="8"/>
      <c r="P1378" s="8"/>
      <c r="Q1378" s="8"/>
      <c r="R1378" s="79"/>
      <c r="S1378" s="79"/>
      <c r="T1378" s="79"/>
      <c r="U1378" s="34"/>
      <c r="V1378" s="34"/>
    </row>
    <row r="1379" spans="1:22" ht="15" customHeight="1" x14ac:dyDescent="0.2">
      <c r="A1379" s="38"/>
      <c r="B1379" s="38"/>
      <c r="C1379" s="8"/>
      <c r="D1379" s="8"/>
      <c r="E1379" s="8"/>
      <c r="F1379" s="8"/>
      <c r="G1379" s="8"/>
      <c r="H1379" s="8"/>
      <c r="I1379" s="8"/>
      <c r="J1379" s="8"/>
      <c r="K1379" s="8"/>
      <c r="L1379" s="8"/>
      <c r="M1379" s="8"/>
      <c r="N1379" s="8"/>
      <c r="O1379" s="8"/>
      <c r="P1379" s="8"/>
      <c r="Q1379" s="8"/>
      <c r="R1379" s="79"/>
      <c r="S1379" s="79"/>
      <c r="T1379" s="79"/>
      <c r="U1379" s="34"/>
      <c r="V1379" s="34"/>
    </row>
    <row r="1380" spans="1:22" ht="15" customHeight="1" x14ac:dyDescent="0.2">
      <c r="A1380" s="38"/>
      <c r="B1380" s="38"/>
      <c r="C1380" s="8"/>
      <c r="D1380" s="8"/>
      <c r="E1380" s="8"/>
      <c r="F1380" s="8"/>
      <c r="G1380" s="8"/>
      <c r="H1380" s="8"/>
      <c r="I1380" s="8"/>
      <c r="J1380" s="8"/>
      <c r="K1380" s="8"/>
      <c r="L1380" s="8"/>
      <c r="M1380" s="8"/>
      <c r="N1380" s="8"/>
      <c r="O1380" s="8"/>
      <c r="P1380" s="8"/>
      <c r="Q1380" s="8"/>
      <c r="R1380" s="79"/>
      <c r="S1380" s="79"/>
      <c r="T1380" s="79"/>
      <c r="U1380" s="34"/>
      <c r="V1380" s="34"/>
    </row>
    <row r="1381" spans="1:22" ht="15" customHeight="1" x14ac:dyDescent="0.2">
      <c r="A1381" s="38"/>
      <c r="B1381" s="38"/>
      <c r="C1381" s="8"/>
      <c r="D1381" s="8"/>
      <c r="E1381" s="8"/>
      <c r="F1381" s="8"/>
      <c r="G1381" s="8"/>
      <c r="H1381" s="8"/>
      <c r="I1381" s="8"/>
      <c r="J1381" s="8"/>
      <c r="K1381" s="8"/>
      <c r="L1381" s="8"/>
      <c r="M1381" s="8"/>
      <c r="N1381" s="8"/>
      <c r="O1381" s="8"/>
      <c r="P1381" s="8"/>
      <c r="Q1381" s="8"/>
      <c r="R1381" s="79"/>
      <c r="S1381" s="79"/>
      <c r="T1381" s="79"/>
      <c r="U1381" s="34"/>
      <c r="V1381" s="34"/>
    </row>
    <row r="1382" spans="1:22" ht="15" customHeight="1" x14ac:dyDescent="0.2">
      <c r="A1382" s="38"/>
      <c r="B1382" s="38"/>
      <c r="C1382" s="8"/>
      <c r="D1382" s="8"/>
      <c r="E1382" s="8"/>
      <c r="F1382" s="8"/>
      <c r="G1382" s="8"/>
      <c r="H1382" s="8"/>
      <c r="I1382" s="8"/>
      <c r="J1382" s="8"/>
      <c r="K1382" s="8"/>
      <c r="L1382" s="8"/>
      <c r="M1382" s="8"/>
      <c r="N1382" s="8"/>
      <c r="O1382" s="8"/>
      <c r="P1382" s="8"/>
      <c r="Q1382" s="8"/>
      <c r="R1382" s="79"/>
      <c r="S1382" s="79"/>
      <c r="T1382" s="79"/>
      <c r="U1382" s="34"/>
      <c r="V1382" s="34"/>
    </row>
    <row r="1383" spans="1:22" ht="15" customHeight="1" x14ac:dyDescent="0.2">
      <c r="A1383" s="38"/>
      <c r="B1383" s="38"/>
      <c r="C1383" s="8"/>
      <c r="D1383" s="8"/>
      <c r="E1383" s="8"/>
      <c r="F1383" s="8"/>
      <c r="G1383" s="8"/>
      <c r="H1383" s="8"/>
      <c r="I1383" s="8"/>
      <c r="J1383" s="8"/>
      <c r="K1383" s="8"/>
      <c r="L1383" s="8"/>
      <c r="M1383" s="8"/>
      <c r="N1383" s="8"/>
      <c r="O1383" s="8"/>
      <c r="P1383" s="8"/>
      <c r="Q1383" s="8"/>
      <c r="R1383" s="79"/>
      <c r="S1383" s="79"/>
      <c r="T1383" s="79"/>
      <c r="U1383" s="34"/>
      <c r="V1383" s="34"/>
    </row>
    <row r="1384" spans="1:22" ht="15" customHeight="1" x14ac:dyDescent="0.2">
      <c r="A1384" s="38"/>
      <c r="B1384" s="38"/>
      <c r="C1384" s="8"/>
      <c r="D1384" s="8"/>
      <c r="E1384" s="8"/>
      <c r="F1384" s="8"/>
      <c r="G1384" s="8"/>
      <c r="H1384" s="8"/>
      <c r="I1384" s="8"/>
      <c r="J1384" s="8"/>
      <c r="K1384" s="8"/>
      <c r="L1384" s="8"/>
      <c r="M1384" s="8"/>
      <c r="N1384" s="8"/>
      <c r="O1384" s="8"/>
      <c r="P1384" s="8"/>
      <c r="Q1384" s="8"/>
      <c r="R1384" s="79"/>
      <c r="S1384" s="79"/>
      <c r="T1384" s="79"/>
      <c r="U1384" s="34"/>
      <c r="V1384" s="34"/>
    </row>
    <row r="1385" spans="1:22" ht="15" customHeight="1" x14ac:dyDescent="0.2">
      <c r="A1385" s="38"/>
      <c r="B1385" s="38"/>
      <c r="C1385" s="8"/>
      <c r="D1385" s="8"/>
      <c r="E1385" s="8"/>
      <c r="F1385" s="8"/>
      <c r="G1385" s="8"/>
      <c r="H1385" s="8"/>
      <c r="I1385" s="8"/>
      <c r="J1385" s="8"/>
      <c r="K1385" s="8"/>
      <c r="L1385" s="8"/>
      <c r="M1385" s="8"/>
      <c r="N1385" s="8"/>
      <c r="O1385" s="8"/>
      <c r="P1385" s="8"/>
      <c r="Q1385" s="8"/>
      <c r="R1385" s="79"/>
      <c r="S1385" s="79"/>
      <c r="T1385" s="79"/>
      <c r="U1385" s="34"/>
      <c r="V1385" s="34"/>
    </row>
    <row r="1386" spans="1:22" ht="15" customHeight="1" x14ac:dyDescent="0.2">
      <c r="A1386" s="38"/>
      <c r="B1386" s="38"/>
      <c r="C1386" s="8"/>
      <c r="D1386" s="8"/>
      <c r="E1386" s="8"/>
      <c r="F1386" s="8"/>
      <c r="G1386" s="8"/>
      <c r="H1386" s="8"/>
      <c r="I1386" s="8"/>
      <c r="J1386" s="8"/>
      <c r="K1386" s="8"/>
      <c r="L1386" s="8"/>
      <c r="M1386" s="8"/>
      <c r="N1386" s="8"/>
      <c r="O1386" s="8"/>
      <c r="P1386" s="8"/>
      <c r="Q1386" s="8"/>
      <c r="R1386" s="79"/>
      <c r="S1386" s="79"/>
      <c r="T1386" s="79"/>
      <c r="U1386" s="34"/>
      <c r="V1386" s="34"/>
    </row>
    <row r="1387" spans="1:22" ht="15" customHeight="1" x14ac:dyDescent="0.2">
      <c r="A1387" s="38"/>
      <c r="B1387" s="38"/>
      <c r="C1387" s="8"/>
      <c r="D1387" s="8"/>
      <c r="E1387" s="8"/>
      <c r="F1387" s="8"/>
      <c r="G1387" s="8"/>
      <c r="H1387" s="8"/>
      <c r="I1387" s="8"/>
      <c r="J1387" s="8"/>
      <c r="K1387" s="8"/>
      <c r="L1387" s="8"/>
      <c r="M1387" s="8"/>
      <c r="N1387" s="8"/>
      <c r="O1387" s="8"/>
      <c r="P1387" s="8"/>
      <c r="Q1387" s="8"/>
      <c r="R1387" s="79"/>
      <c r="S1387" s="79"/>
      <c r="T1387" s="79"/>
      <c r="U1387" s="34"/>
      <c r="V1387" s="34"/>
    </row>
    <row r="1388" spans="1:22" ht="15" customHeight="1" x14ac:dyDescent="0.2">
      <c r="A1388" s="38"/>
      <c r="B1388" s="38"/>
      <c r="C1388" s="8"/>
      <c r="D1388" s="8"/>
      <c r="E1388" s="8"/>
      <c r="F1388" s="8"/>
      <c r="G1388" s="8"/>
      <c r="H1388" s="8"/>
      <c r="I1388" s="8"/>
      <c r="J1388" s="8"/>
      <c r="K1388" s="8"/>
      <c r="L1388" s="8"/>
      <c r="M1388" s="8"/>
      <c r="N1388" s="8"/>
      <c r="O1388" s="8"/>
      <c r="P1388" s="8"/>
      <c r="Q1388" s="8"/>
      <c r="R1388" s="79"/>
      <c r="S1388" s="79"/>
      <c r="T1388" s="79"/>
      <c r="U1388" s="34"/>
      <c r="V1388" s="34"/>
    </row>
    <row r="1389" spans="1:22" ht="15" customHeight="1" x14ac:dyDescent="0.2">
      <c r="A1389" s="38"/>
      <c r="B1389" s="38"/>
      <c r="C1389" s="8"/>
      <c r="D1389" s="8"/>
      <c r="E1389" s="8"/>
      <c r="F1389" s="8"/>
      <c r="G1389" s="8"/>
      <c r="H1389" s="8"/>
      <c r="I1389" s="8"/>
      <c r="J1389" s="8"/>
      <c r="K1389" s="8"/>
      <c r="L1389" s="8"/>
      <c r="M1389" s="8"/>
      <c r="N1389" s="8"/>
      <c r="O1389" s="8"/>
      <c r="P1389" s="8"/>
      <c r="Q1389" s="8"/>
      <c r="R1389" s="79"/>
      <c r="S1389" s="79"/>
      <c r="T1389" s="79"/>
      <c r="U1389" s="34"/>
      <c r="V1389" s="34"/>
    </row>
    <row r="1390" spans="1:22" ht="15" customHeight="1" x14ac:dyDescent="0.2">
      <c r="A1390" s="38"/>
      <c r="B1390" s="38"/>
      <c r="C1390" s="8"/>
      <c r="D1390" s="8"/>
      <c r="E1390" s="8"/>
      <c r="F1390" s="8"/>
      <c r="G1390" s="8"/>
      <c r="H1390" s="8"/>
      <c r="I1390" s="8"/>
      <c r="J1390" s="8"/>
      <c r="K1390" s="8"/>
      <c r="L1390" s="8"/>
      <c r="M1390" s="8"/>
      <c r="N1390" s="8"/>
      <c r="O1390" s="8"/>
      <c r="P1390" s="8"/>
      <c r="Q1390" s="8"/>
      <c r="R1390" s="79"/>
      <c r="S1390" s="79"/>
      <c r="T1390" s="79"/>
      <c r="U1390" s="34"/>
      <c r="V1390" s="34"/>
    </row>
    <row r="1391" spans="1:22" ht="15" customHeight="1" x14ac:dyDescent="0.2">
      <c r="A1391" s="38"/>
      <c r="B1391" s="38"/>
      <c r="C1391" s="8"/>
      <c r="D1391" s="8"/>
      <c r="E1391" s="8"/>
      <c r="F1391" s="8"/>
      <c r="G1391" s="8"/>
      <c r="H1391" s="8"/>
      <c r="I1391" s="8"/>
      <c r="J1391" s="8"/>
      <c r="K1391" s="8"/>
      <c r="L1391" s="8"/>
      <c r="M1391" s="8"/>
      <c r="N1391" s="8"/>
      <c r="O1391" s="8"/>
      <c r="P1391" s="8"/>
      <c r="Q1391" s="8"/>
      <c r="R1391" s="79"/>
      <c r="S1391" s="79"/>
      <c r="T1391" s="79"/>
      <c r="U1391" s="34"/>
      <c r="V1391" s="34"/>
    </row>
    <row r="1392" spans="1:22" ht="15" customHeight="1" x14ac:dyDescent="0.2">
      <c r="A1392" s="38"/>
      <c r="B1392" s="38"/>
      <c r="C1392" s="8"/>
      <c r="D1392" s="8"/>
      <c r="E1392" s="8"/>
      <c r="F1392" s="8"/>
      <c r="G1392" s="8"/>
      <c r="H1392" s="8"/>
      <c r="I1392" s="8"/>
      <c r="J1392" s="8"/>
      <c r="K1392" s="8"/>
      <c r="L1392" s="8"/>
      <c r="M1392" s="8"/>
      <c r="N1392" s="8"/>
      <c r="O1392" s="8"/>
      <c r="P1392" s="8"/>
      <c r="Q1392" s="8"/>
      <c r="R1392" s="79"/>
      <c r="S1392" s="79"/>
      <c r="T1392" s="79"/>
      <c r="U1392" s="34"/>
      <c r="V1392" s="34"/>
    </row>
    <row r="1393" spans="1:22" ht="15" customHeight="1" x14ac:dyDescent="0.2">
      <c r="A1393" s="38"/>
      <c r="B1393" s="38"/>
      <c r="C1393" s="8"/>
      <c r="D1393" s="8"/>
      <c r="E1393" s="8"/>
      <c r="F1393" s="8"/>
      <c r="G1393" s="8"/>
      <c r="H1393" s="8"/>
      <c r="I1393" s="8"/>
      <c r="J1393" s="8"/>
      <c r="K1393" s="8"/>
      <c r="L1393" s="8"/>
      <c r="M1393" s="8"/>
      <c r="N1393" s="8"/>
      <c r="O1393" s="8"/>
      <c r="P1393" s="8"/>
      <c r="Q1393" s="8"/>
      <c r="R1393" s="79"/>
      <c r="S1393" s="79"/>
      <c r="T1393" s="79"/>
      <c r="U1393" s="34"/>
      <c r="V1393" s="34"/>
    </row>
    <row r="1394" spans="1:22" ht="15" customHeight="1" x14ac:dyDescent="0.2">
      <c r="A1394" s="38"/>
      <c r="B1394" s="38"/>
      <c r="C1394" s="8"/>
      <c r="D1394" s="8"/>
      <c r="E1394" s="8"/>
      <c r="F1394" s="8"/>
      <c r="G1394" s="8"/>
      <c r="H1394" s="8"/>
      <c r="I1394" s="8"/>
      <c r="J1394" s="8"/>
      <c r="K1394" s="8"/>
      <c r="L1394" s="8"/>
      <c r="M1394" s="8"/>
      <c r="N1394" s="8"/>
      <c r="O1394" s="8"/>
      <c r="P1394" s="8"/>
      <c r="Q1394" s="8"/>
      <c r="R1394" s="79"/>
      <c r="S1394" s="79"/>
      <c r="T1394" s="79"/>
      <c r="U1394" s="34"/>
      <c r="V1394" s="34"/>
    </row>
    <row r="1395" spans="1:22" ht="15" customHeight="1" x14ac:dyDescent="0.2">
      <c r="A1395" s="38"/>
      <c r="B1395" s="38"/>
      <c r="C1395" s="8"/>
      <c r="D1395" s="8"/>
      <c r="E1395" s="8"/>
      <c r="F1395" s="8"/>
      <c r="G1395" s="8"/>
      <c r="H1395" s="8"/>
      <c r="I1395" s="8"/>
      <c r="J1395" s="8"/>
      <c r="K1395" s="8"/>
      <c r="L1395" s="8"/>
      <c r="M1395" s="8"/>
      <c r="N1395" s="8"/>
      <c r="O1395" s="8"/>
      <c r="P1395" s="8"/>
      <c r="Q1395" s="8"/>
      <c r="R1395" s="79"/>
      <c r="S1395" s="79"/>
      <c r="T1395" s="79"/>
      <c r="U1395" s="34"/>
      <c r="V1395" s="34"/>
    </row>
    <row r="1396" spans="1:22" ht="15" customHeight="1" x14ac:dyDescent="0.2">
      <c r="A1396" s="38"/>
      <c r="B1396" s="38"/>
      <c r="C1396" s="8"/>
      <c r="D1396" s="8"/>
      <c r="E1396" s="8"/>
      <c r="F1396" s="8"/>
      <c r="G1396" s="8"/>
      <c r="H1396" s="8"/>
      <c r="I1396" s="8"/>
      <c r="J1396" s="8"/>
      <c r="K1396" s="8"/>
      <c r="L1396" s="8"/>
      <c r="M1396" s="8"/>
      <c r="N1396" s="8"/>
      <c r="O1396" s="8"/>
      <c r="P1396" s="8"/>
      <c r="Q1396" s="8"/>
      <c r="R1396" s="79"/>
      <c r="S1396" s="79"/>
      <c r="T1396" s="79"/>
      <c r="U1396" s="34"/>
      <c r="V1396" s="34"/>
    </row>
    <row r="1397" spans="1:22" ht="15" customHeight="1" x14ac:dyDescent="0.2">
      <c r="A1397" s="38"/>
      <c r="B1397" s="38"/>
      <c r="C1397" s="8"/>
      <c r="D1397" s="8"/>
      <c r="E1397" s="8"/>
      <c r="F1397" s="8"/>
      <c r="G1397" s="8"/>
      <c r="H1397" s="8"/>
      <c r="I1397" s="8"/>
      <c r="J1397" s="8"/>
      <c r="K1397" s="8"/>
      <c r="L1397" s="8"/>
      <c r="M1397" s="8"/>
      <c r="N1397" s="8"/>
      <c r="O1397" s="8"/>
      <c r="P1397" s="8"/>
      <c r="Q1397" s="8"/>
      <c r="R1397" s="79"/>
      <c r="S1397" s="79"/>
      <c r="T1397" s="79"/>
      <c r="U1397" s="34"/>
      <c r="V1397" s="34"/>
    </row>
    <row r="1398" spans="1:22" ht="15" customHeight="1" x14ac:dyDescent="0.2">
      <c r="A1398" s="38"/>
      <c r="B1398" s="38"/>
      <c r="C1398" s="8"/>
      <c r="D1398" s="8"/>
      <c r="E1398" s="8"/>
      <c r="F1398" s="8"/>
      <c r="G1398" s="8"/>
      <c r="H1398" s="8"/>
      <c r="I1398" s="8"/>
      <c r="J1398" s="8"/>
      <c r="K1398" s="8"/>
      <c r="L1398" s="8"/>
      <c r="M1398" s="8"/>
      <c r="N1398" s="8"/>
      <c r="O1398" s="8"/>
      <c r="P1398" s="8"/>
      <c r="Q1398" s="8"/>
      <c r="R1398" s="79"/>
      <c r="S1398" s="79"/>
      <c r="T1398" s="79"/>
      <c r="U1398" s="34"/>
      <c r="V1398" s="34"/>
    </row>
    <row r="1399" spans="1:22" ht="15" customHeight="1" x14ac:dyDescent="0.2">
      <c r="A1399" s="38"/>
      <c r="B1399" s="38"/>
      <c r="C1399" s="8"/>
      <c r="D1399" s="8"/>
      <c r="E1399" s="8"/>
      <c r="F1399" s="8"/>
      <c r="G1399" s="8"/>
      <c r="H1399" s="8"/>
      <c r="I1399" s="8"/>
      <c r="J1399" s="8"/>
      <c r="K1399" s="8"/>
      <c r="L1399" s="8"/>
      <c r="M1399" s="8"/>
      <c r="N1399" s="8"/>
      <c r="O1399" s="8"/>
      <c r="P1399" s="8"/>
      <c r="Q1399" s="8"/>
      <c r="R1399" s="79"/>
      <c r="S1399" s="79"/>
      <c r="T1399" s="79"/>
      <c r="U1399" s="34"/>
      <c r="V1399" s="34"/>
    </row>
    <row r="1400" spans="1:22" ht="15" customHeight="1" x14ac:dyDescent="0.2">
      <c r="A1400" s="38"/>
      <c r="B1400" s="38"/>
      <c r="C1400" s="8"/>
      <c r="D1400" s="8"/>
      <c r="E1400" s="8"/>
      <c r="F1400" s="8"/>
      <c r="G1400" s="8"/>
      <c r="H1400" s="8"/>
      <c r="I1400" s="8"/>
      <c r="J1400" s="8"/>
      <c r="K1400" s="8"/>
      <c r="L1400" s="8"/>
      <c r="M1400" s="8"/>
      <c r="N1400" s="8"/>
      <c r="O1400" s="8"/>
      <c r="P1400" s="8"/>
      <c r="Q1400" s="8"/>
      <c r="R1400" s="79"/>
      <c r="S1400" s="79"/>
      <c r="T1400" s="79"/>
      <c r="U1400" s="34"/>
      <c r="V1400" s="34"/>
    </row>
    <row r="1401" spans="1:22" ht="15" customHeight="1" x14ac:dyDescent="0.2">
      <c r="A1401" s="38"/>
      <c r="B1401" s="38"/>
      <c r="C1401" s="8"/>
      <c r="D1401" s="8"/>
      <c r="E1401" s="8"/>
      <c r="F1401" s="8"/>
      <c r="G1401" s="8"/>
      <c r="H1401" s="8"/>
      <c r="I1401" s="8"/>
      <c r="J1401" s="8"/>
      <c r="K1401" s="8"/>
      <c r="L1401" s="8"/>
      <c r="M1401" s="8"/>
      <c r="N1401" s="8"/>
      <c r="O1401" s="8"/>
      <c r="P1401" s="8"/>
      <c r="Q1401" s="8"/>
      <c r="R1401" s="79"/>
      <c r="S1401" s="79"/>
      <c r="T1401" s="79"/>
      <c r="U1401" s="34"/>
      <c r="V1401" s="34"/>
    </row>
    <row r="1402" spans="1:22" ht="15" customHeight="1" x14ac:dyDescent="0.2">
      <c r="A1402" s="38"/>
      <c r="B1402" s="38"/>
      <c r="C1402" s="8"/>
      <c r="D1402" s="8"/>
      <c r="E1402" s="8"/>
      <c r="F1402" s="8"/>
      <c r="G1402" s="8"/>
      <c r="H1402" s="8"/>
      <c r="I1402" s="8"/>
      <c r="J1402" s="8"/>
      <c r="K1402" s="8"/>
      <c r="L1402" s="8"/>
      <c r="M1402" s="8"/>
      <c r="N1402" s="8"/>
      <c r="O1402" s="8"/>
      <c r="P1402" s="8"/>
      <c r="Q1402" s="8"/>
      <c r="R1402" s="79"/>
      <c r="S1402" s="79"/>
      <c r="T1402" s="79"/>
      <c r="U1402" s="34"/>
      <c r="V1402" s="34"/>
    </row>
    <row r="1403" spans="1:22" ht="15" customHeight="1" x14ac:dyDescent="0.2">
      <c r="A1403" s="38"/>
      <c r="B1403" s="38"/>
      <c r="C1403" s="8"/>
      <c r="D1403" s="8"/>
      <c r="E1403" s="8"/>
      <c r="F1403" s="8"/>
      <c r="G1403" s="8"/>
      <c r="H1403" s="8"/>
      <c r="I1403" s="8"/>
      <c r="J1403" s="8"/>
      <c r="K1403" s="8"/>
      <c r="L1403" s="8"/>
      <c r="M1403" s="8"/>
      <c r="N1403" s="8"/>
      <c r="O1403" s="8"/>
      <c r="P1403" s="8"/>
      <c r="Q1403" s="8"/>
      <c r="R1403" s="79"/>
      <c r="S1403" s="79"/>
      <c r="T1403" s="79"/>
      <c r="U1403" s="34"/>
      <c r="V1403" s="34"/>
    </row>
    <row r="1404" spans="1:22" ht="15" customHeight="1" x14ac:dyDescent="0.2">
      <c r="A1404" s="38"/>
      <c r="B1404" s="38"/>
      <c r="C1404" s="8"/>
      <c r="D1404" s="8"/>
      <c r="E1404" s="8"/>
      <c r="F1404" s="8"/>
      <c r="G1404" s="8"/>
      <c r="H1404" s="8"/>
      <c r="I1404" s="8"/>
      <c r="J1404" s="8"/>
      <c r="K1404" s="8"/>
      <c r="L1404" s="8"/>
      <c r="M1404" s="8"/>
      <c r="N1404" s="8"/>
      <c r="O1404" s="8"/>
      <c r="P1404" s="8"/>
      <c r="Q1404" s="8"/>
      <c r="R1404" s="79"/>
      <c r="S1404" s="79"/>
      <c r="T1404" s="79"/>
      <c r="U1404" s="34"/>
      <c r="V1404" s="34"/>
    </row>
    <row r="1405" spans="1:22" ht="15" customHeight="1" x14ac:dyDescent="0.2">
      <c r="A1405" s="38"/>
      <c r="B1405" s="38"/>
      <c r="C1405" s="8"/>
      <c r="D1405" s="8"/>
      <c r="E1405" s="8"/>
      <c r="F1405" s="8"/>
      <c r="G1405" s="8"/>
      <c r="H1405" s="8"/>
      <c r="I1405" s="8"/>
      <c r="J1405" s="8"/>
      <c r="K1405" s="8"/>
      <c r="L1405" s="8"/>
      <c r="M1405" s="8"/>
      <c r="N1405" s="8"/>
      <c r="O1405" s="8"/>
      <c r="P1405" s="8"/>
      <c r="Q1405" s="8"/>
      <c r="R1405" s="79"/>
      <c r="S1405" s="79"/>
      <c r="T1405" s="79"/>
      <c r="U1405" s="34"/>
      <c r="V1405" s="34"/>
    </row>
    <row r="1406" spans="1:22" ht="15" customHeight="1" x14ac:dyDescent="0.2">
      <c r="A1406" s="38"/>
      <c r="B1406" s="38"/>
      <c r="C1406" s="8"/>
      <c r="D1406" s="8"/>
      <c r="E1406" s="8"/>
      <c r="F1406" s="8"/>
      <c r="G1406" s="8"/>
      <c r="H1406" s="8"/>
      <c r="I1406" s="8"/>
      <c r="J1406" s="8"/>
      <c r="K1406" s="8"/>
      <c r="L1406" s="8"/>
      <c r="M1406" s="8"/>
      <c r="N1406" s="8"/>
      <c r="O1406" s="8"/>
      <c r="P1406" s="8"/>
      <c r="Q1406" s="8"/>
      <c r="R1406" s="79"/>
      <c r="S1406" s="79"/>
      <c r="T1406" s="79"/>
      <c r="U1406" s="34"/>
      <c r="V1406" s="34"/>
    </row>
    <row r="1407" spans="1:22" ht="15" customHeight="1" x14ac:dyDescent="0.2">
      <c r="A1407" s="38"/>
      <c r="B1407" s="38"/>
      <c r="C1407" s="8"/>
      <c r="D1407" s="8"/>
      <c r="E1407" s="8"/>
      <c r="F1407" s="8"/>
      <c r="G1407" s="8"/>
      <c r="H1407" s="8"/>
      <c r="I1407" s="8"/>
      <c r="J1407" s="8"/>
      <c r="K1407" s="8"/>
      <c r="L1407" s="8"/>
      <c r="M1407" s="8"/>
      <c r="N1407" s="8"/>
      <c r="O1407" s="8"/>
      <c r="P1407" s="8"/>
      <c r="Q1407" s="8"/>
      <c r="R1407" s="79"/>
      <c r="S1407" s="79"/>
      <c r="T1407" s="79"/>
      <c r="U1407" s="34"/>
      <c r="V1407" s="34"/>
    </row>
    <row r="1408" spans="1:22" ht="15" customHeight="1" x14ac:dyDescent="0.2">
      <c r="A1408" s="38"/>
      <c r="B1408" s="38"/>
      <c r="C1408" s="8"/>
      <c r="D1408" s="8"/>
      <c r="E1408" s="8"/>
      <c r="F1408" s="8"/>
      <c r="G1408" s="8"/>
      <c r="H1408" s="8"/>
      <c r="I1408" s="8"/>
      <c r="J1408" s="8"/>
      <c r="K1408" s="8"/>
      <c r="L1408" s="8"/>
      <c r="M1408" s="8"/>
      <c r="N1408" s="8"/>
      <c r="O1408" s="8"/>
      <c r="P1408" s="8"/>
      <c r="Q1408" s="8"/>
      <c r="R1408" s="79"/>
      <c r="S1408" s="79"/>
      <c r="T1408" s="79"/>
      <c r="U1408" s="34"/>
      <c r="V1408" s="34"/>
    </row>
    <row r="1409" spans="1:22" ht="15" customHeight="1" x14ac:dyDescent="0.2">
      <c r="A1409" s="38"/>
      <c r="B1409" s="38"/>
      <c r="C1409" s="8"/>
      <c r="D1409" s="8"/>
      <c r="E1409" s="8"/>
      <c r="F1409" s="8"/>
      <c r="G1409" s="8"/>
      <c r="H1409" s="8"/>
      <c r="I1409" s="8"/>
      <c r="J1409" s="8"/>
      <c r="K1409" s="8"/>
      <c r="L1409" s="8"/>
      <c r="M1409" s="8"/>
      <c r="N1409" s="8"/>
      <c r="O1409" s="8"/>
      <c r="P1409" s="8"/>
      <c r="Q1409" s="8"/>
      <c r="R1409" s="79"/>
      <c r="S1409" s="79"/>
      <c r="T1409" s="79"/>
      <c r="U1409" s="34"/>
      <c r="V1409" s="34"/>
    </row>
    <row r="1410" spans="1:22" ht="15" customHeight="1" x14ac:dyDescent="0.2">
      <c r="A1410" s="38"/>
      <c r="B1410" s="38"/>
      <c r="C1410" s="8"/>
      <c r="D1410" s="8"/>
      <c r="E1410" s="8"/>
      <c r="F1410" s="8"/>
      <c r="G1410" s="8"/>
      <c r="H1410" s="8"/>
      <c r="I1410" s="8"/>
      <c r="J1410" s="8"/>
      <c r="K1410" s="8"/>
      <c r="L1410" s="8"/>
      <c r="M1410" s="8"/>
      <c r="N1410" s="8"/>
      <c r="O1410" s="8"/>
      <c r="P1410" s="8"/>
      <c r="Q1410" s="8"/>
      <c r="R1410" s="79"/>
      <c r="S1410" s="79"/>
      <c r="T1410" s="79"/>
      <c r="U1410" s="34"/>
      <c r="V1410" s="34"/>
    </row>
    <row r="1411" spans="1:22" ht="15" customHeight="1" x14ac:dyDescent="0.2">
      <c r="A1411" s="38"/>
      <c r="B1411" s="38"/>
      <c r="C1411" s="8"/>
      <c r="D1411" s="8"/>
      <c r="E1411" s="8"/>
      <c r="F1411" s="8"/>
      <c r="G1411" s="8"/>
      <c r="H1411" s="8"/>
      <c r="I1411" s="8"/>
      <c r="J1411" s="8"/>
      <c r="K1411" s="8"/>
      <c r="L1411" s="8"/>
      <c r="M1411" s="8"/>
      <c r="N1411" s="8"/>
      <c r="O1411" s="8"/>
      <c r="P1411" s="8"/>
      <c r="Q1411" s="8"/>
      <c r="R1411" s="79"/>
      <c r="S1411" s="79"/>
      <c r="T1411" s="79"/>
      <c r="U1411" s="34"/>
      <c r="V1411" s="34"/>
    </row>
    <row r="1412" spans="1:22" ht="15" customHeight="1" x14ac:dyDescent="0.2">
      <c r="A1412" s="38"/>
      <c r="B1412" s="38"/>
      <c r="C1412" s="8"/>
      <c r="D1412" s="8"/>
      <c r="E1412" s="8"/>
      <c r="F1412" s="8"/>
      <c r="G1412" s="8"/>
      <c r="H1412" s="8"/>
      <c r="I1412" s="8"/>
      <c r="J1412" s="8"/>
      <c r="K1412" s="8"/>
      <c r="L1412" s="8"/>
      <c r="M1412" s="8"/>
      <c r="N1412" s="8"/>
      <c r="O1412" s="8"/>
      <c r="P1412" s="8"/>
      <c r="Q1412" s="8"/>
      <c r="R1412" s="79"/>
      <c r="S1412" s="79"/>
      <c r="T1412" s="79"/>
      <c r="U1412" s="34"/>
      <c r="V1412" s="34"/>
    </row>
    <row r="1413" spans="1:22" ht="15" customHeight="1" x14ac:dyDescent="0.2">
      <c r="A1413" s="38"/>
      <c r="B1413" s="38"/>
      <c r="C1413" s="8"/>
      <c r="D1413" s="8"/>
      <c r="E1413" s="8"/>
      <c r="F1413" s="8"/>
      <c r="G1413" s="8"/>
      <c r="H1413" s="8"/>
      <c r="I1413" s="8"/>
      <c r="J1413" s="8"/>
      <c r="K1413" s="8"/>
      <c r="L1413" s="8"/>
      <c r="M1413" s="8"/>
      <c r="N1413" s="8"/>
      <c r="O1413" s="8"/>
      <c r="P1413" s="8"/>
      <c r="Q1413" s="8"/>
      <c r="R1413" s="79"/>
      <c r="S1413" s="79"/>
      <c r="T1413" s="79"/>
      <c r="U1413" s="34"/>
      <c r="V1413" s="34"/>
    </row>
    <row r="1414" spans="1:22" ht="15" customHeight="1" x14ac:dyDescent="0.2">
      <c r="A1414" s="38"/>
      <c r="B1414" s="38"/>
      <c r="C1414" s="8"/>
      <c r="D1414" s="8"/>
      <c r="E1414" s="8"/>
      <c r="F1414" s="8"/>
      <c r="G1414" s="8"/>
      <c r="H1414" s="8"/>
      <c r="I1414" s="8"/>
      <c r="J1414" s="8"/>
      <c r="K1414" s="8"/>
      <c r="L1414" s="8"/>
      <c r="M1414" s="8"/>
      <c r="N1414" s="8"/>
      <c r="O1414" s="8"/>
      <c r="P1414" s="8"/>
      <c r="Q1414" s="8"/>
      <c r="R1414" s="79"/>
      <c r="S1414" s="79"/>
      <c r="T1414" s="79"/>
      <c r="U1414" s="34"/>
      <c r="V1414" s="34"/>
    </row>
    <row r="1415" spans="1:22" ht="15" customHeight="1" x14ac:dyDescent="0.2">
      <c r="A1415" s="38"/>
      <c r="B1415" s="38"/>
      <c r="C1415" s="8"/>
      <c r="D1415" s="8"/>
      <c r="E1415" s="8"/>
      <c r="F1415" s="8"/>
      <c r="G1415" s="8"/>
      <c r="H1415" s="8"/>
      <c r="I1415" s="8"/>
      <c r="J1415" s="8"/>
      <c r="K1415" s="8"/>
      <c r="L1415" s="8"/>
      <c r="M1415" s="8"/>
      <c r="N1415" s="8"/>
      <c r="O1415" s="8"/>
      <c r="P1415" s="8"/>
      <c r="Q1415" s="8"/>
      <c r="R1415" s="79"/>
      <c r="S1415" s="79"/>
      <c r="T1415" s="79"/>
      <c r="U1415" s="34"/>
      <c r="V1415" s="34"/>
    </row>
    <row r="1416" spans="1:22" ht="15" customHeight="1" x14ac:dyDescent="0.2">
      <c r="A1416" s="38"/>
      <c r="B1416" s="38"/>
      <c r="C1416" s="8"/>
      <c r="D1416" s="8"/>
      <c r="E1416" s="8"/>
      <c r="F1416" s="8"/>
      <c r="G1416" s="8"/>
      <c r="H1416" s="8"/>
      <c r="I1416" s="8"/>
      <c r="J1416" s="8"/>
      <c r="K1416" s="8"/>
      <c r="L1416" s="8"/>
      <c r="M1416" s="8"/>
      <c r="N1416" s="8"/>
      <c r="O1416" s="8"/>
      <c r="P1416" s="8"/>
      <c r="Q1416" s="8"/>
      <c r="R1416" s="79"/>
      <c r="S1416" s="79"/>
      <c r="T1416" s="79"/>
      <c r="U1416" s="34"/>
      <c r="V1416" s="34"/>
    </row>
    <row r="1417" spans="1:22" ht="15" customHeight="1" x14ac:dyDescent="0.2">
      <c r="A1417" s="38"/>
      <c r="B1417" s="38"/>
      <c r="C1417" s="8"/>
      <c r="D1417" s="8"/>
      <c r="E1417" s="8"/>
      <c r="F1417" s="8"/>
      <c r="G1417" s="8"/>
      <c r="H1417" s="8"/>
      <c r="I1417" s="8"/>
      <c r="J1417" s="8"/>
      <c r="K1417" s="8"/>
      <c r="L1417" s="8"/>
      <c r="M1417" s="8"/>
      <c r="N1417" s="8"/>
      <c r="O1417" s="8"/>
      <c r="P1417" s="8"/>
      <c r="Q1417" s="8"/>
      <c r="R1417" s="79"/>
      <c r="S1417" s="79"/>
      <c r="T1417" s="79"/>
      <c r="U1417" s="34"/>
      <c r="V1417" s="34"/>
    </row>
    <row r="1418" spans="1:22" ht="15" customHeight="1" x14ac:dyDescent="0.2">
      <c r="A1418" s="38"/>
      <c r="B1418" s="38"/>
      <c r="C1418" s="8"/>
      <c r="D1418" s="8"/>
      <c r="E1418" s="8"/>
      <c r="F1418" s="8"/>
      <c r="G1418" s="8"/>
      <c r="H1418" s="8"/>
      <c r="I1418" s="8"/>
      <c r="J1418" s="8"/>
      <c r="K1418" s="8"/>
      <c r="L1418" s="8"/>
      <c r="M1418" s="8"/>
      <c r="N1418" s="8"/>
      <c r="O1418" s="8"/>
      <c r="P1418" s="8"/>
      <c r="Q1418" s="8"/>
      <c r="R1418" s="79"/>
      <c r="S1418" s="79"/>
      <c r="T1418" s="79"/>
      <c r="U1418" s="34"/>
      <c r="V1418" s="34"/>
    </row>
    <row r="1419" spans="1:22" ht="15" customHeight="1" x14ac:dyDescent="0.2">
      <c r="A1419" s="38"/>
      <c r="B1419" s="38"/>
      <c r="C1419" s="8"/>
      <c r="D1419" s="8"/>
      <c r="E1419" s="8"/>
      <c r="F1419" s="8"/>
      <c r="G1419" s="8"/>
      <c r="H1419" s="8"/>
      <c r="I1419" s="8"/>
      <c r="J1419" s="8"/>
      <c r="K1419" s="8"/>
      <c r="L1419" s="8"/>
      <c r="M1419" s="8"/>
      <c r="N1419" s="8"/>
      <c r="O1419" s="8"/>
      <c r="P1419" s="8"/>
      <c r="Q1419" s="8"/>
      <c r="R1419" s="79"/>
      <c r="S1419" s="79"/>
      <c r="T1419" s="79"/>
      <c r="U1419" s="34"/>
      <c r="V1419" s="34"/>
    </row>
    <row r="1420" spans="1:22" ht="15" customHeight="1" x14ac:dyDescent="0.2">
      <c r="A1420" s="38"/>
      <c r="B1420" s="38"/>
      <c r="C1420" s="8"/>
      <c r="D1420" s="8"/>
      <c r="E1420" s="8"/>
      <c r="F1420" s="8"/>
      <c r="G1420" s="8"/>
      <c r="H1420" s="8"/>
      <c r="I1420" s="8"/>
      <c r="J1420" s="8"/>
      <c r="K1420" s="8"/>
      <c r="L1420" s="8"/>
      <c r="M1420" s="8"/>
      <c r="N1420" s="8"/>
      <c r="O1420" s="8"/>
      <c r="P1420" s="8"/>
      <c r="Q1420" s="8"/>
      <c r="R1420" s="79"/>
      <c r="S1420" s="79"/>
      <c r="T1420" s="79"/>
      <c r="U1420" s="34"/>
      <c r="V1420" s="34"/>
    </row>
    <row r="1421" spans="1:22" ht="15" customHeight="1" x14ac:dyDescent="0.2">
      <c r="A1421" s="38"/>
      <c r="B1421" s="38"/>
      <c r="C1421" s="8"/>
      <c r="D1421" s="8"/>
      <c r="E1421" s="8"/>
      <c r="F1421" s="8"/>
      <c r="G1421" s="8"/>
      <c r="H1421" s="8"/>
      <c r="I1421" s="8"/>
      <c r="J1421" s="8"/>
      <c r="K1421" s="8"/>
      <c r="L1421" s="8"/>
      <c r="M1421" s="8"/>
      <c r="N1421" s="8"/>
      <c r="O1421" s="8"/>
      <c r="P1421" s="8"/>
      <c r="Q1421" s="8"/>
      <c r="R1421" s="79"/>
      <c r="S1421" s="79"/>
      <c r="T1421" s="79"/>
      <c r="U1421" s="34"/>
      <c r="V1421" s="34"/>
    </row>
    <row r="1422" spans="1:22" ht="15" customHeight="1" x14ac:dyDescent="0.2">
      <c r="A1422" s="38"/>
      <c r="B1422" s="38"/>
      <c r="C1422" s="8"/>
      <c r="D1422" s="8"/>
      <c r="E1422" s="8"/>
      <c r="F1422" s="8"/>
      <c r="G1422" s="8"/>
      <c r="H1422" s="8"/>
      <c r="I1422" s="8"/>
      <c r="J1422" s="8"/>
      <c r="K1422" s="8"/>
      <c r="L1422" s="8"/>
      <c r="M1422" s="8"/>
      <c r="N1422" s="8"/>
      <c r="O1422" s="8"/>
      <c r="P1422" s="8"/>
      <c r="Q1422" s="8"/>
      <c r="R1422" s="79"/>
      <c r="S1422" s="79"/>
      <c r="T1422" s="79"/>
      <c r="U1422" s="34"/>
      <c r="V1422" s="34"/>
    </row>
    <row r="1423" spans="1:22" ht="15" customHeight="1" x14ac:dyDescent="0.2">
      <c r="A1423" s="38"/>
      <c r="B1423" s="38"/>
      <c r="C1423" s="8"/>
      <c r="D1423" s="8"/>
      <c r="E1423" s="8"/>
      <c r="F1423" s="8"/>
      <c r="G1423" s="8"/>
      <c r="H1423" s="8"/>
      <c r="I1423" s="8"/>
      <c r="J1423" s="8"/>
      <c r="K1423" s="8"/>
      <c r="L1423" s="8"/>
      <c r="M1423" s="8"/>
      <c r="N1423" s="8"/>
      <c r="O1423" s="8"/>
      <c r="P1423" s="8"/>
      <c r="Q1423" s="8"/>
      <c r="R1423" s="79"/>
      <c r="S1423" s="79"/>
      <c r="T1423" s="79"/>
      <c r="U1423" s="34"/>
      <c r="V1423" s="34"/>
    </row>
    <row r="1424" spans="1:22" ht="15" customHeight="1" x14ac:dyDescent="0.2">
      <c r="A1424" s="38"/>
      <c r="B1424" s="38"/>
      <c r="C1424" s="8"/>
      <c r="D1424" s="8"/>
      <c r="E1424" s="8"/>
      <c r="F1424" s="8"/>
      <c r="G1424" s="8"/>
      <c r="H1424" s="8"/>
      <c r="I1424" s="8"/>
      <c r="J1424" s="8"/>
      <c r="K1424" s="8"/>
      <c r="L1424" s="8"/>
      <c r="M1424" s="8"/>
      <c r="N1424" s="8"/>
      <c r="O1424" s="8"/>
      <c r="P1424" s="8"/>
      <c r="Q1424" s="8"/>
      <c r="R1424" s="79"/>
      <c r="S1424" s="79"/>
      <c r="T1424" s="79"/>
      <c r="U1424" s="34"/>
      <c r="V1424" s="34"/>
    </row>
    <row r="1425" spans="1:22" ht="15" customHeight="1" x14ac:dyDescent="0.2">
      <c r="A1425" s="38"/>
      <c r="B1425" s="38"/>
      <c r="C1425" s="8"/>
      <c r="D1425" s="8"/>
      <c r="E1425" s="8"/>
      <c r="F1425" s="8"/>
      <c r="G1425" s="8"/>
      <c r="H1425" s="8"/>
      <c r="I1425" s="8"/>
      <c r="J1425" s="8"/>
      <c r="K1425" s="8"/>
      <c r="L1425" s="8"/>
      <c r="M1425" s="8"/>
      <c r="N1425" s="8"/>
      <c r="O1425" s="8"/>
      <c r="P1425" s="8"/>
      <c r="Q1425" s="8"/>
      <c r="R1425" s="79"/>
      <c r="S1425" s="79"/>
      <c r="T1425" s="79"/>
      <c r="U1425" s="34"/>
      <c r="V1425" s="34"/>
    </row>
    <row r="1426" spans="1:22" ht="15" customHeight="1" x14ac:dyDescent="0.2">
      <c r="A1426" s="38"/>
      <c r="B1426" s="38"/>
      <c r="C1426" s="8"/>
      <c r="D1426" s="8"/>
      <c r="E1426" s="8"/>
      <c r="F1426" s="8"/>
      <c r="G1426" s="8"/>
      <c r="H1426" s="8"/>
      <c r="I1426" s="8"/>
      <c r="J1426" s="8"/>
      <c r="K1426" s="8"/>
      <c r="L1426" s="8"/>
      <c r="M1426" s="8"/>
      <c r="N1426" s="8"/>
      <c r="O1426" s="8"/>
      <c r="P1426" s="8"/>
      <c r="Q1426" s="8"/>
      <c r="R1426" s="79"/>
      <c r="S1426" s="79"/>
      <c r="T1426" s="79"/>
      <c r="U1426" s="34"/>
      <c r="V1426" s="34"/>
    </row>
    <row r="1427" spans="1:22" ht="15" customHeight="1" x14ac:dyDescent="0.2">
      <c r="A1427" s="38"/>
      <c r="B1427" s="38"/>
      <c r="C1427" s="8"/>
      <c r="D1427" s="8"/>
      <c r="E1427" s="8"/>
      <c r="F1427" s="8"/>
      <c r="G1427" s="8"/>
      <c r="H1427" s="8"/>
      <c r="I1427" s="8"/>
      <c r="J1427" s="8"/>
      <c r="K1427" s="8"/>
      <c r="L1427" s="8"/>
      <c r="M1427" s="8"/>
      <c r="N1427" s="8"/>
      <c r="O1427" s="8"/>
      <c r="P1427" s="8"/>
      <c r="Q1427" s="8"/>
      <c r="R1427" s="79"/>
      <c r="S1427" s="79"/>
      <c r="T1427" s="79"/>
      <c r="U1427" s="34"/>
      <c r="V1427" s="34"/>
    </row>
    <row r="1428" spans="1:22" ht="15" customHeight="1" x14ac:dyDescent="0.2">
      <c r="A1428" s="38"/>
      <c r="B1428" s="38"/>
      <c r="C1428" s="8"/>
      <c r="D1428" s="8"/>
      <c r="E1428" s="8"/>
      <c r="F1428" s="8"/>
      <c r="G1428" s="8"/>
      <c r="H1428" s="8"/>
      <c r="I1428" s="8"/>
      <c r="J1428" s="8"/>
      <c r="K1428" s="8"/>
      <c r="L1428" s="8"/>
      <c r="M1428" s="8"/>
      <c r="N1428" s="8"/>
      <c r="O1428" s="8"/>
      <c r="P1428" s="8"/>
      <c r="Q1428" s="8"/>
      <c r="R1428" s="79"/>
      <c r="S1428" s="79"/>
      <c r="T1428" s="79"/>
      <c r="U1428" s="34"/>
      <c r="V1428" s="34"/>
    </row>
    <row r="1429" spans="1:22" ht="15" customHeight="1" x14ac:dyDescent="0.2">
      <c r="A1429" s="38"/>
      <c r="B1429" s="38"/>
      <c r="C1429" s="8"/>
      <c r="D1429" s="8"/>
      <c r="E1429" s="8"/>
      <c r="F1429" s="8"/>
      <c r="G1429" s="8"/>
      <c r="H1429" s="8"/>
      <c r="I1429" s="8"/>
      <c r="J1429" s="8"/>
      <c r="K1429" s="8"/>
      <c r="L1429" s="8"/>
      <c r="M1429" s="8"/>
      <c r="N1429" s="8"/>
      <c r="O1429" s="8"/>
      <c r="P1429" s="8"/>
      <c r="Q1429" s="8"/>
      <c r="R1429" s="79"/>
      <c r="S1429" s="79"/>
      <c r="T1429" s="79"/>
      <c r="U1429" s="34"/>
      <c r="V1429" s="34"/>
    </row>
    <row r="1430" spans="1:22" ht="15" customHeight="1" x14ac:dyDescent="0.2">
      <c r="A1430" s="38"/>
      <c r="B1430" s="38"/>
      <c r="C1430" s="8"/>
      <c r="D1430" s="8"/>
      <c r="E1430" s="8"/>
      <c r="F1430" s="8"/>
      <c r="G1430" s="8"/>
      <c r="H1430" s="8"/>
      <c r="I1430" s="8"/>
      <c r="J1430" s="8"/>
      <c r="K1430" s="8"/>
      <c r="L1430" s="8"/>
      <c r="M1430" s="8"/>
      <c r="N1430" s="8"/>
      <c r="O1430" s="8"/>
      <c r="P1430" s="8"/>
      <c r="Q1430" s="8"/>
      <c r="R1430" s="79"/>
      <c r="S1430" s="79"/>
      <c r="T1430" s="79"/>
      <c r="U1430" s="34"/>
      <c r="V1430" s="34"/>
    </row>
    <row r="1431" spans="1:22" ht="15" customHeight="1" x14ac:dyDescent="0.2">
      <c r="A1431" s="38"/>
      <c r="B1431" s="38"/>
      <c r="C1431" s="8"/>
      <c r="D1431" s="8"/>
      <c r="E1431" s="8"/>
      <c r="F1431" s="8"/>
      <c r="G1431" s="8"/>
      <c r="H1431" s="8"/>
      <c r="I1431" s="8"/>
      <c r="J1431" s="8"/>
      <c r="K1431" s="8"/>
      <c r="L1431" s="8"/>
      <c r="M1431" s="8"/>
      <c r="N1431" s="8"/>
      <c r="O1431" s="8"/>
      <c r="P1431" s="8"/>
      <c r="Q1431" s="8"/>
      <c r="R1431" s="79"/>
      <c r="S1431" s="79"/>
      <c r="T1431" s="79"/>
      <c r="U1431" s="34"/>
      <c r="V1431" s="34"/>
    </row>
    <row r="1432" spans="1:22" ht="15" customHeight="1" x14ac:dyDescent="0.2">
      <c r="A1432" s="38"/>
      <c r="B1432" s="38"/>
      <c r="C1432" s="8"/>
      <c r="D1432" s="8"/>
      <c r="E1432" s="8"/>
      <c r="F1432" s="8"/>
      <c r="G1432" s="8"/>
      <c r="H1432" s="8"/>
      <c r="I1432" s="8"/>
      <c r="J1432" s="8"/>
      <c r="K1432" s="8"/>
      <c r="L1432" s="8"/>
      <c r="M1432" s="8"/>
      <c r="N1432" s="8"/>
      <c r="O1432" s="8"/>
      <c r="P1432" s="8"/>
      <c r="Q1432" s="8"/>
      <c r="R1432" s="79"/>
      <c r="S1432" s="79"/>
      <c r="T1432" s="79"/>
      <c r="U1432" s="34"/>
      <c r="V1432" s="34"/>
    </row>
    <row r="1433" spans="1:22" ht="15" customHeight="1" x14ac:dyDescent="0.2">
      <c r="A1433" s="38"/>
      <c r="B1433" s="38"/>
      <c r="C1433" s="8"/>
      <c r="D1433" s="8"/>
      <c r="E1433" s="8"/>
      <c r="F1433" s="8"/>
      <c r="G1433" s="8"/>
      <c r="H1433" s="8"/>
      <c r="I1433" s="8"/>
      <c r="J1433" s="8"/>
      <c r="K1433" s="8"/>
      <c r="L1433" s="8"/>
      <c r="M1433" s="8"/>
      <c r="N1433" s="8"/>
      <c r="O1433" s="8"/>
      <c r="P1433" s="8"/>
      <c r="Q1433" s="8"/>
      <c r="R1433" s="79"/>
      <c r="S1433" s="79"/>
      <c r="T1433" s="79"/>
      <c r="U1433" s="34"/>
      <c r="V1433" s="34"/>
    </row>
    <row r="1434" spans="1:22" ht="15" customHeight="1" x14ac:dyDescent="0.2">
      <c r="A1434" s="38"/>
      <c r="B1434" s="38"/>
      <c r="C1434" s="8"/>
      <c r="D1434" s="8"/>
      <c r="E1434" s="8"/>
      <c r="F1434" s="8"/>
      <c r="G1434" s="8"/>
      <c r="H1434" s="8"/>
      <c r="I1434" s="8"/>
      <c r="J1434" s="8"/>
      <c r="K1434" s="8"/>
      <c r="L1434" s="8"/>
      <c r="M1434" s="8"/>
      <c r="N1434" s="8"/>
      <c r="O1434" s="8"/>
      <c r="P1434" s="8"/>
      <c r="Q1434" s="8"/>
      <c r="R1434" s="79"/>
      <c r="S1434" s="79"/>
      <c r="T1434" s="79"/>
      <c r="U1434" s="34"/>
      <c r="V1434" s="34"/>
    </row>
    <row r="1435" spans="1:22" ht="15" customHeight="1" x14ac:dyDescent="0.2">
      <c r="A1435" s="38"/>
      <c r="B1435" s="38"/>
      <c r="C1435" s="8"/>
      <c r="D1435" s="8"/>
      <c r="E1435" s="8"/>
      <c r="F1435" s="8"/>
      <c r="G1435" s="8"/>
      <c r="H1435" s="8"/>
      <c r="I1435" s="8"/>
      <c r="J1435" s="8"/>
      <c r="K1435" s="8"/>
      <c r="L1435" s="8"/>
      <c r="M1435" s="8"/>
      <c r="N1435" s="8"/>
      <c r="O1435" s="8"/>
      <c r="P1435" s="8"/>
      <c r="Q1435" s="8"/>
      <c r="R1435" s="79"/>
      <c r="S1435" s="79"/>
      <c r="T1435" s="79"/>
      <c r="U1435" s="34"/>
      <c r="V1435" s="34"/>
    </row>
    <row r="1436" spans="1:22" ht="15" customHeight="1" x14ac:dyDescent="0.2">
      <c r="A1436" s="38"/>
      <c r="B1436" s="38"/>
      <c r="C1436" s="8"/>
      <c r="D1436" s="8"/>
      <c r="E1436" s="8"/>
      <c r="F1436" s="8"/>
      <c r="G1436" s="8"/>
      <c r="H1436" s="8"/>
      <c r="I1436" s="8"/>
      <c r="J1436" s="8"/>
      <c r="K1436" s="8"/>
      <c r="L1436" s="8"/>
      <c r="M1436" s="8"/>
      <c r="N1436" s="8"/>
      <c r="O1436" s="8"/>
      <c r="P1436" s="8"/>
      <c r="Q1436" s="8"/>
      <c r="R1436" s="79"/>
      <c r="S1436" s="79"/>
      <c r="T1436" s="79"/>
      <c r="U1436" s="34"/>
      <c r="V1436" s="34"/>
    </row>
    <row r="1437" spans="1:22" ht="15" customHeight="1" x14ac:dyDescent="0.2">
      <c r="A1437" s="38"/>
      <c r="B1437" s="38"/>
      <c r="C1437" s="8"/>
      <c r="D1437" s="8"/>
      <c r="E1437" s="8"/>
      <c r="F1437" s="8"/>
      <c r="G1437" s="8"/>
      <c r="H1437" s="8"/>
      <c r="I1437" s="8"/>
      <c r="J1437" s="8"/>
      <c r="K1437" s="8"/>
      <c r="L1437" s="8"/>
      <c r="M1437" s="8"/>
      <c r="N1437" s="8"/>
      <c r="O1437" s="8"/>
      <c r="P1437" s="8"/>
      <c r="Q1437" s="8"/>
      <c r="R1437" s="79"/>
      <c r="S1437" s="79"/>
      <c r="T1437" s="79"/>
      <c r="U1437" s="34"/>
      <c r="V1437" s="34"/>
    </row>
    <row r="1438" spans="1:22" ht="15" customHeight="1" x14ac:dyDescent="0.2">
      <c r="A1438" s="38"/>
      <c r="B1438" s="38"/>
      <c r="C1438" s="8"/>
      <c r="D1438" s="8"/>
      <c r="E1438" s="8"/>
      <c r="F1438" s="8"/>
      <c r="G1438" s="8"/>
      <c r="H1438" s="8"/>
      <c r="I1438" s="8"/>
      <c r="J1438" s="8"/>
      <c r="K1438" s="8"/>
      <c r="L1438" s="8"/>
      <c r="M1438" s="8"/>
      <c r="N1438" s="8"/>
      <c r="O1438" s="8"/>
      <c r="P1438" s="8"/>
      <c r="Q1438" s="8"/>
      <c r="R1438" s="79"/>
      <c r="S1438" s="79"/>
      <c r="T1438" s="79"/>
      <c r="U1438" s="34"/>
      <c r="V1438" s="34"/>
    </row>
    <row r="1439" spans="1:22" ht="15" customHeight="1" x14ac:dyDescent="0.2">
      <c r="A1439" s="38"/>
      <c r="B1439" s="38"/>
      <c r="C1439" s="8"/>
      <c r="D1439" s="8"/>
      <c r="E1439" s="8"/>
      <c r="F1439" s="8"/>
      <c r="G1439" s="8"/>
      <c r="H1439" s="8"/>
      <c r="I1439" s="8"/>
      <c r="J1439" s="8"/>
      <c r="K1439" s="8"/>
      <c r="L1439" s="8"/>
      <c r="M1439" s="8"/>
      <c r="N1439" s="8"/>
      <c r="O1439" s="8"/>
      <c r="P1439" s="8"/>
      <c r="Q1439" s="8"/>
      <c r="R1439" s="79"/>
      <c r="S1439" s="79"/>
      <c r="T1439" s="79"/>
      <c r="U1439" s="34"/>
      <c r="V1439" s="34"/>
    </row>
    <row r="1440" spans="1:22" ht="15" customHeight="1" x14ac:dyDescent="0.2">
      <c r="A1440" s="38"/>
      <c r="B1440" s="38"/>
      <c r="C1440" s="8"/>
      <c r="D1440" s="8"/>
      <c r="E1440" s="8"/>
      <c r="F1440" s="8"/>
      <c r="G1440" s="8"/>
      <c r="H1440" s="8"/>
      <c r="I1440" s="8"/>
      <c r="J1440" s="8"/>
      <c r="K1440" s="8"/>
      <c r="L1440" s="8"/>
      <c r="M1440" s="8"/>
      <c r="N1440" s="8"/>
      <c r="O1440" s="8"/>
      <c r="P1440" s="8"/>
      <c r="Q1440" s="8"/>
      <c r="R1440" s="79"/>
      <c r="S1440" s="79"/>
      <c r="T1440" s="79"/>
      <c r="U1440" s="34"/>
      <c r="V1440" s="34"/>
    </row>
    <row r="1441" spans="1:22" ht="15" customHeight="1" x14ac:dyDescent="0.2">
      <c r="A1441" s="38"/>
      <c r="B1441" s="38"/>
      <c r="C1441" s="8"/>
      <c r="D1441" s="8"/>
      <c r="E1441" s="8"/>
      <c r="F1441" s="8"/>
      <c r="G1441" s="8"/>
      <c r="H1441" s="8"/>
      <c r="I1441" s="8"/>
      <c r="J1441" s="8"/>
      <c r="K1441" s="8"/>
      <c r="L1441" s="8"/>
      <c r="M1441" s="8"/>
      <c r="N1441" s="8"/>
      <c r="O1441" s="8"/>
      <c r="P1441" s="8"/>
      <c r="Q1441" s="8"/>
      <c r="R1441" s="79"/>
      <c r="S1441" s="79"/>
      <c r="T1441" s="79"/>
      <c r="U1441" s="34"/>
      <c r="V1441" s="34"/>
    </row>
    <row r="1442" spans="1:22" ht="15" customHeight="1" x14ac:dyDescent="0.2">
      <c r="A1442" s="38"/>
      <c r="B1442" s="38"/>
      <c r="C1442" s="8"/>
      <c r="D1442" s="8"/>
      <c r="E1442" s="8"/>
      <c r="F1442" s="8"/>
      <c r="G1442" s="8"/>
      <c r="H1442" s="8"/>
      <c r="I1442" s="8"/>
      <c r="J1442" s="8"/>
      <c r="K1442" s="8"/>
      <c r="L1442" s="8"/>
      <c r="M1442" s="8"/>
      <c r="N1442" s="8"/>
      <c r="O1442" s="8"/>
      <c r="P1442" s="8"/>
      <c r="Q1442" s="8"/>
      <c r="R1442" s="79"/>
      <c r="S1442" s="79"/>
      <c r="T1442" s="79"/>
      <c r="U1442" s="34"/>
      <c r="V1442" s="34"/>
    </row>
    <row r="1443" spans="1:22" ht="15" customHeight="1" x14ac:dyDescent="0.2">
      <c r="A1443" s="38"/>
      <c r="B1443" s="38"/>
      <c r="C1443" s="8"/>
      <c r="D1443" s="8"/>
      <c r="E1443" s="8"/>
      <c r="F1443" s="8"/>
      <c r="G1443" s="8"/>
      <c r="H1443" s="8"/>
      <c r="I1443" s="8"/>
      <c r="J1443" s="8"/>
      <c r="K1443" s="8"/>
      <c r="L1443" s="8"/>
      <c r="M1443" s="8"/>
      <c r="N1443" s="8"/>
      <c r="O1443" s="8"/>
      <c r="P1443" s="8"/>
      <c r="Q1443" s="8"/>
      <c r="R1443" s="79"/>
      <c r="S1443" s="79"/>
      <c r="T1443" s="79"/>
      <c r="U1443" s="34"/>
      <c r="V1443" s="34"/>
    </row>
    <row r="1444" spans="1:22" ht="15" customHeight="1" x14ac:dyDescent="0.2">
      <c r="A1444" s="38"/>
      <c r="B1444" s="38"/>
      <c r="C1444" s="8"/>
      <c r="D1444" s="8"/>
      <c r="E1444" s="8"/>
      <c r="F1444" s="8"/>
      <c r="G1444" s="8"/>
      <c r="H1444" s="8"/>
      <c r="I1444" s="8"/>
      <c r="J1444" s="8"/>
      <c r="K1444" s="8"/>
      <c r="L1444" s="8"/>
      <c r="M1444" s="8"/>
      <c r="N1444" s="8"/>
      <c r="O1444" s="8"/>
      <c r="P1444" s="8"/>
      <c r="Q1444" s="8"/>
      <c r="R1444" s="79"/>
      <c r="S1444" s="79"/>
      <c r="T1444" s="79"/>
      <c r="U1444" s="34"/>
      <c r="V1444" s="34"/>
    </row>
    <row r="1445" spans="1:22" ht="15" customHeight="1" x14ac:dyDescent="0.2">
      <c r="A1445" s="38"/>
      <c r="B1445" s="38"/>
      <c r="C1445" s="8"/>
      <c r="D1445" s="8"/>
      <c r="E1445" s="8"/>
      <c r="F1445" s="8"/>
      <c r="G1445" s="8"/>
      <c r="H1445" s="8"/>
      <c r="I1445" s="8"/>
      <c r="J1445" s="8"/>
      <c r="K1445" s="8"/>
      <c r="L1445" s="8"/>
      <c r="M1445" s="8"/>
      <c r="N1445" s="8"/>
      <c r="O1445" s="8"/>
      <c r="P1445" s="8"/>
      <c r="Q1445" s="8"/>
      <c r="R1445" s="79"/>
      <c r="S1445" s="79"/>
      <c r="T1445" s="79"/>
      <c r="U1445" s="34"/>
      <c r="V1445" s="34"/>
    </row>
    <row r="1446" spans="1:22" ht="15" customHeight="1" x14ac:dyDescent="0.2">
      <c r="A1446" s="38"/>
      <c r="B1446" s="38"/>
      <c r="C1446" s="8"/>
      <c r="D1446" s="8"/>
      <c r="E1446" s="8"/>
      <c r="F1446" s="8"/>
      <c r="G1446" s="8"/>
      <c r="H1446" s="8"/>
      <c r="I1446" s="8"/>
      <c r="J1446" s="8"/>
      <c r="K1446" s="8"/>
      <c r="L1446" s="8"/>
      <c r="M1446" s="8"/>
      <c r="N1446" s="8"/>
      <c r="O1446" s="8"/>
      <c r="P1446" s="8"/>
      <c r="Q1446" s="8"/>
      <c r="R1446" s="79"/>
      <c r="S1446" s="79"/>
      <c r="T1446" s="79"/>
      <c r="U1446" s="34"/>
      <c r="V1446" s="34"/>
    </row>
    <row r="1447" spans="1:22" ht="15" customHeight="1" x14ac:dyDescent="0.2">
      <c r="A1447" s="38"/>
      <c r="B1447" s="38"/>
      <c r="C1447" s="8"/>
      <c r="D1447" s="8"/>
      <c r="E1447" s="8"/>
      <c r="F1447" s="8"/>
      <c r="G1447" s="8"/>
      <c r="H1447" s="8"/>
      <c r="I1447" s="8"/>
      <c r="J1447" s="8"/>
      <c r="K1447" s="8"/>
      <c r="L1447" s="8"/>
      <c r="M1447" s="8"/>
      <c r="N1447" s="8"/>
      <c r="O1447" s="8"/>
      <c r="P1447" s="8"/>
      <c r="Q1447" s="8"/>
      <c r="R1447" s="79"/>
      <c r="S1447" s="79"/>
      <c r="T1447" s="79"/>
      <c r="U1447" s="34"/>
      <c r="V1447" s="34"/>
    </row>
    <row r="1448" spans="1:22" ht="15" customHeight="1" x14ac:dyDescent="0.2">
      <c r="A1448" s="38"/>
      <c r="B1448" s="38"/>
      <c r="C1448" s="8"/>
      <c r="D1448" s="8"/>
      <c r="E1448" s="8"/>
      <c r="F1448" s="8"/>
      <c r="G1448" s="8"/>
      <c r="H1448" s="8"/>
      <c r="I1448" s="8"/>
      <c r="J1448" s="8"/>
      <c r="K1448" s="8"/>
      <c r="L1448" s="8"/>
      <c r="M1448" s="8"/>
      <c r="N1448" s="8"/>
      <c r="O1448" s="8"/>
      <c r="P1448" s="8"/>
      <c r="Q1448" s="8"/>
      <c r="R1448" s="79"/>
      <c r="S1448" s="79"/>
      <c r="T1448" s="79"/>
      <c r="U1448" s="34"/>
      <c r="V1448" s="34"/>
    </row>
    <row r="1449" spans="1:22" ht="15" customHeight="1" x14ac:dyDescent="0.2">
      <c r="A1449" s="38"/>
      <c r="B1449" s="38"/>
      <c r="C1449" s="8"/>
      <c r="D1449" s="8"/>
      <c r="E1449" s="8"/>
      <c r="F1449" s="8"/>
      <c r="G1449" s="8"/>
      <c r="H1449" s="8"/>
      <c r="I1449" s="8"/>
      <c r="J1449" s="8"/>
      <c r="K1449" s="8"/>
      <c r="L1449" s="8"/>
      <c r="M1449" s="8"/>
      <c r="N1449" s="8"/>
      <c r="O1449" s="8"/>
      <c r="P1449" s="8"/>
      <c r="Q1449" s="8"/>
      <c r="R1449" s="79"/>
      <c r="S1449" s="79"/>
      <c r="T1449" s="79"/>
      <c r="U1449" s="34"/>
      <c r="V1449" s="34"/>
    </row>
    <row r="1450" spans="1:22" ht="15" customHeight="1" x14ac:dyDescent="0.2">
      <c r="A1450" s="38"/>
      <c r="B1450" s="38"/>
      <c r="C1450" s="8"/>
      <c r="D1450" s="8"/>
      <c r="E1450" s="8"/>
      <c r="F1450" s="8"/>
      <c r="G1450" s="8"/>
      <c r="H1450" s="8"/>
      <c r="I1450" s="8"/>
      <c r="J1450" s="8"/>
      <c r="K1450" s="8"/>
      <c r="L1450" s="8"/>
      <c r="M1450" s="8"/>
      <c r="N1450" s="8"/>
      <c r="O1450" s="8"/>
      <c r="P1450" s="8"/>
      <c r="Q1450" s="8"/>
      <c r="R1450" s="79"/>
      <c r="S1450" s="79"/>
      <c r="T1450" s="79"/>
      <c r="U1450" s="34"/>
      <c r="V1450" s="34"/>
    </row>
    <row r="1451" spans="1:22" ht="15" customHeight="1" x14ac:dyDescent="0.2">
      <c r="A1451" s="38"/>
      <c r="B1451" s="38"/>
      <c r="C1451" s="8"/>
      <c r="D1451" s="8"/>
      <c r="E1451" s="8"/>
      <c r="F1451" s="8"/>
      <c r="G1451" s="8"/>
      <c r="H1451" s="8"/>
      <c r="I1451" s="8"/>
      <c r="J1451" s="8"/>
      <c r="K1451" s="8"/>
      <c r="L1451" s="8"/>
      <c r="M1451" s="8"/>
      <c r="N1451" s="8"/>
      <c r="O1451" s="8"/>
      <c r="P1451" s="8"/>
      <c r="Q1451" s="8"/>
      <c r="R1451" s="79"/>
      <c r="S1451" s="79"/>
      <c r="T1451" s="79"/>
      <c r="U1451" s="34"/>
      <c r="V1451" s="34"/>
    </row>
    <row r="1452" spans="1:22" ht="15" customHeight="1" x14ac:dyDescent="0.2">
      <c r="A1452" s="38"/>
      <c r="B1452" s="38"/>
      <c r="C1452" s="8"/>
      <c r="D1452" s="8"/>
      <c r="E1452" s="8"/>
      <c r="F1452" s="8"/>
      <c r="G1452" s="8"/>
      <c r="H1452" s="8"/>
      <c r="I1452" s="8"/>
      <c r="J1452" s="8"/>
      <c r="K1452" s="8"/>
      <c r="L1452" s="8"/>
      <c r="M1452" s="8"/>
      <c r="N1452" s="8"/>
      <c r="O1452" s="8"/>
      <c r="P1452" s="8"/>
      <c r="Q1452" s="8"/>
      <c r="R1452" s="79"/>
      <c r="S1452" s="79"/>
      <c r="T1452" s="79"/>
      <c r="U1452" s="34"/>
      <c r="V1452" s="34"/>
    </row>
    <row r="1453" spans="1:22" ht="15" customHeight="1" x14ac:dyDescent="0.2">
      <c r="A1453" s="38"/>
      <c r="B1453" s="38"/>
      <c r="C1453" s="8"/>
      <c r="D1453" s="8"/>
      <c r="E1453" s="8"/>
      <c r="F1453" s="8"/>
      <c r="G1453" s="8"/>
      <c r="H1453" s="8"/>
      <c r="I1453" s="8"/>
      <c r="J1453" s="8"/>
      <c r="K1453" s="8"/>
      <c r="L1453" s="8"/>
      <c r="M1453" s="8"/>
      <c r="N1453" s="8"/>
      <c r="O1453" s="8"/>
      <c r="P1453" s="8"/>
      <c r="Q1453" s="8"/>
      <c r="R1453" s="79"/>
      <c r="S1453" s="79"/>
      <c r="T1453" s="79"/>
      <c r="U1453" s="34"/>
      <c r="V1453" s="34"/>
    </row>
    <row r="1454" spans="1:22" ht="15" customHeight="1" x14ac:dyDescent="0.2">
      <c r="A1454" s="38"/>
      <c r="B1454" s="38"/>
      <c r="C1454" s="8"/>
      <c r="D1454" s="8"/>
      <c r="E1454" s="8"/>
      <c r="F1454" s="8"/>
      <c r="G1454" s="8"/>
      <c r="H1454" s="8"/>
      <c r="I1454" s="8"/>
      <c r="J1454" s="8"/>
      <c r="K1454" s="8"/>
      <c r="L1454" s="8"/>
      <c r="M1454" s="8"/>
      <c r="N1454" s="8"/>
      <c r="O1454" s="8"/>
      <c r="P1454" s="8"/>
      <c r="Q1454" s="8"/>
      <c r="R1454" s="79"/>
      <c r="S1454" s="79"/>
      <c r="T1454" s="79"/>
      <c r="U1454" s="34"/>
      <c r="V1454" s="34"/>
    </row>
    <row r="1455" spans="1:22" ht="15" customHeight="1" x14ac:dyDescent="0.2">
      <c r="A1455" s="38"/>
      <c r="B1455" s="38"/>
      <c r="C1455" s="8"/>
      <c r="D1455" s="8"/>
      <c r="E1455" s="8"/>
      <c r="F1455" s="8"/>
      <c r="G1455" s="8"/>
      <c r="H1455" s="8"/>
      <c r="I1455" s="8"/>
      <c r="J1455" s="8"/>
      <c r="K1455" s="8"/>
      <c r="L1455" s="8"/>
      <c r="M1455" s="8"/>
      <c r="N1455" s="8"/>
      <c r="O1455" s="8"/>
      <c r="P1455" s="8"/>
      <c r="Q1455" s="8"/>
      <c r="R1455" s="79"/>
      <c r="S1455" s="79"/>
      <c r="T1455" s="79"/>
      <c r="U1455" s="34"/>
      <c r="V1455" s="34"/>
    </row>
    <row r="1456" spans="1:22" ht="15" customHeight="1" x14ac:dyDescent="0.2">
      <c r="A1456" s="38"/>
      <c r="B1456" s="38"/>
      <c r="C1456" s="8"/>
      <c r="D1456" s="8"/>
      <c r="E1456" s="8"/>
      <c r="F1456" s="8"/>
      <c r="G1456" s="8"/>
      <c r="H1456" s="8"/>
      <c r="I1456" s="8"/>
      <c r="J1456" s="8"/>
      <c r="K1456" s="8"/>
      <c r="L1456" s="8"/>
      <c r="M1456" s="8"/>
      <c r="N1456" s="8"/>
      <c r="O1456" s="8"/>
      <c r="P1456" s="8"/>
      <c r="Q1456" s="8"/>
      <c r="R1456" s="79"/>
      <c r="S1456" s="79"/>
      <c r="T1456" s="79"/>
      <c r="U1456" s="34"/>
      <c r="V1456" s="34"/>
    </row>
    <row r="1457" spans="1:22" ht="15" customHeight="1" x14ac:dyDescent="0.2">
      <c r="A1457" s="38"/>
      <c r="B1457" s="38"/>
      <c r="C1457" s="8"/>
      <c r="D1457" s="8"/>
      <c r="E1457" s="8"/>
      <c r="F1457" s="8"/>
      <c r="G1457" s="8"/>
      <c r="H1457" s="8"/>
      <c r="I1457" s="8"/>
      <c r="J1457" s="8"/>
      <c r="K1457" s="8"/>
      <c r="L1457" s="8"/>
      <c r="M1457" s="8"/>
      <c r="N1457" s="8"/>
      <c r="O1457" s="8"/>
      <c r="P1457" s="8"/>
      <c r="Q1457" s="8"/>
      <c r="R1457" s="79"/>
      <c r="S1457" s="79"/>
      <c r="T1457" s="79"/>
      <c r="U1457" s="34"/>
      <c r="V1457" s="34"/>
    </row>
    <row r="1458" spans="1:22" ht="15" customHeight="1" x14ac:dyDescent="0.2">
      <c r="A1458" s="38"/>
      <c r="B1458" s="38"/>
      <c r="C1458" s="8"/>
      <c r="D1458" s="8"/>
      <c r="E1458" s="8"/>
      <c r="F1458" s="8"/>
      <c r="G1458" s="8"/>
      <c r="H1458" s="8"/>
      <c r="I1458" s="8"/>
      <c r="J1458" s="8"/>
      <c r="K1458" s="8"/>
      <c r="L1458" s="8"/>
      <c r="M1458" s="8"/>
      <c r="N1458" s="8"/>
      <c r="O1458" s="8"/>
      <c r="P1458" s="8"/>
      <c r="Q1458" s="8"/>
      <c r="R1458" s="79"/>
      <c r="S1458" s="79"/>
      <c r="T1458" s="79"/>
      <c r="U1458" s="34"/>
      <c r="V1458" s="34"/>
    </row>
    <row r="1459" spans="1:22" ht="15" customHeight="1" x14ac:dyDescent="0.2">
      <c r="A1459" s="38"/>
      <c r="B1459" s="38"/>
      <c r="C1459" s="8"/>
      <c r="D1459" s="8"/>
      <c r="E1459" s="8"/>
      <c r="F1459" s="8"/>
      <c r="G1459" s="8"/>
      <c r="H1459" s="8"/>
      <c r="I1459" s="8"/>
      <c r="J1459" s="8"/>
      <c r="K1459" s="8"/>
      <c r="L1459" s="8"/>
      <c r="M1459" s="8"/>
      <c r="N1459" s="8"/>
      <c r="O1459" s="8"/>
      <c r="P1459" s="8"/>
      <c r="Q1459" s="8"/>
      <c r="R1459" s="79"/>
      <c r="S1459" s="79"/>
      <c r="T1459" s="79"/>
      <c r="U1459" s="34"/>
      <c r="V1459" s="34"/>
    </row>
    <row r="1460" spans="1:22" ht="15" customHeight="1" x14ac:dyDescent="0.2">
      <c r="A1460" s="38"/>
      <c r="B1460" s="38"/>
      <c r="C1460" s="8"/>
      <c r="D1460" s="8"/>
      <c r="E1460" s="8"/>
      <c r="F1460" s="8"/>
      <c r="G1460" s="8"/>
      <c r="H1460" s="8"/>
      <c r="I1460" s="8"/>
      <c r="J1460" s="8"/>
      <c r="K1460" s="8"/>
      <c r="L1460" s="8"/>
      <c r="M1460" s="8"/>
      <c r="N1460" s="8"/>
      <c r="O1460" s="8"/>
      <c r="P1460" s="8"/>
      <c r="Q1460" s="8"/>
      <c r="R1460" s="79"/>
      <c r="S1460" s="79"/>
      <c r="T1460" s="79"/>
      <c r="U1460" s="34"/>
      <c r="V1460" s="34"/>
    </row>
    <row r="1461" spans="1:22" ht="15" customHeight="1" x14ac:dyDescent="0.2">
      <c r="A1461" s="38"/>
      <c r="B1461" s="38"/>
      <c r="C1461" s="8"/>
      <c r="D1461" s="8"/>
      <c r="E1461" s="8"/>
      <c r="F1461" s="8"/>
      <c r="G1461" s="8"/>
      <c r="H1461" s="8"/>
      <c r="I1461" s="8"/>
      <c r="J1461" s="8"/>
      <c r="K1461" s="8"/>
      <c r="L1461" s="8"/>
      <c r="M1461" s="8"/>
      <c r="N1461" s="8"/>
      <c r="O1461" s="8"/>
      <c r="P1461" s="8"/>
      <c r="Q1461" s="8"/>
      <c r="R1461" s="79"/>
      <c r="S1461" s="79"/>
      <c r="T1461" s="79"/>
      <c r="U1461" s="34"/>
      <c r="V1461" s="34"/>
    </row>
    <row r="1462" spans="1:22" ht="15" customHeight="1" x14ac:dyDescent="0.2">
      <c r="A1462" s="38"/>
      <c r="B1462" s="38"/>
      <c r="C1462" s="8"/>
      <c r="D1462" s="8"/>
      <c r="E1462" s="8"/>
      <c r="F1462" s="8"/>
      <c r="G1462" s="8"/>
      <c r="H1462" s="8"/>
      <c r="I1462" s="8"/>
      <c r="J1462" s="8"/>
      <c r="K1462" s="8"/>
      <c r="L1462" s="8"/>
      <c r="M1462" s="8"/>
      <c r="N1462" s="8"/>
      <c r="O1462" s="8"/>
      <c r="P1462" s="8"/>
      <c r="Q1462" s="8"/>
      <c r="R1462" s="79"/>
      <c r="S1462" s="79"/>
      <c r="T1462" s="79"/>
      <c r="U1462" s="34"/>
      <c r="V1462" s="34"/>
    </row>
    <row r="1463" spans="1:22" ht="15" customHeight="1" x14ac:dyDescent="0.2">
      <c r="A1463" s="38"/>
      <c r="B1463" s="38"/>
      <c r="C1463" s="8"/>
      <c r="D1463" s="8"/>
      <c r="E1463" s="8"/>
      <c r="F1463" s="8"/>
      <c r="G1463" s="8"/>
      <c r="H1463" s="8"/>
      <c r="I1463" s="8"/>
      <c r="J1463" s="8"/>
      <c r="K1463" s="8"/>
      <c r="L1463" s="8"/>
      <c r="M1463" s="8"/>
      <c r="N1463" s="8"/>
      <c r="O1463" s="8"/>
      <c r="P1463" s="8"/>
      <c r="Q1463" s="8"/>
      <c r="R1463" s="79"/>
      <c r="S1463" s="79"/>
      <c r="T1463" s="79"/>
      <c r="U1463" s="34"/>
      <c r="V1463" s="34"/>
    </row>
    <row r="1464" spans="1:22" ht="15" customHeight="1" x14ac:dyDescent="0.2">
      <c r="A1464" s="38"/>
      <c r="B1464" s="38"/>
      <c r="C1464" s="8"/>
      <c r="D1464" s="8"/>
      <c r="E1464" s="8"/>
      <c r="F1464" s="8"/>
      <c r="G1464" s="8"/>
      <c r="H1464" s="8"/>
      <c r="I1464" s="8"/>
      <c r="J1464" s="8"/>
      <c r="K1464" s="8"/>
      <c r="L1464" s="8"/>
      <c r="M1464" s="8"/>
      <c r="N1464" s="8"/>
      <c r="O1464" s="8"/>
      <c r="P1464" s="8"/>
      <c r="Q1464" s="8"/>
      <c r="R1464" s="79"/>
      <c r="S1464" s="79"/>
      <c r="T1464" s="79"/>
      <c r="U1464" s="34"/>
      <c r="V1464" s="34"/>
    </row>
    <row r="1465" spans="1:22" ht="15" customHeight="1" x14ac:dyDescent="0.2">
      <c r="A1465" s="38"/>
      <c r="B1465" s="38"/>
      <c r="C1465" s="8"/>
      <c r="D1465" s="8"/>
      <c r="E1465" s="8"/>
      <c r="F1465" s="8"/>
      <c r="G1465" s="8"/>
      <c r="H1465" s="8"/>
      <c r="I1465" s="8"/>
      <c r="J1465" s="8"/>
      <c r="K1465" s="8"/>
      <c r="L1465" s="8"/>
      <c r="M1465" s="8"/>
      <c r="N1465" s="8"/>
      <c r="O1465" s="8"/>
      <c r="P1465" s="8"/>
      <c r="Q1465" s="8"/>
      <c r="R1465" s="79"/>
      <c r="S1465" s="79"/>
      <c r="T1465" s="79"/>
      <c r="U1465" s="34"/>
      <c r="V1465" s="34"/>
    </row>
    <row r="1466" spans="1:22" ht="15" customHeight="1" x14ac:dyDescent="0.2">
      <c r="A1466" s="38"/>
      <c r="B1466" s="38"/>
      <c r="C1466" s="8"/>
      <c r="D1466" s="8"/>
      <c r="E1466" s="8"/>
      <c r="F1466" s="8"/>
      <c r="G1466" s="8"/>
      <c r="H1466" s="8"/>
      <c r="I1466" s="8"/>
      <c r="J1466" s="8"/>
      <c r="K1466" s="8"/>
      <c r="L1466" s="8"/>
      <c r="M1466" s="8"/>
      <c r="N1466" s="8"/>
      <c r="O1466" s="8"/>
      <c r="P1466" s="8"/>
      <c r="Q1466" s="8"/>
      <c r="R1466" s="79"/>
      <c r="S1466" s="79"/>
      <c r="T1466" s="79"/>
      <c r="U1466" s="34"/>
      <c r="V1466" s="34"/>
    </row>
    <row r="1467" spans="1:22" ht="15" customHeight="1" x14ac:dyDescent="0.2">
      <c r="A1467" s="38"/>
      <c r="B1467" s="38"/>
      <c r="C1467" s="8"/>
      <c r="D1467" s="8"/>
      <c r="E1467" s="8"/>
      <c r="F1467" s="8"/>
      <c r="G1467" s="8"/>
      <c r="H1467" s="8"/>
      <c r="I1467" s="8"/>
      <c r="J1467" s="8"/>
      <c r="K1467" s="8"/>
      <c r="L1467" s="8"/>
      <c r="M1467" s="8"/>
      <c r="N1467" s="8"/>
      <c r="O1467" s="8"/>
      <c r="P1467" s="8"/>
      <c r="Q1467" s="8"/>
      <c r="R1467" s="79"/>
      <c r="S1467" s="79"/>
      <c r="T1467" s="79"/>
      <c r="U1467" s="34"/>
      <c r="V1467" s="34"/>
    </row>
    <row r="1468" spans="1:22" ht="15" customHeight="1" x14ac:dyDescent="0.2">
      <c r="A1468" s="38"/>
      <c r="B1468" s="38"/>
      <c r="C1468" s="8"/>
      <c r="D1468" s="8"/>
      <c r="E1468" s="8"/>
      <c r="F1468" s="8"/>
      <c r="G1468" s="8"/>
      <c r="H1468" s="8"/>
      <c r="I1468" s="8"/>
      <c r="J1468" s="8"/>
      <c r="K1468" s="8"/>
      <c r="L1468" s="8"/>
      <c r="M1468" s="8"/>
      <c r="N1468" s="8"/>
      <c r="O1468" s="8"/>
      <c r="P1468" s="8"/>
      <c r="Q1468" s="8"/>
      <c r="R1468" s="79"/>
      <c r="S1468" s="79"/>
      <c r="T1468" s="79"/>
      <c r="U1468" s="34"/>
      <c r="V1468" s="34"/>
    </row>
    <row r="1469" spans="1:22" ht="15" customHeight="1" x14ac:dyDescent="0.2">
      <c r="A1469" s="38"/>
      <c r="B1469" s="38"/>
      <c r="C1469" s="8"/>
      <c r="D1469" s="8"/>
      <c r="E1469" s="8"/>
      <c r="F1469" s="8"/>
      <c r="G1469" s="8"/>
      <c r="H1469" s="8"/>
      <c r="I1469" s="8"/>
      <c r="J1469" s="8"/>
      <c r="K1469" s="8"/>
      <c r="L1469" s="8"/>
      <c r="M1469" s="8"/>
      <c r="N1469" s="8"/>
      <c r="O1469" s="8"/>
      <c r="P1469" s="8"/>
      <c r="Q1469" s="8"/>
      <c r="R1469" s="79"/>
      <c r="S1469" s="79"/>
      <c r="T1469" s="79"/>
      <c r="U1469" s="34"/>
      <c r="V1469" s="34"/>
    </row>
    <row r="1470" spans="1:22" ht="15" customHeight="1" x14ac:dyDescent="0.2">
      <c r="A1470" s="38"/>
      <c r="B1470" s="38"/>
      <c r="C1470" s="8"/>
      <c r="D1470" s="8"/>
      <c r="E1470" s="8"/>
      <c r="F1470" s="8"/>
      <c r="G1470" s="8"/>
      <c r="H1470" s="8"/>
      <c r="I1470" s="8"/>
      <c r="J1470" s="8"/>
      <c r="K1470" s="8"/>
      <c r="L1470" s="8"/>
      <c r="M1470" s="8"/>
      <c r="N1470" s="8"/>
      <c r="O1470" s="8"/>
      <c r="P1470" s="8"/>
      <c r="Q1470" s="8"/>
      <c r="R1470" s="79"/>
      <c r="S1470" s="79"/>
      <c r="T1470" s="79"/>
      <c r="U1470" s="34"/>
      <c r="V1470" s="34"/>
    </row>
    <row r="1471" spans="1:22" ht="15" customHeight="1" x14ac:dyDescent="0.2">
      <c r="A1471" s="38"/>
      <c r="B1471" s="38"/>
      <c r="C1471" s="8"/>
      <c r="D1471" s="8"/>
      <c r="E1471" s="8"/>
      <c r="F1471" s="8"/>
      <c r="G1471" s="8"/>
      <c r="H1471" s="8"/>
      <c r="I1471" s="8"/>
      <c r="J1471" s="8"/>
      <c r="K1471" s="8"/>
      <c r="L1471" s="8"/>
      <c r="M1471" s="8"/>
      <c r="N1471" s="8"/>
      <c r="O1471" s="8"/>
      <c r="P1471" s="8"/>
      <c r="Q1471" s="8"/>
      <c r="R1471" s="79"/>
      <c r="S1471" s="79"/>
      <c r="T1471" s="79"/>
      <c r="U1471" s="34"/>
      <c r="V1471" s="34"/>
    </row>
    <row r="1472" spans="1:22" ht="15" customHeight="1" x14ac:dyDescent="0.2">
      <c r="A1472" s="38"/>
      <c r="B1472" s="38"/>
      <c r="C1472" s="8"/>
      <c r="D1472" s="8"/>
      <c r="E1472" s="8"/>
      <c r="F1472" s="8"/>
      <c r="G1472" s="8"/>
      <c r="H1472" s="8"/>
      <c r="I1472" s="8"/>
      <c r="J1472" s="8"/>
      <c r="K1472" s="8"/>
      <c r="L1472" s="8"/>
      <c r="M1472" s="8"/>
      <c r="N1472" s="8"/>
      <c r="O1472" s="8"/>
      <c r="P1472" s="8"/>
      <c r="Q1472" s="8"/>
      <c r="R1472" s="79"/>
      <c r="S1472" s="79"/>
      <c r="T1472" s="79"/>
      <c r="U1472" s="34"/>
      <c r="V1472" s="34"/>
    </row>
    <row r="1473" spans="1:22" ht="15" customHeight="1" x14ac:dyDescent="0.2">
      <c r="A1473" s="38"/>
      <c r="B1473" s="38"/>
      <c r="C1473" s="8"/>
      <c r="D1473" s="8"/>
      <c r="E1473" s="8"/>
      <c r="F1473" s="8"/>
      <c r="G1473" s="8"/>
      <c r="H1473" s="8"/>
      <c r="I1473" s="8"/>
      <c r="J1473" s="8"/>
      <c r="K1473" s="8"/>
      <c r="L1473" s="8"/>
      <c r="M1473" s="8"/>
      <c r="N1473" s="8"/>
      <c r="O1473" s="8"/>
      <c r="P1473" s="8"/>
      <c r="Q1473" s="8"/>
      <c r="R1473" s="79"/>
      <c r="S1473" s="79"/>
      <c r="T1473" s="79"/>
      <c r="U1473" s="34"/>
      <c r="V1473" s="34"/>
    </row>
    <row r="1474" spans="1:22" ht="15" customHeight="1" x14ac:dyDescent="0.2">
      <c r="A1474" s="38"/>
      <c r="B1474" s="38"/>
      <c r="C1474" s="8"/>
      <c r="D1474" s="8"/>
      <c r="E1474" s="8"/>
      <c r="F1474" s="8"/>
      <c r="G1474" s="8"/>
      <c r="H1474" s="8"/>
      <c r="I1474" s="8"/>
      <c r="J1474" s="8"/>
      <c r="K1474" s="8"/>
      <c r="L1474" s="8"/>
      <c r="M1474" s="8"/>
      <c r="N1474" s="8"/>
      <c r="O1474" s="8"/>
      <c r="P1474" s="8"/>
      <c r="Q1474" s="8"/>
      <c r="R1474" s="79"/>
      <c r="S1474" s="79"/>
      <c r="T1474" s="79"/>
      <c r="U1474" s="34"/>
      <c r="V1474" s="34"/>
    </row>
  </sheetData>
  <phoneticPr fontId="20" type="noConversion"/>
  <pageMargins left="0.75" right="0.75" top="1" bottom="1" header="0" footer="0"/>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N1480"/>
  <sheetViews>
    <sheetView zoomScale="85" zoomScaleNormal="85" workbookViewId="0">
      <pane xSplit="1" ySplit="3" topLeftCell="I4" activePane="bottomRight" state="frozen"/>
      <selection activeCell="A13" sqref="A13"/>
      <selection pane="topRight" activeCell="A13" sqref="A13"/>
      <selection pane="bottomLeft" activeCell="A13" sqref="A13"/>
      <selection pane="bottomRight" activeCell="N11" sqref="N11"/>
    </sheetView>
  </sheetViews>
  <sheetFormatPr defaultColWidth="14.42578125" defaultRowHeight="15" customHeight="1" x14ac:dyDescent="0.2"/>
  <cols>
    <col min="1" max="1" width="38.28515625" customWidth="1"/>
    <col min="2" max="2" width="93.140625" customWidth="1"/>
    <col min="3" max="11" width="45" customWidth="1"/>
    <col min="12" max="12" width="30.85546875" bestFit="1" customWidth="1"/>
    <col min="13" max="13" width="42.42578125" bestFit="1" customWidth="1"/>
    <col min="14" max="14" width="30.5703125" bestFit="1" customWidth="1"/>
  </cols>
  <sheetData>
    <row r="1" spans="1:14" ht="12.75" customHeight="1" x14ac:dyDescent="0.2">
      <c r="A1" s="5" t="s">
        <v>79</v>
      </c>
      <c r="B1" s="5" t="s">
        <v>80</v>
      </c>
      <c r="C1" s="14" t="s">
        <v>305</v>
      </c>
      <c r="D1" s="15" t="s">
        <v>306</v>
      </c>
      <c r="E1" s="14" t="s">
        <v>314</v>
      </c>
      <c r="F1" s="14" t="s">
        <v>315</v>
      </c>
      <c r="G1" s="15" t="s">
        <v>316</v>
      </c>
      <c r="H1" s="15" t="s">
        <v>317</v>
      </c>
      <c r="I1" s="15" t="s">
        <v>318</v>
      </c>
      <c r="J1" s="14" t="s">
        <v>319</v>
      </c>
      <c r="K1" s="15" t="s">
        <v>320</v>
      </c>
      <c r="L1" s="35" t="s">
        <v>442</v>
      </c>
      <c r="M1" s="35" t="s">
        <v>440</v>
      </c>
      <c r="N1" s="81" t="s">
        <v>472</v>
      </c>
    </row>
    <row r="2" spans="1:14" ht="12.75" customHeight="1" x14ac:dyDescent="0.2">
      <c r="A2" s="5" t="s">
        <v>148</v>
      </c>
      <c r="B2" s="5" t="s">
        <v>149</v>
      </c>
      <c r="C2" s="17" t="s">
        <v>299</v>
      </c>
      <c r="D2" s="17" t="s">
        <v>325</v>
      </c>
      <c r="E2" s="19" t="s">
        <v>334</v>
      </c>
      <c r="F2" s="19" t="s">
        <v>335</v>
      </c>
      <c r="G2" s="19" t="s">
        <v>336</v>
      </c>
      <c r="H2" s="19" t="s">
        <v>337</v>
      </c>
      <c r="I2" s="19" t="s">
        <v>338</v>
      </c>
      <c r="J2" s="19" t="s">
        <v>339</v>
      </c>
      <c r="K2" s="19" t="s">
        <v>340</v>
      </c>
      <c r="L2" s="36" t="s">
        <v>443</v>
      </c>
      <c r="M2" s="36" t="s">
        <v>441</v>
      </c>
      <c r="N2" s="36" t="s">
        <v>473</v>
      </c>
    </row>
    <row r="3" spans="1:14" ht="135.75" customHeight="1" x14ac:dyDescent="0.2">
      <c r="A3" s="9" t="s">
        <v>345</v>
      </c>
      <c r="B3" s="10" t="s">
        <v>346</v>
      </c>
      <c r="C3" s="10" t="s">
        <v>347</v>
      </c>
      <c r="D3" s="10" t="s">
        <v>348</v>
      </c>
      <c r="E3" s="22" t="s">
        <v>349</v>
      </c>
      <c r="F3" s="22" t="s">
        <v>349</v>
      </c>
      <c r="G3" s="22" t="s">
        <v>349</v>
      </c>
      <c r="H3" s="22" t="s">
        <v>349</v>
      </c>
      <c r="I3" s="22" t="s">
        <v>349</v>
      </c>
      <c r="J3" s="22" t="s">
        <v>349</v>
      </c>
      <c r="K3" s="22" t="s">
        <v>349</v>
      </c>
      <c r="L3" s="22"/>
      <c r="M3" s="22"/>
    </row>
    <row r="4" spans="1:14" ht="12.75" customHeight="1" x14ac:dyDescent="0.2">
      <c r="A4" s="5" t="s">
        <v>4</v>
      </c>
      <c r="B4" s="7" t="s">
        <v>4</v>
      </c>
      <c r="C4" s="7" t="s">
        <v>357</v>
      </c>
      <c r="D4" s="7" t="s">
        <v>357</v>
      </c>
      <c r="E4" s="24" t="s">
        <v>357</v>
      </c>
      <c r="F4" s="24" t="s">
        <v>357</v>
      </c>
      <c r="G4" s="24" t="s">
        <v>289</v>
      </c>
      <c r="H4" s="24" t="s">
        <v>289</v>
      </c>
      <c r="I4" s="24" t="s">
        <v>289</v>
      </c>
      <c r="J4" s="24" t="s">
        <v>359</v>
      </c>
      <c r="K4" s="24" t="s">
        <v>360</v>
      </c>
      <c r="L4" s="24" t="s">
        <v>9</v>
      </c>
      <c r="M4" s="24" t="s">
        <v>17</v>
      </c>
    </row>
    <row r="5" spans="1:14" ht="12.75" customHeight="1" x14ac:dyDescent="0.2">
      <c r="A5" s="5" t="s">
        <v>290</v>
      </c>
      <c r="B5" s="7" t="s">
        <v>291</v>
      </c>
      <c r="C5" s="8"/>
      <c r="D5" s="8"/>
      <c r="E5" s="8"/>
      <c r="F5" s="8"/>
      <c r="G5" s="8"/>
      <c r="H5" s="8"/>
      <c r="I5" s="8"/>
      <c r="J5" s="26"/>
      <c r="K5" s="8"/>
      <c r="L5" s="8"/>
      <c r="M5" s="8"/>
    </row>
    <row r="6" spans="1:14" ht="12.75" customHeight="1" x14ac:dyDescent="0.2">
      <c r="A6" s="44" t="s">
        <v>474</v>
      </c>
      <c r="B6" s="44" t="s">
        <v>474</v>
      </c>
      <c r="C6" s="12" t="s">
        <v>474</v>
      </c>
      <c r="D6" s="12" t="s">
        <v>474</v>
      </c>
      <c r="E6" s="12" t="s">
        <v>474</v>
      </c>
      <c r="F6" s="12" t="s">
        <v>474</v>
      </c>
      <c r="G6" s="12" t="s">
        <v>476</v>
      </c>
      <c r="H6" s="12" t="s">
        <v>476</v>
      </c>
      <c r="I6" s="12" t="s">
        <v>476</v>
      </c>
      <c r="J6" s="12" t="s">
        <v>476</v>
      </c>
      <c r="K6" s="12" t="s">
        <v>475</v>
      </c>
      <c r="L6" s="37" t="s">
        <v>474</v>
      </c>
      <c r="M6" s="37" t="s">
        <v>474</v>
      </c>
      <c r="N6" s="37" t="s">
        <v>474</v>
      </c>
    </row>
    <row r="7" spans="1:14" ht="12.75" customHeight="1" x14ac:dyDescent="0.2">
      <c r="A7" s="45" t="s">
        <v>478</v>
      </c>
      <c r="B7" s="45" t="s">
        <v>478</v>
      </c>
      <c r="C7" s="12"/>
      <c r="D7" s="12" t="s">
        <v>497</v>
      </c>
      <c r="E7" s="12" t="s">
        <v>498</v>
      </c>
      <c r="F7" s="12" t="s">
        <v>499</v>
      </c>
      <c r="G7" s="12" t="s">
        <v>336</v>
      </c>
      <c r="H7" s="12" t="s">
        <v>337</v>
      </c>
      <c r="I7" s="12" t="s">
        <v>338</v>
      </c>
      <c r="J7" s="28" t="s">
        <v>500</v>
      </c>
      <c r="K7" s="12"/>
      <c r="L7" s="37"/>
      <c r="M7" s="37" t="s">
        <v>501</v>
      </c>
      <c r="N7" s="37" t="s">
        <v>477</v>
      </c>
    </row>
    <row r="8" spans="1:14" ht="12.75" customHeight="1" x14ac:dyDescent="0.2">
      <c r="A8" s="91" t="str">
        <f>Main!A8</f>
        <v>ZCUS-Vinny-Test</v>
      </c>
      <c r="B8" s="91" t="str">
        <f>A8</f>
        <v>ZCUS-Vinny-Test</v>
      </c>
      <c r="C8" s="92" t="s">
        <v>665</v>
      </c>
      <c r="D8" s="90" t="s">
        <v>1200</v>
      </c>
      <c r="E8" s="90" t="s">
        <v>616</v>
      </c>
      <c r="F8" s="92" t="s">
        <v>894</v>
      </c>
      <c r="G8" s="165">
        <f>ZCONVERT!E10</f>
        <v>0.375</v>
      </c>
      <c r="H8" s="93">
        <f>ZCONVERT!F10</f>
        <v>36</v>
      </c>
      <c r="I8" s="93">
        <f>ZCONVERT!G10</f>
        <v>720</v>
      </c>
      <c r="J8" s="92" t="s">
        <v>1195</v>
      </c>
      <c r="K8" s="8" t="s">
        <v>439</v>
      </c>
      <c r="L8" s="93" t="str">
        <f>F8</f>
        <v>Rubber</v>
      </c>
      <c r="M8" s="90" t="b">
        <v>0</v>
      </c>
      <c r="N8" s="92">
        <v>2</v>
      </c>
    </row>
    <row r="9" spans="1:14" ht="12.75" customHeight="1" x14ac:dyDescent="0.2">
      <c r="A9" s="38"/>
      <c r="B9" s="38"/>
      <c r="C9" s="8"/>
      <c r="D9" s="8"/>
      <c r="E9" s="8"/>
      <c r="F9" s="8"/>
      <c r="G9" s="8"/>
      <c r="H9" s="8"/>
      <c r="I9" s="8"/>
      <c r="J9" s="8"/>
      <c r="K9" s="8"/>
      <c r="L9" s="8"/>
    </row>
    <row r="10" spans="1:14" ht="12.75" customHeight="1" x14ac:dyDescent="0.2">
      <c r="A10" s="38"/>
      <c r="B10" s="38"/>
      <c r="C10" s="8"/>
      <c r="D10" s="8"/>
      <c r="E10" s="8"/>
      <c r="F10" s="8"/>
      <c r="G10" s="8"/>
      <c r="H10" s="8"/>
      <c r="I10" s="8"/>
      <c r="J10" s="8"/>
      <c r="K10" s="8"/>
      <c r="L10" s="8"/>
    </row>
    <row r="11" spans="1:14" ht="12.75" customHeight="1" x14ac:dyDescent="0.2">
      <c r="A11" s="38"/>
      <c r="B11" s="38"/>
      <c r="C11" s="8"/>
      <c r="D11" s="8"/>
      <c r="E11" s="8"/>
      <c r="F11" s="8"/>
      <c r="G11" s="8"/>
      <c r="H11" s="8"/>
      <c r="I11" s="8"/>
      <c r="J11" s="8"/>
      <c r="K11" s="8"/>
      <c r="L11" s="8"/>
    </row>
    <row r="12" spans="1:14" ht="12.75" customHeight="1" x14ac:dyDescent="0.2">
      <c r="A12" s="38"/>
      <c r="B12" s="38"/>
      <c r="C12" s="8"/>
      <c r="D12" s="8"/>
      <c r="E12" s="8"/>
      <c r="F12" s="8"/>
      <c r="G12" s="8"/>
      <c r="H12" s="8"/>
      <c r="I12" s="8"/>
      <c r="J12" s="8"/>
      <c r="K12" s="8"/>
      <c r="L12" s="8"/>
    </row>
    <row r="13" spans="1:14" ht="12.75" customHeight="1" x14ac:dyDescent="0.2">
      <c r="A13" s="38"/>
      <c r="B13" s="38"/>
      <c r="C13" s="8"/>
      <c r="D13" s="8"/>
      <c r="E13" s="8"/>
      <c r="F13" s="8"/>
      <c r="G13" s="8"/>
      <c r="H13" s="8"/>
      <c r="I13" s="8"/>
      <c r="J13" s="8"/>
      <c r="K13" s="8"/>
      <c r="L13" s="8"/>
    </row>
    <row r="14" spans="1:14" ht="12.75" customHeight="1" x14ac:dyDescent="0.2">
      <c r="A14" s="38"/>
      <c r="B14" s="38"/>
      <c r="C14" s="8"/>
      <c r="D14" s="8"/>
      <c r="E14" s="8"/>
      <c r="F14" s="8"/>
      <c r="G14" s="8"/>
      <c r="H14" s="8"/>
      <c r="I14" s="8"/>
      <c r="J14" s="8"/>
      <c r="K14" s="8"/>
      <c r="L14" s="8"/>
    </row>
    <row r="15" spans="1:14" ht="12.75" customHeight="1" x14ac:dyDescent="0.2">
      <c r="A15" s="38"/>
      <c r="B15" s="38"/>
      <c r="C15" s="8"/>
      <c r="D15" s="8"/>
      <c r="E15" s="8"/>
      <c r="F15" s="8"/>
      <c r="G15" s="8"/>
      <c r="H15" s="8"/>
      <c r="I15" s="8"/>
      <c r="J15" s="8"/>
      <c r="K15" s="8"/>
      <c r="L15" s="8"/>
    </row>
    <row r="16" spans="1:14" ht="12.75" customHeight="1" x14ac:dyDescent="0.2">
      <c r="A16" s="38"/>
      <c r="B16" s="38"/>
      <c r="C16" s="8"/>
      <c r="D16" s="8"/>
      <c r="E16" s="8"/>
      <c r="F16" s="8"/>
      <c r="G16" s="8"/>
      <c r="H16" s="8"/>
      <c r="I16" s="8"/>
      <c r="J16" s="8"/>
      <c r="K16" s="8"/>
      <c r="L16" s="8"/>
    </row>
    <row r="17" spans="1:12" ht="12.75" customHeight="1" x14ac:dyDescent="0.2">
      <c r="A17" s="38"/>
      <c r="B17" s="38"/>
      <c r="C17" s="8"/>
      <c r="D17" s="8"/>
      <c r="E17" s="8"/>
      <c r="F17" s="8"/>
      <c r="G17" s="8"/>
      <c r="H17" s="8"/>
      <c r="I17" s="8"/>
      <c r="J17" s="8"/>
      <c r="K17" s="8"/>
      <c r="L17" s="8"/>
    </row>
    <row r="18" spans="1:12" ht="12.75" customHeight="1" x14ac:dyDescent="0.2">
      <c r="A18" s="38"/>
      <c r="B18" s="38"/>
      <c r="C18" s="8"/>
      <c r="D18" s="8"/>
      <c r="E18" s="8"/>
      <c r="F18" s="8"/>
      <c r="G18" s="8"/>
      <c r="H18" s="8"/>
      <c r="I18" s="8"/>
      <c r="J18" s="8"/>
      <c r="K18" s="8"/>
      <c r="L18" s="8"/>
    </row>
    <row r="19" spans="1:12" ht="12.75" customHeight="1" x14ac:dyDescent="0.2">
      <c r="A19" s="38"/>
      <c r="B19" s="38"/>
      <c r="C19" s="8"/>
      <c r="D19" s="8"/>
      <c r="E19" s="8"/>
      <c r="F19" s="8"/>
      <c r="G19" s="8"/>
      <c r="H19" s="8"/>
      <c r="I19" s="8"/>
      <c r="J19" s="8"/>
      <c r="K19" s="8"/>
      <c r="L19" s="8"/>
    </row>
    <row r="20" spans="1:12" ht="12.75" customHeight="1" x14ac:dyDescent="0.2">
      <c r="A20" s="38"/>
      <c r="B20" s="38"/>
      <c r="C20" s="8"/>
      <c r="D20" s="8"/>
      <c r="E20" s="8"/>
      <c r="F20" s="8"/>
      <c r="G20" s="8"/>
      <c r="H20" s="8"/>
      <c r="I20" s="8"/>
      <c r="J20" s="8"/>
      <c r="K20" s="8"/>
      <c r="L20" s="8"/>
    </row>
    <row r="21" spans="1:12" ht="12.75" customHeight="1" x14ac:dyDescent="0.2">
      <c r="A21" s="38"/>
      <c r="B21" s="38"/>
      <c r="C21" s="8"/>
      <c r="D21" s="8"/>
      <c r="E21" s="8"/>
      <c r="F21" s="8"/>
      <c r="G21" s="8"/>
      <c r="H21" s="8"/>
      <c r="I21" s="8"/>
      <c r="J21" s="8"/>
      <c r="K21" s="8"/>
      <c r="L21" s="8"/>
    </row>
    <row r="22" spans="1:12" ht="12.75" customHeight="1" x14ac:dyDescent="0.2">
      <c r="A22" s="38"/>
      <c r="B22" s="38"/>
      <c r="C22" s="8"/>
      <c r="D22" s="8"/>
      <c r="E22" s="8"/>
      <c r="F22" s="8"/>
      <c r="G22" s="8"/>
      <c r="H22" s="8"/>
      <c r="I22" s="8"/>
      <c r="J22" s="8"/>
      <c r="K22" s="8"/>
      <c r="L22" s="8"/>
    </row>
    <row r="23" spans="1:12" ht="12.75" customHeight="1" x14ac:dyDescent="0.2">
      <c r="A23" s="38"/>
      <c r="B23" s="38"/>
      <c r="C23" s="8"/>
      <c r="D23" s="8"/>
      <c r="E23" s="8"/>
      <c r="F23" s="8"/>
      <c r="G23" s="8"/>
      <c r="H23" s="8"/>
      <c r="I23" s="8"/>
      <c r="J23" s="8"/>
      <c r="K23" s="8"/>
      <c r="L23" s="8"/>
    </row>
    <row r="24" spans="1:12" ht="12.75" customHeight="1" x14ac:dyDescent="0.2">
      <c r="A24" s="38"/>
      <c r="B24" s="38"/>
      <c r="C24" s="8"/>
      <c r="D24" s="8"/>
      <c r="E24" s="8"/>
      <c r="F24" s="8"/>
      <c r="G24" s="8"/>
      <c r="H24" s="8"/>
      <c r="I24" s="8"/>
      <c r="J24" s="8"/>
      <c r="K24" s="8"/>
      <c r="L24" s="8"/>
    </row>
    <row r="25" spans="1:12" ht="12.75" customHeight="1" x14ac:dyDescent="0.2">
      <c r="A25" s="38"/>
      <c r="B25" s="38"/>
      <c r="C25" s="8"/>
      <c r="D25" s="8"/>
      <c r="E25" s="8"/>
      <c r="F25" s="8"/>
      <c r="G25" s="8"/>
      <c r="H25" s="8"/>
      <c r="I25" s="8"/>
      <c r="J25" s="8"/>
      <c r="K25" s="8"/>
      <c r="L25" s="8"/>
    </row>
    <row r="26" spans="1:12" ht="12.75" customHeight="1" x14ac:dyDescent="0.2">
      <c r="A26" s="38"/>
      <c r="B26" s="38"/>
      <c r="C26" s="8"/>
      <c r="D26" s="8"/>
      <c r="E26" s="8"/>
      <c r="F26" s="8"/>
      <c r="G26" s="8"/>
      <c r="H26" s="8"/>
      <c r="I26" s="8"/>
      <c r="J26" s="8"/>
      <c r="K26" s="8"/>
      <c r="L26" s="8"/>
    </row>
    <row r="27" spans="1:12" ht="12.75" customHeight="1" x14ac:dyDescent="0.2">
      <c r="A27" s="38"/>
      <c r="B27" s="38"/>
      <c r="C27" s="8"/>
      <c r="D27" s="8"/>
      <c r="E27" s="8"/>
      <c r="F27" s="8"/>
      <c r="G27" s="8"/>
      <c r="H27" s="8"/>
      <c r="I27" s="8"/>
      <c r="J27" s="8"/>
      <c r="K27" s="8"/>
      <c r="L27" s="8"/>
    </row>
    <row r="28" spans="1:12" ht="12.75" customHeight="1" x14ac:dyDescent="0.2">
      <c r="A28" s="38"/>
      <c r="B28" s="38"/>
      <c r="C28" s="8"/>
      <c r="D28" s="8"/>
      <c r="E28" s="8"/>
      <c r="F28" s="8"/>
      <c r="G28" s="8"/>
      <c r="H28" s="8"/>
      <c r="I28" s="8"/>
      <c r="J28" s="8"/>
      <c r="K28" s="8"/>
      <c r="L28" s="8"/>
    </row>
    <row r="29" spans="1:12" ht="12.75" customHeight="1" x14ac:dyDescent="0.2">
      <c r="A29" s="38"/>
      <c r="B29" s="38"/>
      <c r="C29" s="8"/>
      <c r="D29" s="8"/>
      <c r="E29" s="8"/>
      <c r="F29" s="8"/>
      <c r="G29" s="8"/>
      <c r="H29" s="8"/>
      <c r="I29" s="8"/>
      <c r="J29" s="8"/>
      <c r="K29" s="8"/>
      <c r="L29" s="8"/>
    </row>
    <row r="30" spans="1:12" ht="12.75" customHeight="1" x14ac:dyDescent="0.2">
      <c r="A30" s="38"/>
      <c r="B30" s="38"/>
      <c r="C30" s="8"/>
      <c r="D30" s="8"/>
      <c r="E30" s="8"/>
      <c r="F30" s="8"/>
      <c r="G30" s="8"/>
      <c r="H30" s="8"/>
      <c r="I30" s="8"/>
      <c r="J30" s="8"/>
      <c r="K30" s="8"/>
      <c r="L30" s="8"/>
    </row>
    <row r="31" spans="1:12" ht="12.75" customHeight="1" x14ac:dyDescent="0.2">
      <c r="A31" s="38"/>
      <c r="B31" s="38"/>
      <c r="C31" s="8"/>
      <c r="D31" s="8"/>
      <c r="E31" s="8"/>
      <c r="F31" s="8"/>
      <c r="G31" s="8"/>
      <c r="H31" s="8"/>
      <c r="I31" s="8"/>
      <c r="J31" s="8"/>
      <c r="K31" s="8"/>
      <c r="L31" s="8"/>
    </row>
    <row r="32" spans="1:12" ht="12.75" customHeight="1" x14ac:dyDescent="0.2">
      <c r="A32" s="38"/>
      <c r="B32" s="38"/>
      <c r="C32" s="8"/>
      <c r="D32" s="8"/>
      <c r="E32" s="8"/>
      <c r="F32" s="8"/>
      <c r="G32" s="8"/>
      <c r="H32" s="8"/>
      <c r="I32" s="8"/>
      <c r="J32" s="8"/>
      <c r="K32" s="8"/>
      <c r="L32" s="8"/>
    </row>
    <row r="33" spans="1:12" ht="12.75" customHeight="1" x14ac:dyDescent="0.2">
      <c r="A33" s="38"/>
      <c r="B33" s="38"/>
      <c r="C33" s="8"/>
      <c r="D33" s="8"/>
      <c r="E33" s="8"/>
      <c r="F33" s="8"/>
      <c r="G33" s="8"/>
      <c r="H33" s="8"/>
      <c r="I33" s="8"/>
      <c r="J33" s="8"/>
      <c r="K33" s="8"/>
      <c r="L33" s="8"/>
    </row>
    <row r="34" spans="1:12" ht="12.75" customHeight="1" x14ac:dyDescent="0.2">
      <c r="A34" s="38"/>
      <c r="B34" s="38"/>
      <c r="C34" s="8"/>
      <c r="D34" s="8"/>
      <c r="E34" s="8"/>
      <c r="F34" s="8"/>
      <c r="G34" s="8"/>
      <c r="H34" s="8"/>
      <c r="I34" s="8"/>
      <c r="J34" s="8"/>
      <c r="K34" s="8"/>
      <c r="L34" s="8"/>
    </row>
    <row r="35" spans="1:12" ht="12.75" customHeight="1" x14ac:dyDescent="0.2">
      <c r="A35" s="38"/>
      <c r="B35" s="38"/>
      <c r="C35" s="8"/>
      <c r="D35" s="8"/>
      <c r="E35" s="8"/>
      <c r="F35" s="8"/>
      <c r="G35" s="8"/>
      <c r="H35" s="8"/>
      <c r="I35" s="8"/>
      <c r="J35" s="8"/>
      <c r="K35" s="8"/>
      <c r="L35" s="8"/>
    </row>
    <row r="36" spans="1:12" ht="12.75" customHeight="1" x14ac:dyDescent="0.2">
      <c r="A36" s="38"/>
      <c r="B36" s="38"/>
      <c r="C36" s="8"/>
      <c r="D36" s="8"/>
      <c r="E36" s="8"/>
      <c r="F36" s="8"/>
      <c r="G36" s="8"/>
      <c r="H36" s="8"/>
      <c r="I36" s="8"/>
      <c r="J36" s="8"/>
      <c r="K36" s="8"/>
      <c r="L36" s="8"/>
    </row>
    <row r="37" spans="1:12" ht="12.75" customHeight="1" x14ac:dyDescent="0.2">
      <c r="A37" s="38"/>
      <c r="B37" s="38"/>
      <c r="C37" s="8"/>
      <c r="D37" s="8"/>
      <c r="E37" s="8"/>
      <c r="F37" s="8"/>
      <c r="G37" s="8"/>
      <c r="H37" s="8"/>
      <c r="I37" s="8"/>
      <c r="J37" s="8"/>
      <c r="K37" s="8"/>
      <c r="L37" s="8"/>
    </row>
    <row r="38" spans="1:12" ht="12.75" customHeight="1" x14ac:dyDescent="0.2">
      <c r="A38" s="38"/>
      <c r="B38" s="38"/>
      <c r="C38" s="8"/>
      <c r="D38" s="8"/>
      <c r="E38" s="8"/>
      <c r="F38" s="8"/>
      <c r="G38" s="8"/>
      <c r="H38" s="8"/>
      <c r="I38" s="8"/>
      <c r="J38" s="8"/>
      <c r="K38" s="8"/>
      <c r="L38" s="8"/>
    </row>
    <row r="39" spans="1:12" ht="12.75" customHeight="1" x14ac:dyDescent="0.2">
      <c r="A39" s="38"/>
      <c r="B39" s="38"/>
      <c r="C39" s="8"/>
      <c r="D39" s="8"/>
      <c r="E39" s="8"/>
      <c r="F39" s="8"/>
      <c r="G39" s="8"/>
      <c r="H39" s="8"/>
      <c r="I39" s="8"/>
      <c r="J39" s="8"/>
      <c r="K39" s="8"/>
      <c r="L39" s="8"/>
    </row>
    <row r="40" spans="1:12" ht="12.75" customHeight="1" x14ac:dyDescent="0.2">
      <c r="A40" s="38"/>
      <c r="B40" s="38"/>
      <c r="C40" s="8"/>
      <c r="D40" s="8"/>
      <c r="E40" s="8"/>
      <c r="F40" s="8"/>
      <c r="G40" s="8"/>
      <c r="H40" s="8"/>
      <c r="I40" s="8"/>
      <c r="J40" s="8"/>
      <c r="K40" s="8"/>
      <c r="L40" s="8"/>
    </row>
    <row r="41" spans="1:12" ht="12.75" customHeight="1" x14ac:dyDescent="0.2">
      <c r="A41" s="38"/>
      <c r="B41" s="38"/>
      <c r="C41" s="8"/>
      <c r="D41" s="8"/>
      <c r="E41" s="8"/>
      <c r="F41" s="8"/>
      <c r="G41" s="8"/>
      <c r="H41" s="8"/>
      <c r="I41" s="8"/>
      <c r="J41" s="8"/>
      <c r="K41" s="8"/>
      <c r="L41" s="8"/>
    </row>
    <row r="42" spans="1:12" ht="12.75" customHeight="1" x14ac:dyDescent="0.2">
      <c r="A42" s="38"/>
      <c r="B42" s="38"/>
      <c r="C42" s="8"/>
      <c r="D42" s="8"/>
      <c r="E42" s="8"/>
      <c r="F42" s="8"/>
      <c r="G42" s="8"/>
      <c r="H42" s="8"/>
      <c r="I42" s="8"/>
      <c r="J42" s="8"/>
      <c r="K42" s="8"/>
      <c r="L42" s="8"/>
    </row>
    <row r="43" spans="1:12" ht="12.75" customHeight="1" x14ac:dyDescent="0.2">
      <c r="A43" s="38"/>
      <c r="B43" s="38"/>
      <c r="C43" s="8"/>
      <c r="D43" s="8"/>
      <c r="E43" s="8"/>
      <c r="F43" s="8"/>
      <c r="G43" s="8"/>
      <c r="H43" s="8"/>
      <c r="I43" s="8"/>
      <c r="J43" s="8"/>
      <c r="K43" s="8"/>
      <c r="L43" s="8"/>
    </row>
    <row r="44" spans="1:12" ht="12.75" customHeight="1" x14ac:dyDescent="0.2">
      <c r="A44" s="38"/>
      <c r="B44" s="38"/>
      <c r="C44" s="8"/>
      <c r="D44" s="8"/>
      <c r="E44" s="8"/>
      <c r="F44" s="8"/>
      <c r="G44" s="8"/>
      <c r="H44" s="8"/>
      <c r="I44" s="8"/>
      <c r="J44" s="8"/>
      <c r="K44" s="8"/>
      <c r="L44" s="8"/>
    </row>
    <row r="45" spans="1:12" ht="12.75" customHeight="1" x14ac:dyDescent="0.2">
      <c r="A45" s="38"/>
      <c r="B45" s="38"/>
      <c r="C45" s="8"/>
      <c r="D45" s="8"/>
      <c r="E45" s="8"/>
      <c r="F45" s="8"/>
      <c r="G45" s="8"/>
      <c r="H45" s="8"/>
      <c r="I45" s="8"/>
      <c r="J45" s="8"/>
      <c r="K45" s="8"/>
      <c r="L45" s="8"/>
    </row>
    <row r="46" spans="1:12" ht="12.75" customHeight="1" x14ac:dyDescent="0.2">
      <c r="A46" s="38"/>
      <c r="B46" s="38"/>
      <c r="C46" s="8"/>
      <c r="D46" s="8"/>
      <c r="E46" s="8"/>
      <c r="F46" s="8"/>
      <c r="G46" s="8"/>
      <c r="H46" s="8"/>
      <c r="I46" s="8"/>
      <c r="J46" s="8"/>
      <c r="K46" s="8"/>
      <c r="L46" s="8"/>
    </row>
    <row r="47" spans="1:12" ht="12.75" customHeight="1" x14ac:dyDescent="0.2">
      <c r="A47" s="38"/>
      <c r="B47" s="38"/>
      <c r="C47" s="8"/>
      <c r="D47" s="8"/>
      <c r="E47" s="8"/>
      <c r="F47" s="8"/>
      <c r="G47" s="8"/>
      <c r="H47" s="8"/>
      <c r="I47" s="8"/>
      <c r="J47" s="8"/>
      <c r="K47" s="8"/>
      <c r="L47" s="8"/>
    </row>
    <row r="48" spans="1:12" ht="12.75" customHeight="1" x14ac:dyDescent="0.2">
      <c r="A48" s="38"/>
      <c r="B48" s="38"/>
      <c r="C48" s="8"/>
      <c r="D48" s="8"/>
      <c r="E48" s="8"/>
      <c r="F48" s="8"/>
      <c r="G48" s="8"/>
      <c r="H48" s="8"/>
      <c r="I48" s="8"/>
      <c r="J48" s="8"/>
      <c r="K48" s="8"/>
      <c r="L48" s="8"/>
    </row>
    <row r="49" spans="1:12" ht="12.75" customHeight="1" x14ac:dyDescent="0.2">
      <c r="A49" s="38"/>
      <c r="B49" s="38"/>
      <c r="C49" s="8"/>
      <c r="D49" s="8"/>
      <c r="E49" s="8"/>
      <c r="F49" s="8"/>
      <c r="G49" s="8"/>
      <c r="H49" s="8"/>
      <c r="I49" s="8"/>
      <c r="J49" s="8"/>
      <c r="K49" s="8"/>
      <c r="L49" s="8"/>
    </row>
    <row r="50" spans="1:12" ht="12.75" customHeight="1" x14ac:dyDescent="0.2">
      <c r="A50" s="38"/>
      <c r="B50" s="38"/>
      <c r="C50" s="8"/>
      <c r="D50" s="8"/>
      <c r="E50" s="8"/>
      <c r="F50" s="8"/>
      <c r="G50" s="8"/>
      <c r="H50" s="8"/>
      <c r="I50" s="8"/>
      <c r="J50" s="8"/>
      <c r="K50" s="8"/>
      <c r="L50" s="8"/>
    </row>
    <row r="51" spans="1:12" ht="12.75" customHeight="1" x14ac:dyDescent="0.2">
      <c r="A51" s="38"/>
      <c r="B51" s="38"/>
      <c r="C51" s="8"/>
      <c r="D51" s="8"/>
      <c r="E51" s="8"/>
      <c r="F51" s="8"/>
      <c r="G51" s="8"/>
      <c r="H51" s="8"/>
      <c r="I51" s="8"/>
      <c r="J51" s="8"/>
      <c r="K51" s="8"/>
      <c r="L51" s="8"/>
    </row>
    <row r="52" spans="1:12" ht="12.75" customHeight="1" x14ac:dyDescent="0.2">
      <c r="A52" s="38"/>
      <c r="B52" s="38"/>
      <c r="C52" s="8"/>
      <c r="D52" s="8"/>
      <c r="E52" s="8"/>
      <c r="F52" s="8"/>
      <c r="G52" s="8"/>
      <c r="H52" s="8"/>
      <c r="I52" s="8"/>
      <c r="J52" s="8"/>
      <c r="K52" s="8"/>
      <c r="L52" s="8"/>
    </row>
    <row r="53" spans="1:12" ht="12.75" customHeight="1" x14ac:dyDescent="0.2">
      <c r="A53" s="38"/>
      <c r="B53" s="38"/>
      <c r="C53" s="8"/>
      <c r="D53" s="8"/>
      <c r="E53" s="8"/>
      <c r="F53" s="8"/>
      <c r="G53" s="8"/>
      <c r="H53" s="8"/>
      <c r="I53" s="8"/>
      <c r="J53" s="8"/>
      <c r="K53" s="8"/>
      <c r="L53" s="8"/>
    </row>
    <row r="54" spans="1:12" ht="12.75" customHeight="1" x14ac:dyDescent="0.2">
      <c r="A54" s="38"/>
      <c r="B54" s="38"/>
      <c r="C54" s="8"/>
      <c r="D54" s="8"/>
      <c r="E54" s="8"/>
      <c r="F54" s="8"/>
      <c r="G54" s="8"/>
      <c r="H54" s="8"/>
      <c r="I54" s="8"/>
      <c r="J54" s="8"/>
      <c r="K54" s="8"/>
      <c r="L54" s="8"/>
    </row>
    <row r="55" spans="1:12" ht="12.75" customHeight="1" x14ac:dyDescent="0.2">
      <c r="A55" s="38"/>
      <c r="B55" s="38"/>
      <c r="C55" s="8"/>
      <c r="D55" s="8"/>
      <c r="E55" s="8"/>
      <c r="F55" s="8"/>
      <c r="G55" s="8"/>
      <c r="H55" s="8"/>
      <c r="I55" s="8"/>
      <c r="J55" s="8"/>
      <c r="K55" s="8"/>
      <c r="L55" s="8"/>
    </row>
    <row r="56" spans="1:12" ht="12.75" customHeight="1" x14ac:dyDescent="0.2">
      <c r="A56" s="38"/>
      <c r="B56" s="38"/>
      <c r="C56" s="8"/>
      <c r="D56" s="8"/>
      <c r="E56" s="8"/>
      <c r="F56" s="8"/>
      <c r="G56" s="8"/>
      <c r="H56" s="8"/>
      <c r="I56" s="8"/>
      <c r="J56" s="8"/>
      <c r="K56" s="8"/>
      <c r="L56" s="8"/>
    </row>
    <row r="57" spans="1:12" ht="12.75" customHeight="1" x14ac:dyDescent="0.2">
      <c r="A57" s="38"/>
      <c r="B57" s="38"/>
      <c r="C57" s="8"/>
      <c r="D57" s="8"/>
      <c r="E57" s="8"/>
      <c r="F57" s="8"/>
      <c r="G57" s="8"/>
      <c r="H57" s="8"/>
      <c r="I57" s="8"/>
      <c r="J57" s="8"/>
      <c r="K57" s="8"/>
      <c r="L57" s="8"/>
    </row>
    <row r="58" spans="1:12" ht="12.75" customHeight="1" x14ac:dyDescent="0.2">
      <c r="A58" s="38"/>
      <c r="B58" s="38"/>
      <c r="C58" s="8"/>
      <c r="D58" s="8"/>
      <c r="E58" s="8"/>
      <c r="F58" s="8"/>
      <c r="G58" s="8"/>
      <c r="H58" s="8"/>
      <c r="I58" s="8"/>
      <c r="J58" s="8"/>
      <c r="K58" s="8"/>
      <c r="L58" s="8"/>
    </row>
    <row r="59" spans="1:12" ht="12.75" customHeight="1" x14ac:dyDescent="0.2">
      <c r="A59" s="38"/>
      <c r="B59" s="38"/>
      <c r="C59" s="8"/>
      <c r="D59" s="8"/>
      <c r="E59" s="8"/>
      <c r="F59" s="8"/>
      <c r="G59" s="8"/>
      <c r="H59" s="8"/>
      <c r="I59" s="8"/>
      <c r="J59" s="8"/>
      <c r="K59" s="8"/>
      <c r="L59" s="8"/>
    </row>
    <row r="60" spans="1:12" ht="12.75" customHeight="1" x14ac:dyDescent="0.2">
      <c r="A60" s="38"/>
      <c r="B60" s="38"/>
      <c r="C60" s="8"/>
      <c r="D60" s="8"/>
      <c r="E60" s="8"/>
      <c r="F60" s="8"/>
      <c r="G60" s="8"/>
      <c r="H60" s="8"/>
      <c r="I60" s="8"/>
      <c r="J60" s="8"/>
      <c r="K60" s="8"/>
      <c r="L60" s="8"/>
    </row>
    <row r="61" spans="1:12" ht="12.75" customHeight="1" x14ac:dyDescent="0.2">
      <c r="A61" s="38"/>
      <c r="B61" s="38"/>
      <c r="C61" s="8"/>
      <c r="D61" s="8"/>
      <c r="E61" s="8"/>
      <c r="F61" s="8"/>
      <c r="G61" s="8"/>
      <c r="H61" s="8"/>
      <c r="I61" s="8"/>
      <c r="J61" s="8"/>
      <c r="K61" s="8"/>
      <c r="L61" s="8"/>
    </row>
    <row r="62" spans="1:12" ht="12.75" customHeight="1" x14ac:dyDescent="0.2">
      <c r="A62" s="38"/>
      <c r="B62" s="38"/>
      <c r="C62" s="8"/>
      <c r="D62" s="8"/>
      <c r="E62" s="8"/>
      <c r="F62" s="8"/>
      <c r="G62" s="8"/>
      <c r="H62" s="8"/>
      <c r="I62" s="8"/>
      <c r="J62" s="8"/>
      <c r="K62" s="8"/>
      <c r="L62" s="8"/>
    </row>
    <row r="63" spans="1:12" ht="12.75" customHeight="1" x14ac:dyDescent="0.2">
      <c r="A63" s="38"/>
      <c r="B63" s="38"/>
      <c r="C63" s="8"/>
      <c r="D63" s="8"/>
      <c r="E63" s="8"/>
      <c r="F63" s="8"/>
      <c r="G63" s="8"/>
      <c r="H63" s="8"/>
      <c r="I63" s="8"/>
      <c r="J63" s="8"/>
      <c r="K63" s="8"/>
      <c r="L63" s="8"/>
    </row>
    <row r="64" spans="1:12" ht="12.75" customHeight="1" x14ac:dyDescent="0.2">
      <c r="A64" s="38"/>
      <c r="B64" s="38"/>
      <c r="C64" s="8"/>
      <c r="D64" s="8"/>
      <c r="E64" s="8"/>
      <c r="F64" s="8"/>
      <c r="G64" s="8"/>
      <c r="H64" s="8"/>
      <c r="I64" s="8"/>
      <c r="J64" s="8"/>
      <c r="K64" s="8"/>
      <c r="L64" s="8"/>
    </row>
    <row r="65" spans="1:12" ht="12.75" customHeight="1" x14ac:dyDescent="0.2">
      <c r="A65" s="38"/>
      <c r="B65" s="38"/>
      <c r="C65" s="8"/>
      <c r="D65" s="8"/>
      <c r="E65" s="8"/>
      <c r="F65" s="8"/>
      <c r="G65" s="8"/>
      <c r="H65" s="8"/>
      <c r="I65" s="8"/>
      <c r="J65" s="8"/>
      <c r="K65" s="8"/>
      <c r="L65" s="8"/>
    </row>
    <row r="66" spans="1:12" ht="12.75" customHeight="1" x14ac:dyDescent="0.2">
      <c r="A66" s="38"/>
      <c r="B66" s="38"/>
      <c r="C66" s="8"/>
      <c r="D66" s="8"/>
      <c r="E66" s="8"/>
      <c r="F66" s="8"/>
      <c r="G66" s="8"/>
      <c r="H66" s="8"/>
      <c r="I66" s="8"/>
      <c r="J66" s="8"/>
      <c r="K66" s="8"/>
      <c r="L66" s="8"/>
    </row>
    <row r="67" spans="1:12" ht="12.75" customHeight="1" x14ac:dyDescent="0.2">
      <c r="A67" s="38"/>
      <c r="B67" s="38"/>
      <c r="C67" s="8"/>
      <c r="D67" s="8"/>
      <c r="E67" s="8"/>
      <c r="F67" s="8"/>
      <c r="G67" s="8"/>
      <c r="H67" s="8"/>
      <c r="I67" s="8"/>
      <c r="J67" s="8"/>
      <c r="K67" s="8"/>
      <c r="L67" s="8"/>
    </row>
    <row r="68" spans="1:12" ht="12.75" customHeight="1" x14ac:dyDescent="0.2">
      <c r="A68" s="38"/>
      <c r="B68" s="38"/>
      <c r="C68" s="8"/>
      <c r="D68" s="8"/>
      <c r="E68" s="8"/>
      <c r="F68" s="8"/>
      <c r="G68" s="8"/>
      <c r="H68" s="8"/>
      <c r="I68" s="8"/>
      <c r="J68" s="8"/>
      <c r="K68" s="8"/>
      <c r="L68" s="8"/>
    </row>
    <row r="69" spans="1:12" ht="12.75" customHeight="1" x14ac:dyDescent="0.2">
      <c r="A69" s="38"/>
      <c r="B69" s="38"/>
      <c r="C69" s="8"/>
      <c r="D69" s="8"/>
      <c r="E69" s="8"/>
      <c r="F69" s="8"/>
      <c r="G69" s="8"/>
      <c r="H69" s="8"/>
      <c r="I69" s="8"/>
      <c r="J69" s="8"/>
      <c r="K69" s="8"/>
      <c r="L69" s="8"/>
    </row>
    <row r="70" spans="1:12" ht="12.75" customHeight="1" x14ac:dyDescent="0.2">
      <c r="A70" s="38"/>
      <c r="B70" s="38"/>
      <c r="C70" s="8"/>
      <c r="D70" s="8"/>
      <c r="E70" s="8"/>
      <c r="F70" s="8"/>
      <c r="G70" s="8"/>
      <c r="H70" s="8"/>
      <c r="I70" s="8"/>
      <c r="J70" s="8"/>
      <c r="K70" s="8"/>
      <c r="L70" s="8"/>
    </row>
    <row r="71" spans="1:12" ht="12.75" customHeight="1" x14ac:dyDescent="0.2">
      <c r="A71" s="38"/>
      <c r="B71" s="38"/>
      <c r="C71" s="8"/>
      <c r="D71" s="8"/>
      <c r="E71" s="8"/>
      <c r="F71" s="8"/>
      <c r="G71" s="8"/>
      <c r="H71" s="8"/>
      <c r="I71" s="8"/>
      <c r="J71" s="8"/>
      <c r="K71" s="8"/>
      <c r="L71" s="8"/>
    </row>
    <row r="72" spans="1:12" ht="12.75" customHeight="1" x14ac:dyDescent="0.2">
      <c r="A72" s="38"/>
      <c r="B72" s="38"/>
      <c r="C72" s="8"/>
      <c r="D72" s="8"/>
      <c r="E72" s="8"/>
      <c r="F72" s="8"/>
      <c r="G72" s="8"/>
      <c r="H72" s="8"/>
      <c r="I72" s="8"/>
      <c r="J72" s="8"/>
      <c r="K72" s="8"/>
      <c r="L72" s="8"/>
    </row>
    <row r="73" spans="1:12" ht="12.75" customHeight="1" x14ac:dyDescent="0.2">
      <c r="A73" s="38"/>
      <c r="B73" s="38"/>
      <c r="C73" s="8"/>
      <c r="D73" s="8"/>
      <c r="E73" s="8"/>
      <c r="F73" s="8"/>
      <c r="G73" s="8"/>
      <c r="H73" s="8"/>
      <c r="I73" s="8"/>
      <c r="J73" s="8"/>
      <c r="K73" s="8"/>
      <c r="L73" s="8"/>
    </row>
    <row r="74" spans="1:12" ht="12.75" customHeight="1" x14ac:dyDescent="0.2">
      <c r="A74" s="38"/>
      <c r="B74" s="38"/>
      <c r="C74" s="8"/>
      <c r="D74" s="8"/>
      <c r="E74" s="8"/>
      <c r="F74" s="8"/>
      <c r="G74" s="8"/>
      <c r="H74" s="8"/>
      <c r="I74" s="8"/>
      <c r="J74" s="8"/>
      <c r="K74" s="8"/>
      <c r="L74" s="8"/>
    </row>
    <row r="75" spans="1:12" ht="12.75" customHeight="1" x14ac:dyDescent="0.2">
      <c r="A75" s="38"/>
      <c r="B75" s="38"/>
      <c r="C75" s="8"/>
      <c r="D75" s="8"/>
      <c r="E75" s="8"/>
      <c r="F75" s="8"/>
      <c r="G75" s="8"/>
      <c r="H75" s="8"/>
      <c r="I75" s="8"/>
      <c r="J75" s="8"/>
      <c r="K75" s="8"/>
      <c r="L75" s="8"/>
    </row>
    <row r="76" spans="1:12" ht="12.75" customHeight="1" x14ac:dyDescent="0.2">
      <c r="A76" s="38"/>
      <c r="B76" s="38"/>
      <c r="C76" s="8"/>
      <c r="D76" s="8"/>
      <c r="E76" s="8"/>
      <c r="F76" s="8"/>
      <c r="G76" s="8"/>
      <c r="H76" s="8"/>
      <c r="I76" s="8"/>
      <c r="J76" s="8"/>
      <c r="K76" s="8"/>
      <c r="L76" s="8"/>
    </row>
    <row r="77" spans="1:12" ht="12.75" customHeight="1" x14ac:dyDescent="0.2">
      <c r="A77" s="38"/>
      <c r="B77" s="38"/>
      <c r="C77" s="8"/>
      <c r="D77" s="8"/>
      <c r="E77" s="8"/>
      <c r="F77" s="8"/>
      <c r="G77" s="8"/>
      <c r="H77" s="8"/>
      <c r="I77" s="8"/>
      <c r="J77" s="8"/>
      <c r="K77" s="8"/>
      <c r="L77" s="8"/>
    </row>
    <row r="78" spans="1:12" ht="12.75" customHeight="1" x14ac:dyDescent="0.2">
      <c r="A78" s="38"/>
      <c r="B78" s="38"/>
      <c r="C78" s="8"/>
      <c r="D78" s="8"/>
      <c r="E78" s="8"/>
      <c r="F78" s="8"/>
      <c r="G78" s="8"/>
      <c r="H78" s="8"/>
      <c r="I78" s="8"/>
      <c r="J78" s="8"/>
      <c r="K78" s="8"/>
      <c r="L78" s="8"/>
    </row>
    <row r="79" spans="1:12" ht="12.75" customHeight="1" x14ac:dyDescent="0.2">
      <c r="A79" s="38"/>
      <c r="B79" s="38"/>
      <c r="C79" s="8"/>
      <c r="D79" s="8"/>
      <c r="E79" s="8"/>
      <c r="F79" s="8"/>
      <c r="G79" s="8"/>
      <c r="H79" s="8"/>
      <c r="I79" s="8"/>
      <c r="J79" s="8"/>
      <c r="K79" s="8"/>
      <c r="L79" s="8"/>
    </row>
    <row r="80" spans="1:12" ht="12.75" customHeight="1" x14ac:dyDescent="0.2">
      <c r="A80" s="38"/>
      <c r="B80" s="38"/>
      <c r="C80" s="8"/>
      <c r="D80" s="8"/>
      <c r="E80" s="8"/>
      <c r="F80" s="8"/>
      <c r="G80" s="8"/>
      <c r="H80" s="8"/>
      <c r="I80" s="8"/>
      <c r="J80" s="8"/>
      <c r="K80" s="8"/>
      <c r="L80" s="8"/>
    </row>
    <row r="81" spans="1:12" ht="12.75" customHeight="1" x14ac:dyDescent="0.2">
      <c r="A81" s="38"/>
      <c r="B81" s="38"/>
      <c r="C81" s="8"/>
      <c r="D81" s="8"/>
      <c r="E81" s="8"/>
      <c r="F81" s="8"/>
      <c r="G81" s="8"/>
      <c r="H81" s="8"/>
      <c r="I81" s="8"/>
      <c r="J81" s="8"/>
      <c r="K81" s="8"/>
      <c r="L81" s="8"/>
    </row>
    <row r="82" spans="1:12" ht="12.75" customHeight="1" x14ac:dyDescent="0.2">
      <c r="A82" s="38"/>
      <c r="B82" s="38"/>
      <c r="C82" s="8"/>
      <c r="D82" s="8"/>
      <c r="E82" s="8"/>
      <c r="F82" s="8"/>
      <c r="G82" s="8"/>
      <c r="H82" s="8"/>
      <c r="I82" s="8"/>
      <c r="J82" s="8"/>
      <c r="K82" s="8"/>
      <c r="L82" s="8"/>
    </row>
    <row r="83" spans="1:12" ht="12.75" customHeight="1" x14ac:dyDescent="0.2">
      <c r="A83" s="38"/>
      <c r="B83" s="38"/>
      <c r="C83" s="8"/>
      <c r="D83" s="8"/>
      <c r="E83" s="8"/>
      <c r="F83" s="8"/>
      <c r="G83" s="8"/>
      <c r="H83" s="8"/>
      <c r="I83" s="8"/>
      <c r="J83" s="8"/>
      <c r="K83" s="8"/>
      <c r="L83" s="8"/>
    </row>
    <row r="84" spans="1:12" ht="12.75" customHeight="1" x14ac:dyDescent="0.2">
      <c r="A84" s="38"/>
      <c r="B84" s="38"/>
      <c r="C84" s="8"/>
      <c r="D84" s="8"/>
      <c r="E84" s="8"/>
      <c r="F84" s="8"/>
      <c r="G84" s="8"/>
      <c r="H84" s="8"/>
      <c r="I84" s="8"/>
      <c r="J84" s="8"/>
      <c r="K84" s="8"/>
      <c r="L84" s="8"/>
    </row>
    <row r="85" spans="1:12" ht="12.75" customHeight="1" x14ac:dyDescent="0.2">
      <c r="A85" s="38"/>
      <c r="B85" s="38"/>
      <c r="C85" s="8"/>
      <c r="D85" s="8"/>
      <c r="E85" s="8"/>
      <c r="F85" s="8"/>
      <c r="G85" s="8"/>
      <c r="H85" s="8"/>
      <c r="I85" s="8"/>
      <c r="J85" s="8"/>
      <c r="K85" s="8"/>
      <c r="L85" s="8"/>
    </row>
    <row r="86" spans="1:12" ht="12.75" customHeight="1" x14ac:dyDescent="0.2">
      <c r="A86" s="38"/>
      <c r="B86" s="38"/>
      <c r="C86" s="8"/>
      <c r="D86" s="8"/>
      <c r="E86" s="8"/>
      <c r="F86" s="8"/>
      <c r="G86" s="8"/>
      <c r="H86" s="8"/>
      <c r="I86" s="8"/>
      <c r="J86" s="8"/>
      <c r="K86" s="8"/>
      <c r="L86" s="8"/>
    </row>
    <row r="87" spans="1:12" ht="12.75" customHeight="1" x14ac:dyDescent="0.2">
      <c r="A87" s="38"/>
      <c r="B87" s="38"/>
      <c r="C87" s="8"/>
      <c r="D87" s="8"/>
      <c r="E87" s="8"/>
      <c r="F87" s="8"/>
      <c r="G87" s="8"/>
      <c r="H87" s="8"/>
      <c r="I87" s="8"/>
      <c r="J87" s="8"/>
      <c r="K87" s="8"/>
      <c r="L87" s="8"/>
    </row>
    <row r="88" spans="1:12" ht="12.75" customHeight="1" x14ac:dyDescent="0.2">
      <c r="A88" s="38"/>
      <c r="B88" s="38"/>
      <c r="C88" s="8"/>
      <c r="D88" s="8"/>
      <c r="E88" s="8"/>
      <c r="F88" s="8"/>
      <c r="G88" s="8"/>
      <c r="H88" s="8"/>
      <c r="I88" s="8"/>
      <c r="J88" s="8"/>
      <c r="K88" s="8"/>
      <c r="L88" s="8"/>
    </row>
    <row r="89" spans="1:12" ht="12.75" customHeight="1" x14ac:dyDescent="0.2">
      <c r="A89" s="38"/>
      <c r="B89" s="38"/>
      <c r="C89" s="8"/>
      <c r="D89" s="8"/>
      <c r="E89" s="8"/>
      <c r="F89" s="8"/>
      <c r="G89" s="8"/>
      <c r="H89" s="8"/>
      <c r="I89" s="8"/>
      <c r="J89" s="8"/>
      <c r="K89" s="8"/>
      <c r="L89" s="8"/>
    </row>
    <row r="90" spans="1:12" ht="12.75" customHeight="1" x14ac:dyDescent="0.2">
      <c r="A90" s="38"/>
      <c r="B90" s="38"/>
      <c r="C90" s="8"/>
      <c r="D90" s="8"/>
      <c r="E90" s="8"/>
      <c r="F90" s="8"/>
      <c r="G90" s="8"/>
      <c r="H90" s="8"/>
      <c r="I90" s="8"/>
      <c r="J90" s="8"/>
      <c r="K90" s="8"/>
      <c r="L90" s="8"/>
    </row>
    <row r="91" spans="1:12" ht="12.75" customHeight="1" x14ac:dyDescent="0.2">
      <c r="A91" s="38"/>
      <c r="B91" s="38"/>
      <c r="C91" s="8"/>
      <c r="D91" s="8"/>
      <c r="E91" s="8"/>
      <c r="F91" s="8"/>
      <c r="G91" s="8"/>
      <c r="H91" s="8"/>
      <c r="I91" s="8"/>
      <c r="J91" s="8"/>
      <c r="K91" s="8"/>
      <c r="L91" s="8"/>
    </row>
    <row r="92" spans="1:12" ht="12.75" customHeight="1" x14ac:dyDescent="0.2">
      <c r="A92" s="38"/>
      <c r="B92" s="38"/>
      <c r="C92" s="8"/>
      <c r="D92" s="8"/>
      <c r="E92" s="8"/>
      <c r="F92" s="8"/>
      <c r="G92" s="8"/>
      <c r="H92" s="8"/>
      <c r="I92" s="8"/>
      <c r="J92" s="8"/>
      <c r="K92" s="8"/>
      <c r="L92" s="8"/>
    </row>
    <row r="93" spans="1:12" ht="12.75" customHeight="1" x14ac:dyDescent="0.2">
      <c r="A93" s="38"/>
      <c r="B93" s="38"/>
      <c r="C93" s="8"/>
      <c r="D93" s="8"/>
      <c r="E93" s="8"/>
      <c r="F93" s="8"/>
      <c r="G93" s="8"/>
      <c r="H93" s="8"/>
      <c r="I93" s="8"/>
      <c r="J93" s="8"/>
      <c r="K93" s="8"/>
      <c r="L93" s="8"/>
    </row>
    <row r="94" spans="1:12" ht="12.75" customHeight="1" x14ac:dyDescent="0.2">
      <c r="A94" s="38"/>
      <c r="B94" s="38"/>
      <c r="C94" s="8"/>
      <c r="D94" s="8"/>
      <c r="E94" s="8"/>
      <c r="F94" s="8"/>
      <c r="G94" s="8"/>
      <c r="H94" s="8"/>
      <c r="I94" s="8"/>
      <c r="J94" s="8"/>
      <c r="K94" s="8"/>
      <c r="L94" s="8"/>
    </row>
    <row r="95" spans="1:12" ht="12.75" customHeight="1" x14ac:dyDescent="0.2">
      <c r="A95" s="38"/>
      <c r="B95" s="38"/>
      <c r="C95" s="8"/>
      <c r="D95" s="8"/>
      <c r="E95" s="8"/>
      <c r="F95" s="8"/>
      <c r="G95" s="8"/>
      <c r="H95" s="8"/>
      <c r="I95" s="8"/>
      <c r="J95" s="8"/>
      <c r="K95" s="8"/>
      <c r="L95" s="8"/>
    </row>
    <row r="96" spans="1:12" ht="12.75" customHeight="1" x14ac:dyDescent="0.2">
      <c r="A96" s="38"/>
      <c r="B96" s="38"/>
      <c r="C96" s="8"/>
      <c r="D96" s="8"/>
      <c r="E96" s="8"/>
      <c r="F96" s="8"/>
      <c r="G96" s="8"/>
      <c r="H96" s="8"/>
      <c r="I96" s="8"/>
      <c r="J96" s="8"/>
      <c r="K96" s="8"/>
      <c r="L96" s="8"/>
    </row>
    <row r="97" spans="1:12" ht="12.75" customHeight="1" x14ac:dyDescent="0.2">
      <c r="A97" s="38"/>
      <c r="B97" s="38"/>
      <c r="C97" s="8"/>
      <c r="D97" s="8"/>
      <c r="E97" s="8"/>
      <c r="F97" s="8"/>
      <c r="G97" s="8"/>
      <c r="H97" s="8"/>
      <c r="I97" s="8"/>
      <c r="J97" s="8"/>
      <c r="K97" s="8"/>
      <c r="L97" s="8"/>
    </row>
    <row r="98" spans="1:12" ht="12.75" customHeight="1" x14ac:dyDescent="0.2">
      <c r="A98" s="38"/>
      <c r="B98" s="38"/>
      <c r="C98" s="8"/>
      <c r="D98" s="8"/>
      <c r="E98" s="8"/>
      <c r="F98" s="8"/>
      <c r="G98" s="8"/>
      <c r="H98" s="8"/>
      <c r="I98" s="8"/>
      <c r="J98" s="8"/>
      <c r="K98" s="8"/>
      <c r="L98" s="8"/>
    </row>
    <row r="99" spans="1:12" ht="12.75" customHeight="1" x14ac:dyDescent="0.2">
      <c r="A99" s="38"/>
      <c r="B99" s="38"/>
      <c r="C99" s="8"/>
      <c r="D99" s="8"/>
      <c r="E99" s="8"/>
      <c r="F99" s="8"/>
      <c r="G99" s="8"/>
      <c r="H99" s="8"/>
      <c r="I99" s="8"/>
      <c r="J99" s="8"/>
      <c r="K99" s="8"/>
      <c r="L99" s="8"/>
    </row>
    <row r="100" spans="1:12" ht="12.75" customHeight="1" x14ac:dyDescent="0.2">
      <c r="A100" s="38"/>
      <c r="B100" s="38"/>
      <c r="C100" s="8"/>
      <c r="D100" s="8"/>
      <c r="E100" s="8"/>
      <c r="F100" s="8"/>
      <c r="G100" s="8"/>
      <c r="H100" s="8"/>
      <c r="I100" s="8"/>
      <c r="J100" s="8"/>
      <c r="K100" s="8"/>
      <c r="L100" s="8"/>
    </row>
    <row r="101" spans="1:12" ht="12.75" customHeight="1" x14ac:dyDescent="0.2">
      <c r="A101" s="38"/>
      <c r="B101" s="38"/>
      <c r="C101" s="8"/>
      <c r="D101" s="8"/>
      <c r="E101" s="8"/>
      <c r="F101" s="8"/>
      <c r="G101" s="8"/>
      <c r="H101" s="8"/>
      <c r="I101" s="8"/>
      <c r="J101" s="8"/>
      <c r="K101" s="8"/>
      <c r="L101" s="8"/>
    </row>
    <row r="102" spans="1:12" ht="12.75" customHeight="1" x14ac:dyDescent="0.2">
      <c r="A102" s="38"/>
      <c r="B102" s="38"/>
      <c r="C102" s="8"/>
      <c r="D102" s="8"/>
      <c r="E102" s="8"/>
      <c r="F102" s="8"/>
      <c r="G102" s="8"/>
      <c r="H102" s="8"/>
      <c r="I102" s="8"/>
      <c r="J102" s="8"/>
      <c r="K102" s="8"/>
      <c r="L102" s="8"/>
    </row>
    <row r="103" spans="1:12" ht="12.75" customHeight="1" x14ac:dyDescent="0.2">
      <c r="A103" s="38"/>
      <c r="B103" s="38"/>
      <c r="C103" s="8"/>
      <c r="D103" s="8"/>
      <c r="E103" s="8"/>
      <c r="F103" s="8"/>
      <c r="G103" s="8"/>
      <c r="H103" s="8"/>
      <c r="I103" s="8"/>
      <c r="J103" s="8"/>
      <c r="K103" s="8"/>
      <c r="L103" s="8"/>
    </row>
    <row r="104" spans="1:12" ht="12.75" customHeight="1" x14ac:dyDescent="0.2">
      <c r="A104" s="38"/>
      <c r="B104" s="38"/>
      <c r="C104" s="8"/>
      <c r="D104" s="8"/>
      <c r="E104" s="8"/>
      <c r="F104" s="8"/>
      <c r="G104" s="8"/>
      <c r="H104" s="8"/>
      <c r="I104" s="8"/>
      <c r="J104" s="8"/>
      <c r="K104" s="8"/>
      <c r="L104" s="8"/>
    </row>
    <row r="105" spans="1:12" ht="12.75" customHeight="1" x14ac:dyDescent="0.2">
      <c r="A105" s="38"/>
      <c r="B105" s="38"/>
      <c r="C105" s="8"/>
      <c r="D105" s="8"/>
      <c r="E105" s="8"/>
      <c r="F105" s="8"/>
      <c r="G105" s="8"/>
      <c r="H105" s="8"/>
      <c r="I105" s="8"/>
      <c r="J105" s="8"/>
      <c r="K105" s="8"/>
      <c r="L105" s="8"/>
    </row>
    <row r="106" spans="1:12" ht="12.75" customHeight="1" x14ac:dyDescent="0.2">
      <c r="A106" s="38"/>
      <c r="B106" s="38"/>
      <c r="C106" s="8"/>
      <c r="D106" s="8"/>
      <c r="E106" s="8"/>
      <c r="F106" s="8"/>
      <c r="G106" s="8"/>
      <c r="H106" s="8"/>
      <c r="I106" s="8"/>
      <c r="J106" s="8"/>
      <c r="K106" s="8"/>
      <c r="L106" s="8"/>
    </row>
    <row r="107" spans="1:12" ht="12.75" customHeight="1" x14ac:dyDescent="0.2">
      <c r="A107" s="38"/>
      <c r="B107" s="38"/>
      <c r="C107" s="8"/>
      <c r="D107" s="8"/>
      <c r="E107" s="8"/>
      <c r="F107" s="8"/>
      <c r="G107" s="8"/>
      <c r="H107" s="8"/>
      <c r="I107" s="8"/>
      <c r="J107" s="8"/>
      <c r="K107" s="8"/>
      <c r="L107" s="8"/>
    </row>
    <row r="108" spans="1:12" ht="12.75" customHeight="1" x14ac:dyDescent="0.2">
      <c r="A108" s="38"/>
      <c r="B108" s="38"/>
      <c r="C108" s="8"/>
      <c r="D108" s="8"/>
      <c r="E108" s="8"/>
      <c r="F108" s="8"/>
      <c r="G108" s="8"/>
      <c r="H108" s="8"/>
      <c r="I108" s="8"/>
      <c r="J108" s="8"/>
      <c r="K108" s="8"/>
      <c r="L108" s="8"/>
    </row>
    <row r="109" spans="1:12" ht="12.75" customHeight="1" x14ac:dyDescent="0.2">
      <c r="A109" s="38"/>
      <c r="B109" s="38"/>
      <c r="C109" s="8"/>
      <c r="D109" s="8"/>
      <c r="E109" s="8"/>
      <c r="F109" s="8"/>
      <c r="G109" s="8"/>
      <c r="H109" s="8"/>
      <c r="I109" s="8"/>
      <c r="J109" s="8"/>
      <c r="K109" s="8"/>
      <c r="L109" s="8"/>
    </row>
    <row r="110" spans="1:12" ht="12.75" customHeight="1" x14ac:dyDescent="0.2">
      <c r="A110" s="38"/>
      <c r="B110" s="38"/>
      <c r="C110" s="8"/>
      <c r="D110" s="8"/>
      <c r="E110" s="8"/>
      <c r="F110" s="8"/>
      <c r="G110" s="8"/>
      <c r="H110" s="8"/>
      <c r="I110" s="8"/>
      <c r="J110" s="8"/>
      <c r="K110" s="8"/>
      <c r="L110" s="8"/>
    </row>
    <row r="111" spans="1:12" ht="12.75" customHeight="1" x14ac:dyDescent="0.2">
      <c r="A111" s="38"/>
      <c r="B111" s="38"/>
      <c r="C111" s="8"/>
      <c r="D111" s="8"/>
      <c r="E111" s="8"/>
      <c r="F111" s="8"/>
      <c r="G111" s="8"/>
      <c r="H111" s="8"/>
      <c r="I111" s="8"/>
      <c r="J111" s="8"/>
      <c r="K111" s="8"/>
      <c r="L111" s="8"/>
    </row>
    <row r="112" spans="1:12" ht="12.75" customHeight="1" x14ac:dyDescent="0.2">
      <c r="A112" s="38"/>
      <c r="B112" s="38"/>
      <c r="C112" s="8"/>
      <c r="D112" s="8"/>
      <c r="E112" s="8"/>
      <c r="F112" s="8"/>
      <c r="G112" s="8"/>
      <c r="H112" s="8"/>
      <c r="I112" s="8"/>
      <c r="J112" s="8"/>
      <c r="K112" s="8"/>
      <c r="L112" s="8"/>
    </row>
    <row r="113" spans="1:12" ht="12.75" customHeight="1" x14ac:dyDescent="0.2">
      <c r="A113" s="38"/>
      <c r="B113" s="38"/>
      <c r="C113" s="8"/>
      <c r="D113" s="8"/>
      <c r="E113" s="8"/>
      <c r="F113" s="8"/>
      <c r="G113" s="8"/>
      <c r="H113" s="8"/>
      <c r="I113" s="8"/>
      <c r="J113" s="8"/>
      <c r="K113" s="8"/>
      <c r="L113" s="8"/>
    </row>
    <row r="114" spans="1:12" ht="12.75" customHeight="1" x14ac:dyDescent="0.2">
      <c r="A114" s="38"/>
      <c r="B114" s="38"/>
      <c r="C114" s="8"/>
      <c r="D114" s="8"/>
      <c r="E114" s="8"/>
      <c r="F114" s="8"/>
      <c r="G114" s="8"/>
      <c r="H114" s="8"/>
      <c r="I114" s="8"/>
      <c r="J114" s="8"/>
      <c r="K114" s="8"/>
      <c r="L114" s="8"/>
    </row>
    <row r="115" spans="1:12" ht="12.75" customHeight="1" x14ac:dyDescent="0.2">
      <c r="A115" s="38"/>
      <c r="B115" s="38"/>
      <c r="C115" s="8"/>
      <c r="D115" s="8"/>
      <c r="E115" s="8"/>
      <c r="F115" s="8"/>
      <c r="G115" s="8"/>
      <c r="H115" s="8"/>
      <c r="I115" s="8"/>
      <c r="J115" s="8"/>
      <c r="K115" s="8"/>
      <c r="L115" s="8"/>
    </row>
    <row r="116" spans="1:12" ht="12.75" customHeight="1" x14ac:dyDescent="0.2">
      <c r="A116" s="38"/>
      <c r="B116" s="38"/>
      <c r="C116" s="8"/>
      <c r="D116" s="8"/>
      <c r="E116" s="8"/>
      <c r="F116" s="8"/>
      <c r="G116" s="8"/>
      <c r="H116" s="8"/>
      <c r="I116" s="8"/>
      <c r="J116" s="8"/>
      <c r="K116" s="8"/>
      <c r="L116" s="8"/>
    </row>
    <row r="117" spans="1:12" ht="12.75" customHeight="1" x14ac:dyDescent="0.2">
      <c r="A117" s="38"/>
      <c r="B117" s="38"/>
      <c r="C117" s="8"/>
      <c r="D117" s="8"/>
      <c r="E117" s="8"/>
      <c r="F117" s="8"/>
      <c r="G117" s="8"/>
      <c r="H117" s="8"/>
      <c r="I117" s="8"/>
      <c r="J117" s="8"/>
      <c r="K117" s="8"/>
      <c r="L117" s="8"/>
    </row>
    <row r="118" spans="1:12" ht="12.75" customHeight="1" x14ac:dyDescent="0.2">
      <c r="A118" s="38"/>
      <c r="B118" s="38"/>
      <c r="C118" s="8"/>
      <c r="D118" s="8"/>
      <c r="E118" s="8"/>
      <c r="F118" s="8"/>
      <c r="G118" s="8"/>
      <c r="H118" s="8"/>
      <c r="I118" s="8"/>
      <c r="J118" s="8"/>
      <c r="K118" s="8"/>
      <c r="L118" s="8"/>
    </row>
    <row r="119" spans="1:12" ht="12.75" customHeight="1" x14ac:dyDescent="0.2">
      <c r="A119" s="38"/>
      <c r="B119" s="38"/>
      <c r="C119" s="8"/>
      <c r="D119" s="8"/>
      <c r="E119" s="8"/>
      <c r="F119" s="8"/>
      <c r="G119" s="8"/>
      <c r="H119" s="8"/>
      <c r="I119" s="8"/>
      <c r="J119" s="8"/>
      <c r="K119" s="8"/>
      <c r="L119" s="8"/>
    </row>
    <row r="120" spans="1:12" ht="12.75" customHeight="1" x14ac:dyDescent="0.2">
      <c r="A120" s="38"/>
      <c r="B120" s="38"/>
      <c r="C120" s="8"/>
      <c r="D120" s="8"/>
      <c r="E120" s="8"/>
      <c r="F120" s="8"/>
      <c r="G120" s="8"/>
      <c r="H120" s="8"/>
      <c r="I120" s="8"/>
      <c r="J120" s="8"/>
      <c r="K120" s="8"/>
      <c r="L120" s="8"/>
    </row>
    <row r="121" spans="1:12" ht="12.75" customHeight="1" x14ac:dyDescent="0.2">
      <c r="A121" s="38"/>
      <c r="B121" s="38"/>
      <c r="C121" s="8"/>
      <c r="D121" s="8"/>
      <c r="E121" s="8"/>
      <c r="F121" s="8"/>
      <c r="G121" s="8"/>
      <c r="H121" s="8"/>
      <c r="I121" s="8"/>
      <c r="J121" s="8"/>
      <c r="K121" s="8"/>
      <c r="L121" s="8"/>
    </row>
    <row r="122" spans="1:12" ht="12.75" customHeight="1" x14ac:dyDescent="0.2">
      <c r="A122" s="38"/>
      <c r="B122" s="38"/>
      <c r="C122" s="8"/>
      <c r="D122" s="8"/>
      <c r="E122" s="8"/>
      <c r="F122" s="8"/>
      <c r="G122" s="8"/>
      <c r="H122" s="8"/>
      <c r="I122" s="8"/>
      <c r="J122" s="8"/>
      <c r="K122" s="8"/>
      <c r="L122" s="8"/>
    </row>
    <row r="123" spans="1:12" ht="12.75" customHeight="1" x14ac:dyDescent="0.2">
      <c r="A123" s="38"/>
      <c r="B123" s="38"/>
      <c r="C123" s="8"/>
      <c r="D123" s="8"/>
      <c r="E123" s="8"/>
      <c r="F123" s="8"/>
      <c r="G123" s="8"/>
      <c r="H123" s="8"/>
      <c r="I123" s="8"/>
      <c r="J123" s="8"/>
      <c r="K123" s="8"/>
      <c r="L123" s="8"/>
    </row>
    <row r="124" spans="1:12" ht="12.75" customHeight="1" x14ac:dyDescent="0.2">
      <c r="A124" s="38"/>
      <c r="B124" s="38"/>
      <c r="C124" s="8"/>
      <c r="D124" s="8"/>
      <c r="E124" s="8"/>
      <c r="F124" s="8"/>
      <c r="G124" s="8"/>
      <c r="H124" s="8"/>
      <c r="I124" s="8"/>
      <c r="J124" s="8"/>
      <c r="K124" s="8"/>
      <c r="L124" s="8"/>
    </row>
    <row r="125" spans="1:12" ht="12.75" customHeight="1" x14ac:dyDescent="0.2">
      <c r="A125" s="38"/>
      <c r="B125" s="38"/>
      <c r="C125" s="8"/>
      <c r="D125" s="8"/>
      <c r="E125" s="8"/>
      <c r="F125" s="8"/>
      <c r="G125" s="8"/>
      <c r="H125" s="8"/>
      <c r="I125" s="8"/>
      <c r="J125" s="8"/>
      <c r="K125" s="8"/>
      <c r="L125" s="8"/>
    </row>
    <row r="126" spans="1:12" ht="12.75" customHeight="1" x14ac:dyDescent="0.2">
      <c r="A126" s="38"/>
      <c r="B126" s="38"/>
      <c r="C126" s="8"/>
      <c r="D126" s="8"/>
      <c r="E126" s="8"/>
      <c r="F126" s="8"/>
      <c r="G126" s="8"/>
      <c r="H126" s="8"/>
      <c r="I126" s="8"/>
      <c r="J126" s="8"/>
      <c r="K126" s="8"/>
      <c r="L126" s="8"/>
    </row>
    <row r="127" spans="1:12" ht="12.75" customHeight="1" x14ac:dyDescent="0.2">
      <c r="A127" s="38"/>
      <c r="B127" s="38"/>
      <c r="C127" s="8"/>
      <c r="D127" s="8"/>
      <c r="E127" s="8"/>
      <c r="F127" s="8"/>
      <c r="G127" s="8"/>
      <c r="H127" s="8"/>
      <c r="I127" s="8"/>
      <c r="J127" s="8"/>
      <c r="K127" s="8"/>
      <c r="L127" s="8"/>
    </row>
    <row r="128" spans="1:12" ht="12.75" customHeight="1" x14ac:dyDescent="0.2">
      <c r="A128" s="38"/>
      <c r="B128" s="38"/>
      <c r="C128" s="8"/>
      <c r="D128" s="8"/>
      <c r="E128" s="8"/>
      <c r="F128" s="8"/>
      <c r="G128" s="8"/>
      <c r="H128" s="8"/>
      <c r="I128" s="8"/>
      <c r="J128" s="8"/>
      <c r="K128" s="8"/>
      <c r="L128" s="8"/>
    </row>
    <row r="129" spans="1:12" ht="12.75" customHeight="1" x14ac:dyDescent="0.2">
      <c r="A129" s="38"/>
      <c r="B129" s="38"/>
      <c r="C129" s="8"/>
      <c r="D129" s="8"/>
      <c r="E129" s="8"/>
      <c r="F129" s="8"/>
      <c r="G129" s="8"/>
      <c r="H129" s="8"/>
      <c r="I129" s="8"/>
      <c r="J129" s="8"/>
      <c r="K129" s="8"/>
      <c r="L129" s="8"/>
    </row>
    <row r="130" spans="1:12" ht="12.75" customHeight="1" x14ac:dyDescent="0.2">
      <c r="A130" s="38"/>
      <c r="B130" s="38"/>
      <c r="C130" s="8"/>
      <c r="D130" s="8"/>
      <c r="E130" s="8"/>
      <c r="F130" s="8"/>
      <c r="G130" s="8"/>
      <c r="H130" s="8"/>
      <c r="I130" s="8"/>
      <c r="J130" s="8"/>
      <c r="K130" s="8"/>
      <c r="L130" s="8"/>
    </row>
    <row r="131" spans="1:12" ht="12.75" customHeight="1" x14ac:dyDescent="0.2">
      <c r="A131" s="38"/>
      <c r="B131" s="38"/>
      <c r="C131" s="8"/>
      <c r="D131" s="8"/>
      <c r="E131" s="8"/>
      <c r="F131" s="8"/>
      <c r="G131" s="8"/>
      <c r="H131" s="8"/>
      <c r="I131" s="8"/>
      <c r="J131" s="8"/>
      <c r="K131" s="8"/>
      <c r="L131" s="8"/>
    </row>
    <row r="132" spans="1:12" ht="12.75" customHeight="1" x14ac:dyDescent="0.2">
      <c r="A132" s="38"/>
      <c r="B132" s="38"/>
      <c r="C132" s="8"/>
      <c r="D132" s="8"/>
      <c r="E132" s="8"/>
      <c r="F132" s="8"/>
      <c r="G132" s="8"/>
      <c r="H132" s="8"/>
      <c r="I132" s="8"/>
      <c r="J132" s="8"/>
      <c r="K132" s="8"/>
      <c r="L132" s="8"/>
    </row>
    <row r="133" spans="1:12" ht="12.75" customHeight="1" x14ac:dyDescent="0.2">
      <c r="A133" s="38"/>
      <c r="B133" s="38"/>
      <c r="C133" s="8"/>
      <c r="D133" s="8"/>
      <c r="E133" s="8"/>
      <c r="F133" s="8"/>
      <c r="G133" s="8"/>
      <c r="H133" s="8"/>
      <c r="I133" s="8"/>
      <c r="J133" s="8"/>
      <c r="K133" s="8"/>
      <c r="L133" s="8"/>
    </row>
    <row r="134" spans="1:12" ht="12.75" customHeight="1" x14ac:dyDescent="0.2">
      <c r="A134" s="38"/>
      <c r="B134" s="38"/>
      <c r="C134" s="8"/>
      <c r="D134" s="8"/>
      <c r="E134" s="8"/>
      <c r="F134" s="8"/>
      <c r="G134" s="8"/>
      <c r="H134" s="8"/>
      <c r="I134" s="8"/>
      <c r="J134" s="8"/>
      <c r="K134" s="8"/>
      <c r="L134" s="8"/>
    </row>
    <row r="135" spans="1:12" ht="12.75" customHeight="1" x14ac:dyDescent="0.2">
      <c r="A135" s="38"/>
      <c r="B135" s="38"/>
      <c r="C135" s="8"/>
      <c r="D135" s="8"/>
      <c r="E135" s="8"/>
      <c r="F135" s="8"/>
      <c r="G135" s="8"/>
      <c r="H135" s="8"/>
      <c r="I135" s="8"/>
      <c r="J135" s="8"/>
      <c r="K135" s="8"/>
      <c r="L135" s="8"/>
    </row>
    <row r="136" spans="1:12" ht="12.75" customHeight="1" x14ac:dyDescent="0.2">
      <c r="A136" s="38"/>
      <c r="B136" s="38"/>
      <c r="C136" s="8"/>
      <c r="D136" s="8"/>
      <c r="E136" s="8"/>
      <c r="F136" s="8"/>
      <c r="G136" s="8"/>
      <c r="H136" s="8"/>
      <c r="I136" s="8"/>
      <c r="J136" s="8"/>
      <c r="K136" s="8"/>
      <c r="L136" s="8"/>
    </row>
    <row r="137" spans="1:12" ht="12.75" customHeight="1" x14ac:dyDescent="0.2">
      <c r="A137" s="38"/>
      <c r="B137" s="38"/>
      <c r="C137" s="8"/>
      <c r="D137" s="8"/>
      <c r="E137" s="8"/>
      <c r="F137" s="8"/>
      <c r="G137" s="8"/>
      <c r="H137" s="8"/>
      <c r="I137" s="8"/>
      <c r="J137" s="8"/>
      <c r="K137" s="8"/>
      <c r="L137" s="8"/>
    </row>
    <row r="138" spans="1:12" ht="12.75" customHeight="1" x14ac:dyDescent="0.2">
      <c r="A138" s="38"/>
      <c r="B138" s="38"/>
      <c r="C138" s="8"/>
      <c r="D138" s="8"/>
      <c r="E138" s="8"/>
      <c r="F138" s="8"/>
      <c r="G138" s="8"/>
      <c r="H138" s="8"/>
      <c r="I138" s="8"/>
      <c r="J138" s="8"/>
      <c r="K138" s="8"/>
      <c r="L138" s="8"/>
    </row>
    <row r="139" spans="1:12" ht="12.75" customHeight="1" x14ac:dyDescent="0.2">
      <c r="A139" s="38"/>
      <c r="B139" s="38"/>
      <c r="C139" s="8"/>
      <c r="D139" s="8"/>
      <c r="E139" s="8"/>
      <c r="F139" s="8"/>
      <c r="G139" s="8"/>
      <c r="H139" s="8"/>
      <c r="I139" s="8"/>
      <c r="J139" s="8"/>
      <c r="K139" s="8"/>
      <c r="L139" s="8"/>
    </row>
    <row r="140" spans="1:12" ht="12.75" customHeight="1" x14ac:dyDescent="0.2">
      <c r="A140" s="38"/>
      <c r="B140" s="38"/>
      <c r="C140" s="8"/>
      <c r="D140" s="8"/>
      <c r="E140" s="8"/>
      <c r="F140" s="8"/>
      <c r="G140" s="8"/>
      <c r="H140" s="8"/>
      <c r="I140" s="8"/>
      <c r="J140" s="8"/>
      <c r="K140" s="8"/>
      <c r="L140" s="8"/>
    </row>
    <row r="141" spans="1:12" ht="12.75" customHeight="1" x14ac:dyDescent="0.2">
      <c r="A141" s="38"/>
      <c r="B141" s="38"/>
      <c r="C141" s="8"/>
      <c r="D141" s="8"/>
      <c r="E141" s="8"/>
      <c r="F141" s="8"/>
      <c r="G141" s="8"/>
      <c r="H141" s="8"/>
      <c r="I141" s="8"/>
      <c r="J141" s="8"/>
      <c r="K141" s="8"/>
      <c r="L141" s="8"/>
    </row>
    <row r="142" spans="1:12" ht="12.75" customHeight="1" x14ac:dyDescent="0.2">
      <c r="A142" s="38"/>
      <c r="B142" s="38"/>
      <c r="C142" s="8"/>
      <c r="D142" s="8"/>
      <c r="E142" s="8"/>
      <c r="F142" s="8"/>
      <c r="G142" s="8"/>
      <c r="H142" s="8"/>
      <c r="I142" s="8"/>
      <c r="J142" s="8"/>
      <c r="K142" s="8"/>
      <c r="L142" s="8"/>
    </row>
    <row r="143" spans="1:12" ht="12.75" customHeight="1" x14ac:dyDescent="0.2">
      <c r="A143" s="38"/>
      <c r="B143" s="38"/>
      <c r="C143" s="8"/>
      <c r="D143" s="8"/>
      <c r="E143" s="8"/>
      <c r="F143" s="8"/>
      <c r="G143" s="8"/>
      <c r="H143" s="8"/>
      <c r="I143" s="8"/>
      <c r="J143" s="8"/>
      <c r="K143" s="8"/>
      <c r="L143" s="8"/>
    </row>
    <row r="144" spans="1:12" ht="12.75" customHeight="1" x14ac:dyDescent="0.2">
      <c r="A144" s="38"/>
      <c r="B144" s="38"/>
      <c r="C144" s="8"/>
      <c r="D144" s="8"/>
      <c r="E144" s="8"/>
      <c r="F144" s="8"/>
      <c r="G144" s="8"/>
      <c r="H144" s="8"/>
      <c r="I144" s="8"/>
      <c r="J144" s="8"/>
      <c r="K144" s="8"/>
      <c r="L144" s="8"/>
    </row>
    <row r="145" spans="1:12" ht="12.75" customHeight="1" x14ac:dyDescent="0.2">
      <c r="A145" s="38"/>
      <c r="B145" s="38"/>
      <c r="C145" s="8"/>
      <c r="D145" s="8"/>
      <c r="E145" s="8"/>
      <c r="F145" s="8"/>
      <c r="G145" s="8"/>
      <c r="H145" s="8"/>
      <c r="I145" s="8"/>
      <c r="J145" s="8"/>
      <c r="K145" s="8"/>
      <c r="L145" s="8"/>
    </row>
    <row r="146" spans="1:12" ht="12.75" customHeight="1" x14ac:dyDescent="0.2">
      <c r="A146" s="38"/>
      <c r="B146" s="38"/>
      <c r="C146" s="8"/>
      <c r="D146" s="8"/>
      <c r="E146" s="8"/>
      <c r="F146" s="8"/>
      <c r="G146" s="8"/>
      <c r="H146" s="8"/>
      <c r="I146" s="8"/>
      <c r="J146" s="8"/>
      <c r="K146" s="8"/>
      <c r="L146" s="8"/>
    </row>
    <row r="147" spans="1:12" ht="12.75" customHeight="1" x14ac:dyDescent="0.2">
      <c r="A147" s="38"/>
      <c r="B147" s="38"/>
      <c r="C147" s="8"/>
      <c r="D147" s="8"/>
      <c r="E147" s="8"/>
      <c r="F147" s="8"/>
      <c r="G147" s="8"/>
      <c r="H147" s="8"/>
      <c r="I147" s="8"/>
      <c r="J147" s="8"/>
      <c r="K147" s="8"/>
      <c r="L147" s="8"/>
    </row>
    <row r="148" spans="1:12" ht="12.75" customHeight="1" x14ac:dyDescent="0.2">
      <c r="A148" s="38"/>
      <c r="B148" s="38"/>
      <c r="C148" s="8"/>
      <c r="D148" s="8"/>
      <c r="E148" s="8"/>
      <c r="F148" s="8"/>
      <c r="G148" s="8"/>
      <c r="H148" s="8"/>
      <c r="I148" s="8"/>
      <c r="J148" s="8"/>
      <c r="K148" s="8"/>
      <c r="L148" s="8"/>
    </row>
    <row r="149" spans="1:12" ht="12.75" customHeight="1" x14ac:dyDescent="0.2">
      <c r="A149" s="38"/>
      <c r="B149" s="38"/>
      <c r="C149" s="8"/>
      <c r="D149" s="8"/>
      <c r="E149" s="8"/>
      <c r="F149" s="8"/>
      <c r="G149" s="8"/>
      <c r="H149" s="8"/>
      <c r="I149" s="8"/>
      <c r="J149" s="8"/>
      <c r="K149" s="8"/>
      <c r="L149" s="8"/>
    </row>
    <row r="150" spans="1:12" ht="12.75" customHeight="1" x14ac:dyDescent="0.2">
      <c r="A150" s="38"/>
      <c r="B150" s="38"/>
      <c r="C150" s="8"/>
      <c r="D150" s="8"/>
      <c r="E150" s="8"/>
      <c r="F150" s="8"/>
      <c r="G150" s="8"/>
      <c r="H150" s="8"/>
      <c r="I150" s="8"/>
      <c r="J150" s="8"/>
      <c r="K150" s="8"/>
      <c r="L150" s="8"/>
    </row>
    <row r="151" spans="1:12" ht="12.75" customHeight="1" x14ac:dyDescent="0.2">
      <c r="A151" s="38"/>
      <c r="B151" s="38"/>
      <c r="C151" s="8"/>
      <c r="D151" s="8"/>
      <c r="E151" s="8"/>
      <c r="F151" s="8"/>
      <c r="G151" s="8"/>
      <c r="H151" s="8"/>
      <c r="I151" s="8"/>
      <c r="J151" s="8"/>
      <c r="K151" s="8"/>
      <c r="L151" s="8"/>
    </row>
    <row r="152" spans="1:12" ht="12.75" customHeight="1" x14ac:dyDescent="0.2">
      <c r="A152" s="38"/>
      <c r="B152" s="38"/>
      <c r="C152" s="8"/>
      <c r="D152" s="8"/>
      <c r="E152" s="8"/>
      <c r="F152" s="8"/>
      <c r="G152" s="8"/>
      <c r="H152" s="8"/>
      <c r="I152" s="8"/>
      <c r="J152" s="8"/>
      <c r="K152" s="8"/>
      <c r="L152" s="8"/>
    </row>
    <row r="153" spans="1:12" ht="12.75" customHeight="1" x14ac:dyDescent="0.2">
      <c r="A153" s="38"/>
      <c r="B153" s="38"/>
      <c r="C153" s="8"/>
      <c r="D153" s="8"/>
      <c r="E153" s="8"/>
      <c r="F153" s="8"/>
      <c r="G153" s="8"/>
      <c r="H153" s="8"/>
      <c r="I153" s="8"/>
      <c r="J153" s="8"/>
      <c r="K153" s="8"/>
      <c r="L153" s="8"/>
    </row>
    <row r="154" spans="1:12" ht="12.75" customHeight="1" x14ac:dyDescent="0.2">
      <c r="A154" s="38"/>
      <c r="B154" s="38"/>
      <c r="C154" s="8"/>
      <c r="D154" s="8"/>
      <c r="E154" s="8"/>
      <c r="F154" s="8"/>
      <c r="G154" s="8"/>
      <c r="H154" s="8"/>
      <c r="I154" s="8"/>
      <c r="J154" s="8"/>
      <c r="K154" s="8"/>
      <c r="L154" s="8"/>
    </row>
    <row r="155" spans="1:12" ht="12.75" customHeight="1" x14ac:dyDescent="0.2">
      <c r="A155" s="38"/>
      <c r="B155" s="38"/>
      <c r="C155" s="8"/>
      <c r="D155" s="8"/>
      <c r="E155" s="8"/>
      <c r="F155" s="8"/>
      <c r="G155" s="8"/>
      <c r="H155" s="8"/>
      <c r="I155" s="8"/>
      <c r="J155" s="8"/>
      <c r="K155" s="8"/>
      <c r="L155" s="8"/>
    </row>
    <row r="156" spans="1:12" ht="12.75" customHeight="1" x14ac:dyDescent="0.2">
      <c r="A156" s="38"/>
      <c r="B156" s="38"/>
      <c r="C156" s="8"/>
      <c r="D156" s="8"/>
      <c r="E156" s="8"/>
      <c r="F156" s="8"/>
      <c r="G156" s="8"/>
      <c r="H156" s="8"/>
      <c r="I156" s="8"/>
      <c r="J156" s="8"/>
      <c r="K156" s="8"/>
      <c r="L156" s="8"/>
    </row>
    <row r="157" spans="1:12" ht="12.75" customHeight="1" x14ac:dyDescent="0.2">
      <c r="A157" s="38"/>
      <c r="B157" s="38"/>
      <c r="C157" s="8"/>
      <c r="D157" s="8"/>
      <c r="E157" s="8"/>
      <c r="F157" s="8"/>
      <c r="G157" s="8"/>
      <c r="H157" s="8"/>
      <c r="I157" s="8"/>
      <c r="J157" s="8"/>
      <c r="K157" s="8"/>
      <c r="L157" s="8"/>
    </row>
    <row r="158" spans="1:12" ht="12.75" customHeight="1" x14ac:dyDescent="0.2">
      <c r="A158" s="38"/>
      <c r="B158" s="38"/>
      <c r="C158" s="8"/>
      <c r="D158" s="8"/>
      <c r="E158" s="8"/>
      <c r="F158" s="8"/>
      <c r="G158" s="8"/>
      <c r="H158" s="8"/>
      <c r="I158" s="8"/>
      <c r="J158" s="8"/>
      <c r="K158" s="8"/>
      <c r="L158" s="8"/>
    </row>
    <row r="159" spans="1:12" ht="12.75" customHeight="1" x14ac:dyDescent="0.2">
      <c r="A159" s="38"/>
      <c r="B159" s="38"/>
      <c r="C159" s="8"/>
      <c r="D159" s="8"/>
      <c r="E159" s="8"/>
      <c r="F159" s="8"/>
      <c r="G159" s="8"/>
      <c r="H159" s="8"/>
      <c r="I159" s="8"/>
      <c r="J159" s="8"/>
      <c r="K159" s="8"/>
      <c r="L159" s="8"/>
    </row>
    <row r="160" spans="1:12" ht="12.75" customHeight="1" x14ac:dyDescent="0.2">
      <c r="A160" s="38"/>
      <c r="B160" s="38"/>
      <c r="C160" s="8"/>
      <c r="D160" s="8"/>
      <c r="E160" s="8"/>
      <c r="F160" s="8"/>
      <c r="G160" s="8"/>
      <c r="H160" s="8"/>
      <c r="I160" s="8"/>
      <c r="J160" s="8"/>
      <c r="K160" s="8"/>
      <c r="L160" s="8"/>
    </row>
    <row r="161" spans="1:12" ht="12.75" customHeight="1" x14ac:dyDescent="0.2">
      <c r="A161" s="38"/>
      <c r="B161" s="38"/>
      <c r="C161" s="8"/>
      <c r="D161" s="8"/>
      <c r="E161" s="8"/>
      <c r="F161" s="8"/>
      <c r="G161" s="8"/>
      <c r="H161" s="8"/>
      <c r="I161" s="8"/>
      <c r="J161" s="8"/>
      <c r="K161" s="8"/>
      <c r="L161" s="8"/>
    </row>
    <row r="162" spans="1:12" ht="12.75" customHeight="1" x14ac:dyDescent="0.2">
      <c r="A162" s="38"/>
      <c r="B162" s="38"/>
      <c r="C162" s="8"/>
      <c r="D162" s="8"/>
      <c r="E162" s="8"/>
      <c r="F162" s="8"/>
      <c r="G162" s="8"/>
      <c r="H162" s="8"/>
      <c r="I162" s="8"/>
      <c r="J162" s="8"/>
      <c r="K162" s="8"/>
      <c r="L162" s="8"/>
    </row>
    <row r="163" spans="1:12" ht="12.75" customHeight="1" x14ac:dyDescent="0.2">
      <c r="A163" s="38"/>
      <c r="B163" s="38"/>
      <c r="C163" s="8"/>
      <c r="D163" s="8"/>
      <c r="E163" s="8"/>
      <c r="F163" s="8"/>
      <c r="G163" s="8"/>
      <c r="H163" s="8"/>
      <c r="I163" s="8"/>
      <c r="J163" s="8"/>
      <c r="K163" s="8"/>
      <c r="L163" s="8"/>
    </row>
    <row r="164" spans="1:12" ht="12.75" customHeight="1" x14ac:dyDescent="0.2">
      <c r="A164" s="38"/>
      <c r="B164" s="38"/>
      <c r="C164" s="8"/>
      <c r="D164" s="8"/>
      <c r="E164" s="8"/>
      <c r="F164" s="8"/>
      <c r="G164" s="8"/>
      <c r="H164" s="8"/>
      <c r="I164" s="8"/>
      <c r="J164" s="8"/>
      <c r="K164" s="8"/>
      <c r="L164" s="8"/>
    </row>
    <row r="165" spans="1:12" ht="12.75" customHeight="1" x14ac:dyDescent="0.2">
      <c r="A165" s="38"/>
      <c r="B165" s="38"/>
      <c r="C165" s="8"/>
      <c r="D165" s="8"/>
      <c r="E165" s="8"/>
      <c r="F165" s="8"/>
      <c r="G165" s="8"/>
      <c r="H165" s="8"/>
      <c r="I165" s="8"/>
      <c r="J165" s="8"/>
      <c r="K165" s="8"/>
      <c r="L165" s="8"/>
    </row>
    <row r="166" spans="1:12" ht="12.75" customHeight="1" x14ac:dyDescent="0.2">
      <c r="A166" s="38"/>
      <c r="B166" s="38"/>
      <c r="C166" s="8"/>
      <c r="D166" s="8"/>
      <c r="E166" s="8"/>
      <c r="F166" s="8"/>
      <c r="G166" s="8"/>
      <c r="H166" s="8"/>
      <c r="I166" s="8"/>
      <c r="J166" s="8"/>
      <c r="K166" s="8"/>
      <c r="L166" s="8"/>
    </row>
    <row r="167" spans="1:12" ht="12.75" customHeight="1" x14ac:dyDescent="0.2">
      <c r="A167" s="38"/>
      <c r="B167" s="38"/>
      <c r="C167" s="8"/>
      <c r="D167" s="8"/>
      <c r="E167" s="8"/>
      <c r="F167" s="8"/>
      <c r="G167" s="8"/>
      <c r="H167" s="8"/>
      <c r="I167" s="8"/>
      <c r="J167" s="8"/>
      <c r="K167" s="8"/>
      <c r="L167" s="8"/>
    </row>
    <row r="168" spans="1:12" ht="12.75" customHeight="1" x14ac:dyDescent="0.2">
      <c r="A168" s="38"/>
      <c r="B168" s="38"/>
      <c r="C168" s="8"/>
      <c r="D168" s="8"/>
      <c r="E168" s="8"/>
      <c r="F168" s="8"/>
      <c r="G168" s="8"/>
      <c r="H168" s="8"/>
      <c r="I168" s="8"/>
      <c r="J168" s="8"/>
      <c r="K168" s="8"/>
      <c r="L168" s="8"/>
    </row>
    <row r="169" spans="1:12" ht="12.75" customHeight="1" x14ac:dyDescent="0.2">
      <c r="A169" s="38"/>
      <c r="B169" s="38"/>
      <c r="C169" s="8"/>
      <c r="D169" s="8"/>
      <c r="E169" s="8"/>
      <c r="F169" s="8"/>
      <c r="G169" s="8"/>
      <c r="H169" s="8"/>
      <c r="I169" s="8"/>
      <c r="J169" s="8"/>
      <c r="K169" s="8"/>
      <c r="L169" s="8"/>
    </row>
    <row r="170" spans="1:12" ht="12.75" customHeight="1" x14ac:dyDescent="0.2">
      <c r="A170" s="38"/>
      <c r="B170" s="38"/>
      <c r="C170" s="8"/>
      <c r="D170" s="8"/>
      <c r="E170" s="8"/>
      <c r="F170" s="8"/>
      <c r="G170" s="8"/>
      <c r="H170" s="8"/>
      <c r="I170" s="8"/>
      <c r="J170" s="8"/>
      <c r="K170" s="8"/>
      <c r="L170" s="8"/>
    </row>
    <row r="171" spans="1:12" ht="12.75" customHeight="1" x14ac:dyDescent="0.2">
      <c r="A171" s="38"/>
      <c r="B171" s="38"/>
      <c r="C171" s="8"/>
      <c r="D171" s="8"/>
      <c r="E171" s="8"/>
      <c r="F171" s="8"/>
      <c r="G171" s="8"/>
      <c r="H171" s="8"/>
      <c r="I171" s="8"/>
      <c r="J171" s="8"/>
      <c r="K171" s="8"/>
      <c r="L171" s="8"/>
    </row>
    <row r="172" spans="1:12" ht="12.75" customHeight="1" x14ac:dyDescent="0.2">
      <c r="A172" s="38"/>
      <c r="B172" s="38"/>
      <c r="C172" s="8"/>
      <c r="D172" s="8"/>
      <c r="E172" s="8"/>
      <c r="F172" s="8"/>
      <c r="G172" s="8"/>
      <c r="H172" s="8"/>
      <c r="I172" s="8"/>
      <c r="J172" s="8"/>
      <c r="K172" s="8"/>
      <c r="L172" s="8"/>
    </row>
    <row r="173" spans="1:12" ht="12.75" customHeight="1" x14ac:dyDescent="0.2">
      <c r="A173" s="38"/>
      <c r="B173" s="38"/>
      <c r="C173" s="8"/>
      <c r="D173" s="8"/>
      <c r="E173" s="8"/>
      <c r="F173" s="8"/>
      <c r="G173" s="8"/>
      <c r="H173" s="8"/>
      <c r="I173" s="8"/>
      <c r="J173" s="8"/>
      <c r="K173" s="8"/>
      <c r="L173" s="8"/>
    </row>
    <row r="174" spans="1:12" ht="12.75" customHeight="1" x14ac:dyDescent="0.2">
      <c r="A174" s="38"/>
      <c r="B174" s="38"/>
      <c r="C174" s="8"/>
      <c r="D174" s="8"/>
      <c r="E174" s="8"/>
      <c r="F174" s="8"/>
      <c r="G174" s="8"/>
      <c r="H174" s="8"/>
      <c r="I174" s="8"/>
      <c r="J174" s="8"/>
      <c r="K174" s="8"/>
      <c r="L174" s="8"/>
    </row>
    <row r="175" spans="1:12" ht="12.75" customHeight="1" x14ac:dyDescent="0.2">
      <c r="A175" s="38"/>
      <c r="B175" s="38"/>
      <c r="C175" s="8"/>
      <c r="D175" s="8"/>
      <c r="E175" s="8"/>
      <c r="F175" s="8"/>
      <c r="G175" s="8"/>
      <c r="H175" s="8"/>
      <c r="I175" s="8"/>
      <c r="J175" s="8"/>
      <c r="K175" s="8"/>
      <c r="L175" s="8"/>
    </row>
    <row r="176" spans="1:12" ht="12.75" customHeight="1" x14ac:dyDescent="0.2">
      <c r="A176" s="38"/>
      <c r="B176" s="38"/>
      <c r="C176" s="8"/>
      <c r="D176" s="8"/>
      <c r="E176" s="8"/>
      <c r="F176" s="8"/>
      <c r="G176" s="8"/>
      <c r="H176" s="8"/>
      <c r="I176" s="8"/>
      <c r="J176" s="8"/>
      <c r="K176" s="8"/>
      <c r="L176" s="8"/>
    </row>
    <row r="177" spans="1:12" ht="12.75" customHeight="1" x14ac:dyDescent="0.2">
      <c r="A177" s="38"/>
      <c r="B177" s="38"/>
      <c r="C177" s="8"/>
      <c r="D177" s="8"/>
      <c r="E177" s="8"/>
      <c r="F177" s="8"/>
      <c r="G177" s="8"/>
      <c r="H177" s="8"/>
      <c r="I177" s="8"/>
      <c r="J177" s="8"/>
      <c r="K177" s="8"/>
      <c r="L177" s="8"/>
    </row>
    <row r="178" spans="1:12" ht="12.75" customHeight="1" x14ac:dyDescent="0.2">
      <c r="A178" s="38"/>
      <c r="B178" s="38"/>
      <c r="C178" s="8"/>
      <c r="D178" s="8"/>
      <c r="E178" s="8"/>
      <c r="F178" s="8"/>
      <c r="G178" s="8"/>
      <c r="H178" s="8"/>
      <c r="I178" s="8"/>
      <c r="J178" s="8"/>
      <c r="K178" s="8"/>
      <c r="L178" s="8"/>
    </row>
    <row r="179" spans="1:12" ht="12.75" customHeight="1" x14ac:dyDescent="0.2">
      <c r="A179" s="38"/>
      <c r="B179" s="38"/>
      <c r="C179" s="8"/>
      <c r="D179" s="8"/>
      <c r="E179" s="8"/>
      <c r="F179" s="8"/>
      <c r="G179" s="8"/>
      <c r="H179" s="8"/>
      <c r="I179" s="8"/>
      <c r="J179" s="8"/>
      <c r="K179" s="8"/>
      <c r="L179" s="8"/>
    </row>
    <row r="180" spans="1:12" ht="12.75" customHeight="1" x14ac:dyDescent="0.2">
      <c r="A180" s="38"/>
      <c r="B180" s="38"/>
      <c r="C180" s="8"/>
      <c r="D180" s="8"/>
      <c r="E180" s="8"/>
      <c r="F180" s="8"/>
      <c r="G180" s="8"/>
      <c r="H180" s="8"/>
      <c r="I180" s="8"/>
      <c r="J180" s="8"/>
      <c r="K180" s="8"/>
      <c r="L180" s="8"/>
    </row>
    <row r="181" spans="1:12" ht="12.75" customHeight="1" x14ac:dyDescent="0.2">
      <c r="A181" s="38"/>
      <c r="B181" s="38"/>
      <c r="C181" s="8"/>
      <c r="D181" s="8"/>
      <c r="E181" s="8"/>
      <c r="F181" s="8"/>
      <c r="G181" s="8"/>
      <c r="H181" s="8"/>
      <c r="I181" s="8"/>
      <c r="J181" s="8"/>
      <c r="K181" s="8"/>
      <c r="L181" s="8"/>
    </row>
    <row r="182" spans="1:12" ht="12.75" customHeight="1" x14ac:dyDescent="0.2">
      <c r="A182" s="38"/>
      <c r="B182" s="38"/>
      <c r="C182" s="8"/>
      <c r="D182" s="8"/>
      <c r="E182" s="8"/>
      <c r="F182" s="8"/>
      <c r="G182" s="8"/>
      <c r="H182" s="8"/>
      <c r="I182" s="8"/>
      <c r="J182" s="8"/>
      <c r="K182" s="8"/>
      <c r="L182" s="8"/>
    </row>
    <row r="183" spans="1:12" ht="12.75" customHeight="1" x14ac:dyDescent="0.2">
      <c r="A183" s="38"/>
      <c r="B183" s="38"/>
      <c r="C183" s="8"/>
      <c r="D183" s="8"/>
      <c r="E183" s="8"/>
      <c r="F183" s="8"/>
      <c r="G183" s="8"/>
      <c r="H183" s="8"/>
      <c r="I183" s="8"/>
      <c r="J183" s="8"/>
      <c r="K183" s="8"/>
      <c r="L183" s="8"/>
    </row>
    <row r="184" spans="1:12" ht="12.75" customHeight="1" x14ac:dyDescent="0.2">
      <c r="A184" s="38"/>
      <c r="B184" s="38"/>
      <c r="C184" s="8"/>
      <c r="D184" s="8"/>
      <c r="E184" s="8"/>
      <c r="F184" s="8"/>
      <c r="G184" s="8"/>
      <c r="H184" s="8"/>
      <c r="I184" s="8"/>
      <c r="J184" s="8"/>
      <c r="K184" s="8"/>
      <c r="L184" s="8"/>
    </row>
    <row r="185" spans="1:12" ht="12.75" customHeight="1" x14ac:dyDescent="0.2">
      <c r="A185" s="38"/>
      <c r="B185" s="38"/>
      <c r="C185" s="8"/>
      <c r="D185" s="8"/>
      <c r="E185" s="8"/>
      <c r="F185" s="8"/>
      <c r="G185" s="8"/>
      <c r="H185" s="8"/>
      <c r="I185" s="8"/>
      <c r="J185" s="8"/>
      <c r="K185" s="8"/>
      <c r="L185" s="8"/>
    </row>
    <row r="186" spans="1:12" ht="12.75" customHeight="1" x14ac:dyDescent="0.2">
      <c r="A186" s="38"/>
      <c r="B186" s="38"/>
      <c r="C186" s="8"/>
      <c r="D186" s="8"/>
      <c r="E186" s="8"/>
      <c r="F186" s="8"/>
      <c r="G186" s="8"/>
      <c r="H186" s="8"/>
      <c r="I186" s="8"/>
      <c r="J186" s="8"/>
      <c r="K186" s="8"/>
      <c r="L186" s="8"/>
    </row>
    <row r="187" spans="1:12" ht="12.75" customHeight="1" x14ac:dyDescent="0.2">
      <c r="A187" s="38"/>
      <c r="B187" s="38"/>
      <c r="C187" s="8"/>
      <c r="D187" s="8"/>
      <c r="E187" s="8"/>
      <c r="F187" s="8"/>
      <c r="G187" s="8"/>
      <c r="H187" s="8"/>
      <c r="I187" s="8"/>
      <c r="J187" s="8"/>
      <c r="K187" s="8"/>
      <c r="L187" s="8"/>
    </row>
    <row r="188" spans="1:12" ht="12.75" customHeight="1" x14ac:dyDescent="0.2">
      <c r="A188" s="38"/>
      <c r="B188" s="38"/>
      <c r="C188" s="8"/>
      <c r="D188" s="8"/>
      <c r="E188" s="8"/>
      <c r="F188" s="8"/>
      <c r="G188" s="8"/>
      <c r="H188" s="8"/>
      <c r="I188" s="8"/>
      <c r="J188" s="8"/>
      <c r="K188" s="8"/>
      <c r="L188" s="8"/>
    </row>
    <row r="189" spans="1:12" ht="12.75" customHeight="1" x14ac:dyDescent="0.2">
      <c r="A189" s="38"/>
      <c r="B189" s="38"/>
      <c r="C189" s="8"/>
      <c r="D189" s="8"/>
      <c r="E189" s="8"/>
      <c r="F189" s="8"/>
      <c r="G189" s="8"/>
      <c r="H189" s="8"/>
      <c r="I189" s="8"/>
      <c r="J189" s="8"/>
      <c r="K189" s="8"/>
      <c r="L189" s="8"/>
    </row>
    <row r="190" spans="1:12" ht="12.75" customHeight="1" x14ac:dyDescent="0.2">
      <c r="A190" s="38"/>
      <c r="B190" s="38"/>
      <c r="C190" s="8"/>
      <c r="D190" s="8"/>
      <c r="E190" s="8"/>
      <c r="F190" s="8"/>
      <c r="G190" s="8"/>
      <c r="H190" s="8"/>
      <c r="I190" s="8"/>
      <c r="J190" s="8"/>
      <c r="K190" s="8"/>
      <c r="L190" s="8"/>
    </row>
    <row r="191" spans="1:12" ht="12.75" customHeight="1" x14ac:dyDescent="0.2">
      <c r="A191" s="38"/>
      <c r="B191" s="38"/>
      <c r="C191" s="8"/>
      <c r="D191" s="8"/>
      <c r="E191" s="8"/>
      <c r="F191" s="8"/>
      <c r="G191" s="8"/>
      <c r="H191" s="8"/>
      <c r="I191" s="8"/>
      <c r="J191" s="8"/>
      <c r="K191" s="8"/>
      <c r="L191" s="8"/>
    </row>
    <row r="192" spans="1:12" ht="12.75" customHeight="1" x14ac:dyDescent="0.2">
      <c r="A192" s="38"/>
      <c r="B192" s="38"/>
      <c r="C192" s="8"/>
      <c r="D192" s="8"/>
      <c r="E192" s="8"/>
      <c r="F192" s="8"/>
      <c r="G192" s="8"/>
      <c r="H192" s="8"/>
      <c r="I192" s="8"/>
      <c r="J192" s="8"/>
      <c r="K192" s="8"/>
      <c r="L192" s="8"/>
    </row>
    <row r="193" spans="1:12" ht="12.75" customHeight="1" x14ac:dyDescent="0.2">
      <c r="A193" s="38"/>
      <c r="B193" s="38"/>
      <c r="C193" s="8"/>
      <c r="D193" s="8"/>
      <c r="E193" s="8"/>
      <c r="F193" s="8"/>
      <c r="G193" s="8"/>
      <c r="H193" s="8"/>
      <c r="I193" s="8"/>
      <c r="J193" s="8"/>
      <c r="K193" s="8"/>
      <c r="L193" s="8"/>
    </row>
    <row r="194" spans="1:12" ht="12.75" customHeight="1" x14ac:dyDescent="0.2">
      <c r="A194" s="38"/>
      <c r="B194" s="38"/>
      <c r="C194" s="8"/>
      <c r="D194" s="8"/>
      <c r="E194" s="8"/>
      <c r="F194" s="8"/>
      <c r="G194" s="8"/>
      <c r="H194" s="8"/>
      <c r="I194" s="8"/>
      <c r="J194" s="8"/>
      <c r="K194" s="8"/>
      <c r="L194" s="8"/>
    </row>
    <row r="195" spans="1:12" ht="12.75" customHeight="1" x14ac:dyDescent="0.2">
      <c r="A195" s="38"/>
      <c r="B195" s="38"/>
      <c r="C195" s="8"/>
      <c r="D195" s="8"/>
      <c r="E195" s="8"/>
      <c r="F195" s="8"/>
      <c r="G195" s="8"/>
      <c r="H195" s="8"/>
      <c r="I195" s="8"/>
      <c r="J195" s="8"/>
      <c r="K195" s="8"/>
      <c r="L195" s="8"/>
    </row>
    <row r="196" spans="1:12" ht="12.75" customHeight="1" x14ac:dyDescent="0.2">
      <c r="A196" s="38"/>
      <c r="B196" s="38"/>
      <c r="C196" s="8"/>
      <c r="D196" s="8"/>
      <c r="E196" s="8"/>
      <c r="F196" s="8"/>
      <c r="G196" s="8"/>
      <c r="H196" s="8"/>
      <c r="I196" s="8"/>
      <c r="J196" s="8"/>
      <c r="K196" s="8"/>
      <c r="L196" s="8"/>
    </row>
    <row r="197" spans="1:12" ht="12.75" customHeight="1" x14ac:dyDescent="0.2">
      <c r="A197" s="38"/>
      <c r="B197" s="38"/>
      <c r="C197" s="8"/>
      <c r="D197" s="8"/>
      <c r="E197" s="8"/>
      <c r="F197" s="8"/>
      <c r="G197" s="8"/>
      <c r="H197" s="8"/>
      <c r="I197" s="8"/>
      <c r="J197" s="8"/>
      <c r="K197" s="8"/>
      <c r="L197" s="8"/>
    </row>
    <row r="198" spans="1:12" ht="12.75" customHeight="1" x14ac:dyDescent="0.2">
      <c r="A198" s="38"/>
      <c r="B198" s="38"/>
      <c r="C198" s="8"/>
      <c r="D198" s="8"/>
      <c r="E198" s="8"/>
      <c r="F198" s="8"/>
      <c r="G198" s="8"/>
      <c r="H198" s="8"/>
      <c r="I198" s="8"/>
      <c r="J198" s="8"/>
      <c r="K198" s="8"/>
      <c r="L198" s="8"/>
    </row>
    <row r="199" spans="1:12" ht="12.75" customHeight="1" x14ac:dyDescent="0.2">
      <c r="A199" s="38"/>
      <c r="B199" s="38"/>
      <c r="C199" s="8"/>
      <c r="D199" s="8"/>
      <c r="E199" s="8"/>
      <c r="F199" s="8"/>
      <c r="G199" s="8"/>
      <c r="H199" s="8"/>
      <c r="I199" s="8"/>
      <c r="J199" s="8"/>
      <c r="K199" s="8"/>
      <c r="L199" s="8"/>
    </row>
    <row r="200" spans="1:12" ht="12.75" customHeight="1" x14ac:dyDescent="0.2">
      <c r="A200" s="38"/>
      <c r="B200" s="38"/>
      <c r="C200" s="8"/>
      <c r="D200" s="8"/>
      <c r="E200" s="8"/>
      <c r="F200" s="8"/>
      <c r="G200" s="8"/>
      <c r="H200" s="8"/>
      <c r="I200" s="8"/>
      <c r="J200" s="8"/>
      <c r="K200" s="8"/>
      <c r="L200" s="8"/>
    </row>
    <row r="201" spans="1:12" ht="12.75" customHeight="1" x14ac:dyDescent="0.2">
      <c r="A201" s="38"/>
      <c r="B201" s="38"/>
      <c r="C201" s="8"/>
      <c r="D201" s="8"/>
      <c r="E201" s="8"/>
      <c r="F201" s="8"/>
      <c r="G201" s="8"/>
      <c r="H201" s="8"/>
      <c r="I201" s="8"/>
      <c r="J201" s="8"/>
      <c r="K201" s="8"/>
      <c r="L201" s="8"/>
    </row>
    <row r="202" spans="1:12" ht="12.75" customHeight="1" x14ac:dyDescent="0.2">
      <c r="A202" s="38"/>
      <c r="B202" s="38"/>
      <c r="C202" s="8"/>
      <c r="D202" s="8"/>
      <c r="E202" s="8"/>
      <c r="F202" s="8"/>
      <c r="G202" s="8"/>
      <c r="H202" s="8"/>
      <c r="I202" s="8"/>
      <c r="J202" s="8"/>
      <c r="K202" s="8"/>
      <c r="L202" s="8"/>
    </row>
    <row r="203" spans="1:12" ht="12.75" customHeight="1" x14ac:dyDescent="0.2">
      <c r="A203" s="38"/>
      <c r="B203" s="38"/>
      <c r="C203" s="8"/>
      <c r="D203" s="8"/>
      <c r="E203" s="8"/>
      <c r="F203" s="8"/>
      <c r="G203" s="8"/>
      <c r="H203" s="8"/>
      <c r="I203" s="8"/>
      <c r="J203" s="8"/>
      <c r="K203" s="8"/>
      <c r="L203" s="8"/>
    </row>
    <row r="204" spans="1:12" ht="12.75" customHeight="1" x14ac:dyDescent="0.2">
      <c r="A204" s="38"/>
      <c r="B204" s="38"/>
      <c r="C204" s="8"/>
      <c r="D204" s="8"/>
      <c r="E204" s="8"/>
      <c r="F204" s="8"/>
      <c r="G204" s="8"/>
      <c r="H204" s="8"/>
      <c r="I204" s="8"/>
      <c r="J204" s="8"/>
      <c r="K204" s="8"/>
      <c r="L204" s="8"/>
    </row>
    <row r="205" spans="1:12" ht="12.75" customHeight="1" x14ac:dyDescent="0.2">
      <c r="A205" s="38"/>
      <c r="B205" s="38"/>
      <c r="C205" s="8"/>
      <c r="D205" s="8"/>
      <c r="E205" s="8"/>
      <c r="F205" s="8"/>
      <c r="G205" s="8"/>
      <c r="H205" s="8"/>
      <c r="I205" s="8"/>
      <c r="J205" s="8"/>
      <c r="K205" s="8"/>
      <c r="L205" s="8"/>
    </row>
    <row r="206" spans="1:12" ht="12.75" customHeight="1" x14ac:dyDescent="0.2">
      <c r="A206" s="38"/>
      <c r="B206" s="38"/>
      <c r="C206" s="8"/>
      <c r="D206" s="8"/>
      <c r="E206" s="8"/>
      <c r="F206" s="8"/>
      <c r="G206" s="8"/>
      <c r="H206" s="8"/>
      <c r="I206" s="8"/>
      <c r="J206" s="8"/>
      <c r="K206" s="8"/>
      <c r="L206" s="8"/>
    </row>
    <row r="207" spans="1:12" ht="12.75" customHeight="1" x14ac:dyDescent="0.2">
      <c r="A207" s="38"/>
      <c r="B207" s="38"/>
      <c r="C207" s="8"/>
      <c r="D207" s="8"/>
      <c r="E207" s="8"/>
      <c r="F207" s="8"/>
      <c r="G207" s="8"/>
      <c r="H207" s="8"/>
      <c r="I207" s="8"/>
      <c r="J207" s="8"/>
      <c r="K207" s="8"/>
      <c r="L207" s="8"/>
    </row>
    <row r="208" spans="1:12" ht="12.75" customHeight="1" x14ac:dyDescent="0.2">
      <c r="A208" s="38"/>
      <c r="B208" s="38"/>
      <c r="C208" s="8"/>
      <c r="D208" s="8"/>
      <c r="E208" s="8"/>
      <c r="F208" s="8"/>
      <c r="G208" s="8"/>
      <c r="H208" s="8"/>
      <c r="I208" s="8"/>
      <c r="J208" s="8"/>
      <c r="K208" s="8"/>
      <c r="L208" s="8"/>
    </row>
    <row r="209" spans="1:12" ht="12.75" customHeight="1" x14ac:dyDescent="0.2">
      <c r="A209" s="38"/>
      <c r="B209" s="38"/>
      <c r="C209" s="8"/>
      <c r="D209" s="8"/>
      <c r="E209" s="8"/>
      <c r="F209" s="8"/>
      <c r="G209" s="8"/>
      <c r="H209" s="8"/>
      <c r="I209" s="8"/>
      <c r="J209" s="8"/>
      <c r="K209" s="8"/>
      <c r="L209" s="8"/>
    </row>
    <row r="210" spans="1:12" ht="12.75" customHeight="1" x14ac:dyDescent="0.2">
      <c r="A210" s="38"/>
      <c r="B210" s="38"/>
      <c r="C210" s="8"/>
      <c r="D210" s="8"/>
      <c r="E210" s="8"/>
      <c r="F210" s="8"/>
      <c r="G210" s="8"/>
      <c r="H210" s="8"/>
      <c r="I210" s="8"/>
      <c r="J210" s="8"/>
      <c r="K210" s="8"/>
      <c r="L210" s="8"/>
    </row>
    <row r="211" spans="1:12" ht="12.75" customHeight="1" x14ac:dyDescent="0.2">
      <c r="A211" s="38"/>
      <c r="B211" s="38"/>
      <c r="C211" s="8"/>
      <c r="D211" s="8"/>
      <c r="E211" s="8"/>
      <c r="F211" s="8"/>
      <c r="G211" s="8"/>
      <c r="H211" s="8"/>
      <c r="I211" s="8"/>
      <c r="J211" s="8"/>
      <c r="K211" s="8"/>
      <c r="L211" s="8"/>
    </row>
    <row r="212" spans="1:12" ht="12.75" customHeight="1" x14ac:dyDescent="0.2">
      <c r="A212" s="38"/>
      <c r="B212" s="38"/>
      <c r="C212" s="8"/>
      <c r="D212" s="8"/>
      <c r="E212" s="8"/>
      <c r="F212" s="8"/>
      <c r="G212" s="8"/>
      <c r="H212" s="8"/>
      <c r="I212" s="8"/>
      <c r="J212" s="8"/>
      <c r="K212" s="8"/>
      <c r="L212" s="8"/>
    </row>
    <row r="213" spans="1:12" ht="12.75" customHeight="1" x14ac:dyDescent="0.2">
      <c r="A213" s="38"/>
      <c r="B213" s="38"/>
      <c r="C213" s="8"/>
      <c r="D213" s="8"/>
      <c r="E213" s="8"/>
      <c r="F213" s="8"/>
      <c r="G213" s="8"/>
      <c r="H213" s="8"/>
      <c r="I213" s="8"/>
      <c r="J213" s="8"/>
      <c r="K213" s="8"/>
      <c r="L213" s="8"/>
    </row>
    <row r="214" spans="1:12" ht="12.75" customHeight="1" x14ac:dyDescent="0.2">
      <c r="A214" s="38"/>
      <c r="B214" s="38"/>
      <c r="C214" s="8"/>
      <c r="D214" s="8"/>
      <c r="E214" s="8"/>
      <c r="F214" s="8"/>
      <c r="G214" s="8"/>
      <c r="H214" s="8"/>
      <c r="I214" s="8"/>
      <c r="J214" s="8"/>
      <c r="K214" s="8"/>
      <c r="L214" s="8"/>
    </row>
    <row r="215" spans="1:12" ht="12.75" customHeight="1" x14ac:dyDescent="0.2">
      <c r="A215" s="38"/>
      <c r="B215" s="38"/>
      <c r="C215" s="8"/>
      <c r="D215" s="8"/>
      <c r="E215" s="8"/>
      <c r="F215" s="8"/>
      <c r="G215" s="8"/>
      <c r="H215" s="8"/>
      <c r="I215" s="8"/>
      <c r="J215" s="8"/>
      <c r="K215" s="8"/>
      <c r="L215" s="8"/>
    </row>
    <row r="216" spans="1:12" ht="12.75" customHeight="1" x14ac:dyDescent="0.2">
      <c r="A216" s="38"/>
      <c r="B216" s="38"/>
      <c r="C216" s="8"/>
      <c r="D216" s="8"/>
      <c r="E216" s="8"/>
      <c r="F216" s="8"/>
      <c r="G216" s="8"/>
      <c r="H216" s="8"/>
      <c r="I216" s="8"/>
      <c r="J216" s="8"/>
      <c r="K216" s="8"/>
      <c r="L216" s="8"/>
    </row>
    <row r="217" spans="1:12" ht="12.75" customHeight="1" x14ac:dyDescent="0.2">
      <c r="A217" s="38"/>
      <c r="B217" s="38"/>
      <c r="C217" s="8"/>
      <c r="D217" s="8"/>
      <c r="E217" s="8"/>
      <c r="F217" s="8"/>
      <c r="G217" s="8"/>
      <c r="H217" s="8"/>
      <c r="I217" s="8"/>
      <c r="J217" s="8"/>
      <c r="K217" s="8"/>
      <c r="L217" s="8"/>
    </row>
    <row r="218" spans="1:12" ht="12.75" customHeight="1" x14ac:dyDescent="0.2">
      <c r="A218" s="38"/>
      <c r="B218" s="38"/>
      <c r="C218" s="8"/>
      <c r="D218" s="8"/>
      <c r="E218" s="8"/>
      <c r="F218" s="8"/>
      <c r="G218" s="8"/>
      <c r="H218" s="8"/>
      <c r="I218" s="8"/>
      <c r="J218" s="8"/>
      <c r="K218" s="8"/>
      <c r="L218" s="8"/>
    </row>
    <row r="219" spans="1:12" ht="12.75" customHeight="1" x14ac:dyDescent="0.2">
      <c r="A219" s="38"/>
      <c r="B219" s="38"/>
      <c r="C219" s="8"/>
      <c r="D219" s="8"/>
      <c r="E219" s="8"/>
      <c r="F219" s="8"/>
      <c r="G219" s="8"/>
      <c r="H219" s="8"/>
      <c r="I219" s="8"/>
      <c r="J219" s="8"/>
      <c r="K219" s="8"/>
      <c r="L219" s="8"/>
    </row>
    <row r="220" spans="1:12" ht="12.75" customHeight="1" x14ac:dyDescent="0.2">
      <c r="A220" s="38"/>
      <c r="B220" s="38"/>
      <c r="C220" s="8"/>
      <c r="D220" s="8"/>
      <c r="E220" s="8"/>
      <c r="F220" s="8"/>
      <c r="G220" s="8"/>
      <c r="H220" s="8"/>
      <c r="I220" s="8"/>
      <c r="J220" s="8"/>
      <c r="K220" s="8"/>
      <c r="L220" s="8"/>
    </row>
    <row r="221" spans="1:12" ht="12.75" customHeight="1" x14ac:dyDescent="0.2">
      <c r="A221" s="38"/>
      <c r="B221" s="38"/>
      <c r="C221" s="8"/>
      <c r="D221" s="8"/>
      <c r="E221" s="8"/>
      <c r="F221" s="8"/>
      <c r="G221" s="8"/>
      <c r="H221" s="8"/>
      <c r="I221" s="8"/>
      <c r="J221" s="8"/>
      <c r="K221" s="8"/>
      <c r="L221" s="8"/>
    </row>
    <row r="222" spans="1:12" ht="12.75" customHeight="1" x14ac:dyDescent="0.2">
      <c r="A222" s="38"/>
      <c r="B222" s="38"/>
      <c r="C222" s="8"/>
      <c r="D222" s="8"/>
      <c r="E222" s="8"/>
      <c r="F222" s="8"/>
      <c r="G222" s="8"/>
      <c r="H222" s="8"/>
      <c r="I222" s="8"/>
      <c r="J222" s="8"/>
      <c r="K222" s="8"/>
      <c r="L222" s="8"/>
    </row>
    <row r="223" spans="1:12" ht="12.75" customHeight="1" x14ac:dyDescent="0.2">
      <c r="A223" s="38"/>
      <c r="B223" s="38"/>
      <c r="C223" s="8"/>
      <c r="D223" s="8"/>
      <c r="E223" s="8"/>
      <c r="F223" s="8"/>
      <c r="G223" s="8"/>
      <c r="H223" s="8"/>
      <c r="I223" s="8"/>
      <c r="J223" s="8"/>
      <c r="K223" s="8"/>
      <c r="L223" s="8"/>
    </row>
    <row r="224" spans="1:12" ht="12.75" customHeight="1" x14ac:dyDescent="0.2">
      <c r="A224" s="38"/>
      <c r="B224" s="38"/>
      <c r="C224" s="8"/>
      <c r="D224" s="8"/>
      <c r="E224" s="8"/>
      <c r="F224" s="8"/>
      <c r="G224" s="8"/>
      <c r="H224" s="8"/>
      <c r="I224" s="8"/>
      <c r="J224" s="8"/>
      <c r="K224" s="8"/>
      <c r="L224" s="8"/>
    </row>
    <row r="225" spans="1:12" ht="12.75" customHeight="1" x14ac:dyDescent="0.2">
      <c r="A225" s="38"/>
      <c r="B225" s="38"/>
      <c r="C225" s="8"/>
      <c r="D225" s="8"/>
      <c r="E225" s="8"/>
      <c r="F225" s="8"/>
      <c r="G225" s="8"/>
      <c r="H225" s="8"/>
      <c r="I225" s="8"/>
      <c r="J225" s="8"/>
      <c r="K225" s="8"/>
      <c r="L225" s="8"/>
    </row>
    <row r="226" spans="1:12" ht="12.75" customHeight="1" x14ac:dyDescent="0.2">
      <c r="A226" s="38"/>
      <c r="B226" s="38"/>
      <c r="C226" s="8"/>
      <c r="D226" s="8"/>
      <c r="E226" s="8"/>
      <c r="F226" s="8"/>
      <c r="G226" s="8"/>
      <c r="H226" s="8"/>
      <c r="I226" s="8"/>
      <c r="J226" s="8"/>
      <c r="K226" s="8"/>
      <c r="L226" s="8"/>
    </row>
    <row r="227" spans="1:12" ht="12.75" customHeight="1" x14ac:dyDescent="0.2">
      <c r="A227" s="38"/>
      <c r="B227" s="38"/>
      <c r="C227" s="8"/>
      <c r="D227" s="8"/>
      <c r="E227" s="8"/>
      <c r="F227" s="8"/>
      <c r="G227" s="8"/>
      <c r="H227" s="8"/>
      <c r="I227" s="8"/>
      <c r="J227" s="8"/>
      <c r="K227" s="8"/>
      <c r="L227" s="8"/>
    </row>
    <row r="228" spans="1:12" ht="12.75" customHeight="1" x14ac:dyDescent="0.2">
      <c r="A228" s="38"/>
      <c r="B228" s="38"/>
      <c r="C228" s="8"/>
      <c r="D228" s="8"/>
      <c r="E228" s="8"/>
      <c r="F228" s="8"/>
      <c r="G228" s="8"/>
      <c r="H228" s="8"/>
      <c r="I228" s="8"/>
      <c r="J228" s="8"/>
      <c r="K228" s="8"/>
      <c r="L228" s="8"/>
    </row>
    <row r="229" spans="1:12" ht="12.75" customHeight="1" x14ac:dyDescent="0.2">
      <c r="A229" s="38"/>
      <c r="B229" s="38"/>
      <c r="C229" s="8"/>
      <c r="D229" s="8"/>
      <c r="E229" s="8"/>
      <c r="F229" s="8"/>
      <c r="G229" s="8"/>
      <c r="H229" s="8"/>
      <c r="I229" s="8"/>
      <c r="J229" s="8"/>
      <c r="K229" s="8"/>
      <c r="L229" s="8"/>
    </row>
    <row r="230" spans="1:12" ht="12.75" customHeight="1" x14ac:dyDescent="0.2">
      <c r="A230" s="38"/>
      <c r="B230" s="38"/>
      <c r="C230" s="8"/>
      <c r="D230" s="8"/>
      <c r="E230" s="8"/>
      <c r="F230" s="8"/>
      <c r="G230" s="8"/>
      <c r="H230" s="8"/>
      <c r="I230" s="8"/>
      <c r="J230" s="8"/>
      <c r="K230" s="8"/>
      <c r="L230" s="8"/>
    </row>
    <row r="231" spans="1:12" ht="12.75" customHeight="1" x14ac:dyDescent="0.2">
      <c r="A231" s="38"/>
      <c r="B231" s="38"/>
      <c r="C231" s="8"/>
      <c r="D231" s="8"/>
      <c r="E231" s="8"/>
      <c r="F231" s="8"/>
      <c r="G231" s="8"/>
      <c r="H231" s="8"/>
      <c r="I231" s="8"/>
      <c r="J231" s="8"/>
      <c r="K231" s="8"/>
      <c r="L231" s="8"/>
    </row>
    <row r="232" spans="1:12" ht="12.75" customHeight="1" x14ac:dyDescent="0.2">
      <c r="A232" s="38"/>
      <c r="B232" s="38"/>
      <c r="C232" s="8"/>
      <c r="D232" s="8"/>
      <c r="E232" s="8"/>
      <c r="F232" s="8"/>
      <c r="G232" s="8"/>
      <c r="H232" s="8"/>
      <c r="I232" s="8"/>
      <c r="J232" s="8"/>
      <c r="K232" s="8"/>
      <c r="L232" s="8"/>
    </row>
    <row r="233" spans="1:12" ht="12.75" customHeight="1" x14ac:dyDescent="0.2">
      <c r="A233" s="38"/>
      <c r="B233" s="38"/>
      <c r="C233" s="8"/>
      <c r="D233" s="8"/>
      <c r="E233" s="8"/>
      <c r="F233" s="8"/>
      <c r="G233" s="8"/>
      <c r="H233" s="8"/>
      <c r="I233" s="8"/>
      <c r="J233" s="8"/>
      <c r="K233" s="8"/>
      <c r="L233" s="8"/>
    </row>
    <row r="234" spans="1:12" ht="12.75" customHeight="1" x14ac:dyDescent="0.2">
      <c r="A234" s="38"/>
      <c r="B234" s="38"/>
      <c r="C234" s="8"/>
      <c r="D234" s="8"/>
      <c r="E234" s="8"/>
      <c r="F234" s="8"/>
      <c r="G234" s="8"/>
      <c r="H234" s="8"/>
      <c r="I234" s="8"/>
      <c r="J234" s="8"/>
      <c r="K234" s="8"/>
      <c r="L234" s="8"/>
    </row>
    <row r="235" spans="1:12" ht="12.75" customHeight="1" x14ac:dyDescent="0.2">
      <c r="A235" s="38"/>
      <c r="B235" s="38"/>
      <c r="C235" s="8"/>
      <c r="D235" s="8"/>
      <c r="E235" s="8"/>
      <c r="F235" s="8"/>
      <c r="G235" s="8"/>
      <c r="H235" s="8"/>
      <c r="I235" s="8"/>
      <c r="J235" s="8"/>
      <c r="K235" s="8"/>
      <c r="L235" s="8"/>
    </row>
    <row r="236" spans="1:12" ht="12.75" customHeight="1" x14ac:dyDescent="0.2">
      <c r="A236" s="38"/>
      <c r="B236" s="38"/>
      <c r="C236" s="8"/>
      <c r="D236" s="8"/>
      <c r="E236" s="8"/>
      <c r="F236" s="8"/>
      <c r="G236" s="8"/>
      <c r="H236" s="8"/>
      <c r="I236" s="8"/>
      <c r="J236" s="8"/>
      <c r="K236" s="8"/>
      <c r="L236" s="8"/>
    </row>
    <row r="237" spans="1:12" ht="12.75" customHeight="1" x14ac:dyDescent="0.2">
      <c r="A237" s="38"/>
      <c r="B237" s="38"/>
      <c r="C237" s="8"/>
      <c r="D237" s="8"/>
      <c r="E237" s="8"/>
      <c r="F237" s="8"/>
      <c r="G237" s="8"/>
      <c r="H237" s="8"/>
      <c r="I237" s="8"/>
      <c r="J237" s="8"/>
      <c r="K237" s="8"/>
      <c r="L237" s="8"/>
    </row>
    <row r="238" spans="1:12" ht="12.75" customHeight="1" x14ac:dyDescent="0.2">
      <c r="A238" s="38"/>
      <c r="B238" s="38"/>
      <c r="C238" s="8"/>
      <c r="D238" s="8"/>
      <c r="E238" s="8"/>
      <c r="F238" s="8"/>
      <c r="G238" s="8"/>
      <c r="H238" s="8"/>
      <c r="I238" s="8"/>
      <c r="J238" s="8"/>
      <c r="K238" s="8"/>
      <c r="L238" s="8"/>
    </row>
    <row r="239" spans="1:12" ht="12.75" customHeight="1" x14ac:dyDescent="0.2">
      <c r="A239" s="38"/>
      <c r="B239" s="38"/>
      <c r="C239" s="8"/>
      <c r="D239" s="8"/>
      <c r="E239" s="8"/>
      <c r="F239" s="8"/>
      <c r="G239" s="8"/>
      <c r="H239" s="8"/>
      <c r="I239" s="8"/>
      <c r="J239" s="8"/>
      <c r="K239" s="8"/>
      <c r="L239" s="8"/>
    </row>
    <row r="240" spans="1:12" ht="12.75" customHeight="1" x14ac:dyDescent="0.2">
      <c r="A240" s="38"/>
      <c r="B240" s="38"/>
      <c r="C240" s="8"/>
      <c r="D240" s="8"/>
      <c r="E240" s="8"/>
      <c r="F240" s="8"/>
      <c r="G240" s="8"/>
      <c r="H240" s="8"/>
      <c r="I240" s="8"/>
      <c r="J240" s="8"/>
      <c r="K240" s="8"/>
      <c r="L240" s="8"/>
    </row>
    <row r="241" spans="1:12" ht="12.75" customHeight="1" x14ac:dyDescent="0.2">
      <c r="A241" s="38"/>
      <c r="B241" s="38"/>
      <c r="C241" s="8"/>
      <c r="D241" s="8"/>
      <c r="E241" s="8"/>
      <c r="F241" s="8"/>
      <c r="G241" s="8"/>
      <c r="H241" s="8"/>
      <c r="I241" s="8"/>
      <c r="J241" s="8"/>
      <c r="K241" s="8"/>
      <c r="L241" s="8"/>
    </row>
    <row r="242" spans="1:12" ht="12.75" customHeight="1" x14ac:dyDescent="0.2">
      <c r="A242" s="38"/>
      <c r="B242" s="38"/>
      <c r="C242" s="8"/>
      <c r="D242" s="8"/>
      <c r="E242" s="8"/>
      <c r="F242" s="8"/>
      <c r="G242" s="8"/>
      <c r="H242" s="8"/>
      <c r="I242" s="8"/>
      <c r="J242" s="8"/>
      <c r="K242" s="8"/>
      <c r="L242" s="8"/>
    </row>
    <row r="243" spans="1:12" ht="12.75" customHeight="1" x14ac:dyDescent="0.2">
      <c r="A243" s="38"/>
      <c r="B243" s="38"/>
      <c r="C243" s="8"/>
      <c r="D243" s="8"/>
      <c r="E243" s="8"/>
      <c r="F243" s="8"/>
      <c r="G243" s="8"/>
      <c r="H243" s="8"/>
      <c r="I243" s="8"/>
      <c r="J243" s="8"/>
      <c r="K243" s="8"/>
      <c r="L243" s="8"/>
    </row>
    <row r="244" spans="1:12" ht="12.75" customHeight="1" x14ac:dyDescent="0.2">
      <c r="A244" s="38"/>
      <c r="B244" s="38"/>
      <c r="C244" s="8"/>
      <c r="D244" s="8"/>
      <c r="E244" s="8"/>
      <c r="F244" s="8"/>
      <c r="G244" s="8"/>
      <c r="H244" s="8"/>
      <c r="I244" s="8"/>
      <c r="J244" s="8"/>
      <c r="K244" s="8"/>
      <c r="L244" s="8"/>
    </row>
    <row r="245" spans="1:12" ht="12.75" customHeight="1" x14ac:dyDescent="0.2">
      <c r="A245" s="38"/>
      <c r="B245" s="38"/>
      <c r="C245" s="8"/>
      <c r="D245" s="8"/>
      <c r="E245" s="8"/>
      <c r="F245" s="8"/>
      <c r="G245" s="8"/>
      <c r="H245" s="8"/>
      <c r="I245" s="8"/>
      <c r="J245" s="8"/>
      <c r="K245" s="8"/>
      <c r="L245" s="8"/>
    </row>
    <row r="246" spans="1:12" ht="12.75" customHeight="1" x14ac:dyDescent="0.2">
      <c r="A246" s="38"/>
      <c r="B246" s="38"/>
      <c r="C246" s="8"/>
      <c r="D246" s="8"/>
      <c r="E246" s="8"/>
      <c r="F246" s="8"/>
      <c r="G246" s="8"/>
      <c r="H246" s="8"/>
      <c r="I246" s="8"/>
      <c r="J246" s="8"/>
      <c r="K246" s="8"/>
      <c r="L246" s="8"/>
    </row>
    <row r="247" spans="1:12" ht="12.75" customHeight="1" x14ac:dyDescent="0.2">
      <c r="A247" s="38"/>
      <c r="B247" s="38"/>
      <c r="C247" s="8"/>
      <c r="D247" s="8"/>
      <c r="E247" s="8"/>
      <c r="F247" s="8"/>
      <c r="G247" s="8"/>
      <c r="H247" s="8"/>
      <c r="I247" s="8"/>
      <c r="J247" s="8"/>
      <c r="K247" s="8"/>
      <c r="L247" s="8"/>
    </row>
    <row r="248" spans="1:12" ht="12.75" customHeight="1" x14ac:dyDescent="0.2">
      <c r="A248" s="38"/>
      <c r="B248" s="38"/>
      <c r="C248" s="8"/>
      <c r="D248" s="8"/>
      <c r="E248" s="8"/>
      <c r="F248" s="8"/>
      <c r="G248" s="8"/>
      <c r="H248" s="8"/>
      <c r="I248" s="8"/>
      <c r="J248" s="8"/>
      <c r="K248" s="8"/>
      <c r="L248" s="8"/>
    </row>
    <row r="249" spans="1:12" ht="12.75" customHeight="1" x14ac:dyDescent="0.2">
      <c r="A249" s="38"/>
      <c r="B249" s="38"/>
      <c r="C249" s="8"/>
      <c r="D249" s="8"/>
      <c r="E249" s="8"/>
      <c r="F249" s="8"/>
      <c r="G249" s="8"/>
      <c r="H249" s="8"/>
      <c r="I249" s="8"/>
      <c r="J249" s="8"/>
      <c r="K249" s="8"/>
      <c r="L249" s="8"/>
    </row>
    <row r="250" spans="1:12" ht="12.75" customHeight="1" x14ac:dyDescent="0.2">
      <c r="A250" s="38"/>
      <c r="B250" s="38"/>
      <c r="C250" s="8"/>
      <c r="D250" s="8"/>
      <c r="E250" s="8"/>
      <c r="F250" s="8"/>
      <c r="G250" s="8"/>
      <c r="H250" s="8"/>
      <c r="I250" s="8"/>
      <c r="J250" s="8"/>
      <c r="K250" s="8"/>
      <c r="L250" s="8"/>
    </row>
    <row r="251" spans="1:12" ht="12.75" customHeight="1" x14ac:dyDescent="0.2">
      <c r="A251" s="38"/>
      <c r="B251" s="38"/>
      <c r="C251" s="8"/>
      <c r="D251" s="8"/>
      <c r="E251" s="8"/>
      <c r="F251" s="8"/>
      <c r="G251" s="8"/>
      <c r="H251" s="8"/>
      <c r="I251" s="8"/>
      <c r="J251" s="8"/>
      <c r="K251" s="8"/>
      <c r="L251" s="8"/>
    </row>
    <row r="252" spans="1:12" ht="12.75" customHeight="1" x14ac:dyDescent="0.2">
      <c r="A252" s="38"/>
      <c r="B252" s="38"/>
      <c r="C252" s="8"/>
      <c r="D252" s="8"/>
      <c r="E252" s="8"/>
      <c r="F252" s="8"/>
      <c r="G252" s="8"/>
      <c r="H252" s="8"/>
      <c r="I252" s="8"/>
      <c r="J252" s="8"/>
      <c r="K252" s="8"/>
      <c r="L252" s="8"/>
    </row>
    <row r="253" spans="1:12" ht="12.75" customHeight="1" x14ac:dyDescent="0.2">
      <c r="A253" s="38"/>
      <c r="B253" s="38"/>
      <c r="C253" s="8"/>
      <c r="D253" s="8"/>
      <c r="E253" s="8"/>
      <c r="F253" s="8"/>
      <c r="G253" s="8"/>
      <c r="H253" s="8"/>
      <c r="I253" s="8"/>
      <c r="J253" s="8"/>
      <c r="K253" s="8"/>
      <c r="L253" s="8"/>
    </row>
    <row r="254" spans="1:12" ht="12.75" customHeight="1" x14ac:dyDescent="0.2">
      <c r="A254" s="38"/>
      <c r="B254" s="38"/>
      <c r="C254" s="8"/>
      <c r="D254" s="8"/>
      <c r="E254" s="8"/>
      <c r="F254" s="8"/>
      <c r="G254" s="8"/>
      <c r="H254" s="8"/>
      <c r="I254" s="8"/>
      <c r="J254" s="8"/>
      <c r="K254" s="8"/>
      <c r="L254" s="8"/>
    </row>
    <row r="255" spans="1:12" ht="12.75" customHeight="1" x14ac:dyDescent="0.2">
      <c r="A255" s="38"/>
      <c r="B255" s="38"/>
      <c r="C255" s="8"/>
      <c r="D255" s="8"/>
      <c r="E255" s="8"/>
      <c r="F255" s="8"/>
      <c r="G255" s="8"/>
      <c r="H255" s="8"/>
      <c r="I255" s="8"/>
      <c r="J255" s="8"/>
      <c r="K255" s="8"/>
      <c r="L255" s="8"/>
    </row>
    <row r="256" spans="1:12" ht="12.75" customHeight="1" x14ac:dyDescent="0.2">
      <c r="A256" s="38"/>
      <c r="B256" s="38"/>
      <c r="C256" s="8"/>
      <c r="D256" s="8"/>
      <c r="E256" s="8"/>
      <c r="F256" s="8"/>
      <c r="G256" s="8"/>
      <c r="H256" s="8"/>
      <c r="I256" s="8"/>
      <c r="J256" s="8"/>
      <c r="K256" s="8"/>
      <c r="L256" s="8"/>
    </row>
    <row r="257" spans="1:12" ht="12.75" customHeight="1" x14ac:dyDescent="0.2">
      <c r="A257" s="38"/>
      <c r="B257" s="38"/>
      <c r="C257" s="8"/>
      <c r="D257" s="8"/>
      <c r="E257" s="8"/>
      <c r="F257" s="8"/>
      <c r="G257" s="8"/>
      <c r="H257" s="8"/>
      <c r="I257" s="8"/>
      <c r="J257" s="8"/>
      <c r="K257" s="8"/>
      <c r="L257" s="8"/>
    </row>
    <row r="258" spans="1:12" ht="12.75" customHeight="1" x14ac:dyDescent="0.2">
      <c r="A258" s="38"/>
      <c r="B258" s="38"/>
      <c r="C258" s="8"/>
      <c r="D258" s="8"/>
      <c r="E258" s="8"/>
      <c r="F258" s="8"/>
      <c r="G258" s="8"/>
      <c r="H258" s="8"/>
      <c r="I258" s="8"/>
      <c r="J258" s="8"/>
      <c r="K258" s="8"/>
      <c r="L258" s="8"/>
    </row>
    <row r="259" spans="1:12" ht="12.75" customHeight="1" x14ac:dyDescent="0.2">
      <c r="A259" s="38"/>
      <c r="B259" s="38"/>
      <c r="C259" s="8"/>
      <c r="D259" s="8"/>
      <c r="E259" s="8"/>
      <c r="F259" s="8"/>
      <c r="G259" s="8"/>
      <c r="H259" s="8"/>
      <c r="I259" s="8"/>
      <c r="J259" s="8"/>
      <c r="K259" s="8"/>
      <c r="L259" s="8"/>
    </row>
    <row r="260" spans="1:12" ht="12.75" customHeight="1" x14ac:dyDescent="0.2">
      <c r="A260" s="38"/>
      <c r="B260" s="38"/>
      <c r="C260" s="8"/>
      <c r="D260" s="8"/>
      <c r="E260" s="8"/>
      <c r="F260" s="8"/>
      <c r="G260" s="8"/>
      <c r="H260" s="8"/>
      <c r="I260" s="8"/>
      <c r="J260" s="8"/>
      <c r="K260" s="8"/>
      <c r="L260" s="8"/>
    </row>
    <row r="261" spans="1:12" ht="12.75" customHeight="1" x14ac:dyDescent="0.2">
      <c r="A261" s="38"/>
      <c r="B261" s="38"/>
      <c r="C261" s="8"/>
      <c r="D261" s="8"/>
      <c r="E261" s="8"/>
      <c r="F261" s="8"/>
      <c r="G261" s="8"/>
      <c r="H261" s="8"/>
      <c r="I261" s="8"/>
      <c r="J261" s="8"/>
      <c r="K261" s="8"/>
      <c r="L261" s="8"/>
    </row>
    <row r="262" spans="1:12" ht="12.75" customHeight="1" x14ac:dyDescent="0.2">
      <c r="A262" s="38"/>
      <c r="B262" s="38"/>
      <c r="C262" s="8"/>
      <c r="D262" s="8"/>
      <c r="E262" s="8"/>
      <c r="F262" s="8"/>
      <c r="G262" s="8"/>
      <c r="H262" s="8"/>
      <c r="I262" s="8"/>
      <c r="J262" s="8"/>
      <c r="K262" s="8"/>
      <c r="L262" s="8"/>
    </row>
    <row r="263" spans="1:12" ht="12.75" customHeight="1" x14ac:dyDescent="0.2">
      <c r="A263" s="38"/>
      <c r="B263" s="38"/>
      <c r="C263" s="8"/>
      <c r="D263" s="8"/>
      <c r="E263" s="8"/>
      <c r="F263" s="8"/>
      <c r="G263" s="8"/>
      <c r="H263" s="8"/>
      <c r="I263" s="8"/>
      <c r="J263" s="8"/>
      <c r="K263" s="8"/>
      <c r="L263" s="8"/>
    </row>
    <row r="264" spans="1:12" ht="12.75" customHeight="1" x14ac:dyDescent="0.2">
      <c r="A264" s="38"/>
      <c r="B264" s="38"/>
      <c r="C264" s="8"/>
      <c r="D264" s="8"/>
      <c r="E264" s="8"/>
      <c r="F264" s="8"/>
      <c r="G264" s="8"/>
      <c r="H264" s="8"/>
      <c r="I264" s="8"/>
      <c r="J264" s="8"/>
      <c r="K264" s="8"/>
      <c r="L264" s="8"/>
    </row>
    <row r="265" spans="1:12" ht="12.75" customHeight="1" x14ac:dyDescent="0.2">
      <c r="A265" s="38"/>
      <c r="B265" s="38"/>
      <c r="C265" s="8"/>
      <c r="D265" s="8"/>
      <c r="E265" s="8"/>
      <c r="F265" s="8"/>
      <c r="G265" s="8"/>
      <c r="H265" s="8"/>
      <c r="I265" s="8"/>
      <c r="J265" s="8"/>
      <c r="K265" s="8"/>
      <c r="L265" s="8"/>
    </row>
    <row r="266" spans="1:12" ht="12.75" customHeight="1" x14ac:dyDescent="0.2">
      <c r="A266" s="38"/>
      <c r="B266" s="38"/>
      <c r="C266" s="8"/>
      <c r="D266" s="8"/>
      <c r="E266" s="8"/>
      <c r="F266" s="8"/>
      <c r="G266" s="8"/>
      <c r="H266" s="8"/>
      <c r="I266" s="8"/>
      <c r="J266" s="8"/>
      <c r="K266" s="8"/>
      <c r="L266" s="8"/>
    </row>
    <row r="267" spans="1:12" ht="12.75" customHeight="1" x14ac:dyDescent="0.2">
      <c r="A267" s="38"/>
      <c r="B267" s="38"/>
      <c r="C267" s="8"/>
      <c r="D267" s="8"/>
      <c r="E267" s="8"/>
      <c r="F267" s="8"/>
      <c r="G267" s="8"/>
      <c r="H267" s="8"/>
      <c r="I267" s="8"/>
      <c r="J267" s="8"/>
      <c r="K267" s="8"/>
      <c r="L267" s="8"/>
    </row>
    <row r="268" spans="1:12" ht="12.75" customHeight="1" x14ac:dyDescent="0.2">
      <c r="A268" s="38"/>
      <c r="B268" s="38"/>
      <c r="C268" s="8"/>
      <c r="D268" s="8"/>
      <c r="E268" s="8"/>
      <c r="F268" s="8"/>
      <c r="G268" s="8"/>
      <c r="H268" s="8"/>
      <c r="I268" s="8"/>
      <c r="J268" s="8"/>
      <c r="K268" s="8"/>
      <c r="L268" s="8"/>
    </row>
    <row r="269" spans="1:12" ht="12.75" customHeight="1" x14ac:dyDescent="0.2">
      <c r="A269" s="38"/>
      <c r="B269" s="38"/>
      <c r="C269" s="8"/>
      <c r="D269" s="8"/>
      <c r="E269" s="8"/>
      <c r="F269" s="8"/>
      <c r="G269" s="8"/>
      <c r="H269" s="8"/>
      <c r="I269" s="8"/>
      <c r="J269" s="8"/>
      <c r="K269" s="8"/>
      <c r="L269" s="8"/>
    </row>
    <row r="270" spans="1:12" ht="12.75" customHeight="1" x14ac:dyDescent="0.2">
      <c r="A270" s="38"/>
      <c r="B270" s="38"/>
      <c r="C270" s="8"/>
      <c r="D270" s="8"/>
      <c r="E270" s="8"/>
      <c r="F270" s="8"/>
      <c r="G270" s="8"/>
      <c r="H270" s="8"/>
      <c r="I270" s="8"/>
      <c r="J270" s="8"/>
      <c r="K270" s="8"/>
      <c r="L270" s="8"/>
    </row>
    <row r="271" spans="1:12" ht="12.75" customHeight="1" x14ac:dyDescent="0.2">
      <c r="A271" s="38"/>
      <c r="B271" s="38"/>
      <c r="C271" s="8"/>
      <c r="D271" s="8"/>
      <c r="E271" s="8"/>
      <c r="F271" s="8"/>
      <c r="G271" s="8"/>
      <c r="H271" s="8"/>
      <c r="I271" s="8"/>
      <c r="J271" s="8"/>
      <c r="K271" s="8"/>
      <c r="L271" s="8"/>
    </row>
    <row r="272" spans="1:12" ht="12.75" customHeight="1" x14ac:dyDescent="0.2">
      <c r="A272" s="38"/>
      <c r="B272" s="38"/>
      <c r="C272" s="8"/>
      <c r="D272" s="8"/>
      <c r="E272" s="8"/>
      <c r="F272" s="8"/>
      <c r="G272" s="8"/>
      <c r="H272" s="8"/>
      <c r="I272" s="8"/>
      <c r="J272" s="8"/>
      <c r="K272" s="8"/>
      <c r="L272" s="8"/>
    </row>
    <row r="273" spans="1:12" ht="12.75" customHeight="1" x14ac:dyDescent="0.2">
      <c r="A273" s="38"/>
      <c r="B273" s="38"/>
      <c r="C273" s="8"/>
      <c r="D273" s="8"/>
      <c r="E273" s="8"/>
      <c r="F273" s="8"/>
      <c r="G273" s="8"/>
      <c r="H273" s="8"/>
      <c r="I273" s="8"/>
      <c r="J273" s="8"/>
      <c r="K273" s="8"/>
      <c r="L273" s="8"/>
    </row>
    <row r="274" spans="1:12" ht="12.75" customHeight="1" x14ac:dyDescent="0.2">
      <c r="A274" s="38"/>
      <c r="B274" s="38"/>
      <c r="C274" s="8"/>
      <c r="D274" s="8"/>
      <c r="E274" s="8"/>
      <c r="F274" s="8"/>
      <c r="G274" s="8"/>
      <c r="H274" s="8"/>
      <c r="I274" s="8"/>
      <c r="J274" s="8"/>
      <c r="K274" s="8"/>
      <c r="L274" s="8"/>
    </row>
    <row r="275" spans="1:12" ht="12.75" customHeight="1" x14ac:dyDescent="0.2">
      <c r="A275" s="38"/>
      <c r="B275" s="38"/>
      <c r="C275" s="8"/>
      <c r="D275" s="8"/>
      <c r="E275" s="8"/>
      <c r="F275" s="8"/>
      <c r="G275" s="8"/>
      <c r="H275" s="8"/>
      <c r="I275" s="8"/>
      <c r="J275" s="8"/>
      <c r="K275" s="8"/>
      <c r="L275" s="8"/>
    </row>
    <row r="276" spans="1:12" ht="12.75" customHeight="1" x14ac:dyDescent="0.2">
      <c r="A276" s="38"/>
      <c r="B276" s="38"/>
      <c r="C276" s="8"/>
      <c r="D276" s="8"/>
      <c r="E276" s="8"/>
      <c r="F276" s="8"/>
      <c r="G276" s="8"/>
      <c r="H276" s="8"/>
      <c r="I276" s="8"/>
      <c r="J276" s="8"/>
      <c r="K276" s="8"/>
      <c r="L276" s="8"/>
    </row>
    <row r="277" spans="1:12" ht="12.75" customHeight="1" x14ac:dyDescent="0.2">
      <c r="A277" s="38"/>
      <c r="B277" s="38"/>
      <c r="C277" s="8"/>
      <c r="D277" s="8"/>
      <c r="E277" s="8"/>
      <c r="F277" s="8"/>
      <c r="G277" s="8"/>
      <c r="H277" s="8"/>
      <c r="I277" s="8"/>
      <c r="J277" s="8"/>
      <c r="K277" s="8"/>
      <c r="L277" s="8"/>
    </row>
    <row r="278" spans="1:12" ht="12.75" customHeight="1" x14ac:dyDescent="0.2">
      <c r="A278" s="38"/>
      <c r="B278" s="38"/>
      <c r="C278" s="8"/>
      <c r="D278" s="8"/>
      <c r="E278" s="8"/>
      <c r="F278" s="8"/>
      <c r="G278" s="8"/>
      <c r="H278" s="8"/>
      <c r="I278" s="8"/>
      <c r="J278" s="8"/>
      <c r="K278" s="8"/>
      <c r="L278" s="8"/>
    </row>
    <row r="279" spans="1:12" ht="12.75" customHeight="1" x14ac:dyDescent="0.2">
      <c r="A279" s="38"/>
      <c r="B279" s="38"/>
      <c r="C279" s="8"/>
      <c r="D279" s="8"/>
      <c r="E279" s="8"/>
      <c r="F279" s="8"/>
      <c r="G279" s="8"/>
      <c r="H279" s="8"/>
      <c r="I279" s="8"/>
      <c r="J279" s="8"/>
      <c r="K279" s="8"/>
      <c r="L279" s="8"/>
    </row>
    <row r="280" spans="1:12" ht="12.75" customHeight="1" x14ac:dyDescent="0.2">
      <c r="A280" s="38"/>
      <c r="B280" s="38"/>
      <c r="C280" s="8"/>
      <c r="D280" s="8"/>
      <c r="E280" s="8"/>
      <c r="F280" s="8"/>
      <c r="G280" s="8"/>
      <c r="H280" s="8"/>
      <c r="I280" s="8"/>
      <c r="J280" s="8"/>
      <c r="K280" s="8"/>
      <c r="L280" s="8"/>
    </row>
    <row r="281" spans="1:12" ht="12.75" customHeight="1" x14ac:dyDescent="0.2">
      <c r="A281" s="38"/>
      <c r="B281" s="38"/>
      <c r="C281" s="8"/>
      <c r="D281" s="8"/>
      <c r="E281" s="8"/>
      <c r="F281" s="8"/>
      <c r="G281" s="8"/>
      <c r="H281" s="8"/>
      <c r="I281" s="8"/>
      <c r="J281" s="8"/>
      <c r="K281" s="8"/>
      <c r="L281" s="8"/>
    </row>
    <row r="282" spans="1:12" ht="12.75" customHeight="1" x14ac:dyDescent="0.2">
      <c r="A282" s="38"/>
      <c r="B282" s="38"/>
      <c r="C282" s="8"/>
      <c r="D282" s="8"/>
      <c r="E282" s="8"/>
      <c r="F282" s="8"/>
      <c r="G282" s="8"/>
      <c r="H282" s="8"/>
      <c r="I282" s="8"/>
      <c r="J282" s="8"/>
      <c r="K282" s="8"/>
      <c r="L282" s="8"/>
    </row>
    <row r="283" spans="1:12" ht="12.75" customHeight="1" x14ac:dyDescent="0.2">
      <c r="A283" s="38"/>
      <c r="B283" s="38"/>
      <c r="C283" s="8"/>
      <c r="D283" s="8"/>
      <c r="E283" s="8"/>
      <c r="F283" s="8"/>
      <c r="G283" s="8"/>
      <c r="H283" s="8"/>
      <c r="I283" s="8"/>
      <c r="J283" s="8"/>
      <c r="K283" s="8"/>
      <c r="L283" s="8"/>
    </row>
    <row r="284" spans="1:12" ht="12.75" customHeight="1" x14ac:dyDescent="0.2">
      <c r="A284" s="38"/>
      <c r="B284" s="38"/>
      <c r="C284" s="8"/>
      <c r="D284" s="8"/>
      <c r="E284" s="8"/>
      <c r="F284" s="8"/>
      <c r="G284" s="8"/>
      <c r="H284" s="8"/>
      <c r="I284" s="8"/>
      <c r="J284" s="8"/>
      <c r="K284" s="8"/>
      <c r="L284" s="8"/>
    </row>
    <row r="285" spans="1:12" ht="12.75" customHeight="1" x14ac:dyDescent="0.2">
      <c r="A285" s="38"/>
      <c r="B285" s="38"/>
      <c r="C285" s="8"/>
      <c r="D285" s="8"/>
      <c r="E285" s="8"/>
      <c r="F285" s="8"/>
      <c r="G285" s="8"/>
      <c r="H285" s="8"/>
      <c r="I285" s="8"/>
      <c r="J285" s="8"/>
      <c r="K285" s="8"/>
      <c r="L285" s="8"/>
    </row>
    <row r="286" spans="1:12" ht="12.75" customHeight="1" x14ac:dyDescent="0.2">
      <c r="A286" s="38"/>
      <c r="B286" s="38"/>
      <c r="C286" s="8"/>
      <c r="D286" s="8"/>
      <c r="E286" s="8"/>
      <c r="F286" s="8"/>
      <c r="G286" s="8"/>
      <c r="H286" s="8"/>
      <c r="I286" s="8"/>
      <c r="J286" s="8"/>
      <c r="K286" s="8"/>
      <c r="L286" s="8"/>
    </row>
    <row r="287" spans="1:12" ht="12.75" customHeight="1" x14ac:dyDescent="0.2">
      <c r="A287" s="38"/>
      <c r="B287" s="38"/>
      <c r="C287" s="8"/>
      <c r="D287" s="8"/>
      <c r="E287" s="8"/>
      <c r="F287" s="8"/>
      <c r="G287" s="8"/>
      <c r="H287" s="8"/>
      <c r="I287" s="8"/>
      <c r="J287" s="8"/>
      <c r="K287" s="8"/>
      <c r="L287" s="8"/>
    </row>
    <row r="288" spans="1:12" ht="12.75" customHeight="1" x14ac:dyDescent="0.2">
      <c r="A288" s="38"/>
      <c r="B288" s="38"/>
      <c r="C288" s="8"/>
      <c r="D288" s="8"/>
      <c r="E288" s="8"/>
      <c r="F288" s="8"/>
      <c r="G288" s="8"/>
      <c r="H288" s="8"/>
      <c r="I288" s="8"/>
      <c r="J288" s="8"/>
      <c r="K288" s="8"/>
      <c r="L288" s="8"/>
    </row>
    <row r="289" spans="1:12" ht="12.75" customHeight="1" x14ac:dyDescent="0.2">
      <c r="A289" s="38"/>
      <c r="B289" s="38"/>
      <c r="C289" s="8"/>
      <c r="D289" s="8"/>
      <c r="E289" s="8"/>
      <c r="F289" s="8"/>
      <c r="G289" s="8"/>
      <c r="H289" s="8"/>
      <c r="I289" s="8"/>
      <c r="J289" s="8"/>
      <c r="K289" s="8"/>
      <c r="L289" s="8"/>
    </row>
    <row r="290" spans="1:12" ht="12.75" customHeight="1" x14ac:dyDescent="0.2">
      <c r="A290" s="38"/>
      <c r="B290" s="38"/>
      <c r="C290" s="8"/>
      <c r="D290" s="8"/>
      <c r="E290" s="8"/>
      <c r="F290" s="8"/>
      <c r="G290" s="8"/>
      <c r="H290" s="8"/>
      <c r="I290" s="8"/>
      <c r="J290" s="8"/>
      <c r="K290" s="8"/>
      <c r="L290" s="8"/>
    </row>
    <row r="291" spans="1:12" ht="12.75" customHeight="1" x14ac:dyDescent="0.2">
      <c r="A291" s="38"/>
      <c r="B291" s="38"/>
      <c r="C291" s="8"/>
      <c r="D291" s="8"/>
      <c r="E291" s="8"/>
      <c r="F291" s="8"/>
      <c r="G291" s="8"/>
      <c r="H291" s="8"/>
      <c r="I291" s="8"/>
      <c r="J291" s="8"/>
      <c r="K291" s="8"/>
      <c r="L291" s="8"/>
    </row>
    <row r="292" spans="1:12" ht="12.75" customHeight="1" x14ac:dyDescent="0.2">
      <c r="A292" s="38"/>
      <c r="B292" s="38"/>
      <c r="C292" s="8"/>
      <c r="D292" s="8"/>
      <c r="E292" s="8"/>
      <c r="F292" s="8"/>
      <c r="G292" s="8"/>
      <c r="H292" s="8"/>
      <c r="I292" s="8"/>
      <c r="J292" s="8"/>
      <c r="K292" s="8"/>
      <c r="L292" s="8"/>
    </row>
    <row r="293" spans="1:12" ht="12.75" customHeight="1" x14ac:dyDescent="0.2">
      <c r="A293" s="38"/>
      <c r="B293" s="38"/>
      <c r="C293" s="8"/>
      <c r="D293" s="8"/>
      <c r="E293" s="8"/>
      <c r="F293" s="8"/>
      <c r="G293" s="8"/>
      <c r="H293" s="8"/>
      <c r="I293" s="8"/>
      <c r="J293" s="8"/>
      <c r="K293" s="8"/>
      <c r="L293" s="8"/>
    </row>
    <row r="294" spans="1:12" ht="12.75" customHeight="1" x14ac:dyDescent="0.2">
      <c r="A294" s="38"/>
      <c r="B294" s="38"/>
      <c r="C294" s="8"/>
      <c r="D294" s="8"/>
      <c r="E294" s="8"/>
      <c r="F294" s="8"/>
      <c r="G294" s="8"/>
      <c r="H294" s="8"/>
      <c r="I294" s="8"/>
      <c r="J294" s="8"/>
      <c r="K294" s="8"/>
      <c r="L294" s="8"/>
    </row>
    <row r="295" spans="1:12" ht="12.75" customHeight="1" x14ac:dyDescent="0.2">
      <c r="A295" s="38"/>
      <c r="B295" s="38"/>
      <c r="C295" s="8"/>
      <c r="D295" s="8"/>
      <c r="E295" s="8"/>
      <c r="F295" s="8"/>
      <c r="G295" s="8"/>
      <c r="H295" s="8"/>
      <c r="I295" s="8"/>
      <c r="J295" s="8"/>
      <c r="K295" s="8"/>
      <c r="L295" s="8"/>
    </row>
    <row r="296" spans="1:12" ht="12.75" customHeight="1" x14ac:dyDescent="0.2">
      <c r="A296" s="38"/>
      <c r="B296" s="38"/>
      <c r="C296" s="8"/>
      <c r="D296" s="8"/>
      <c r="E296" s="8"/>
      <c r="F296" s="8"/>
      <c r="G296" s="8"/>
      <c r="H296" s="8"/>
      <c r="I296" s="8"/>
      <c r="J296" s="8"/>
      <c r="K296" s="8"/>
      <c r="L296" s="8"/>
    </row>
    <row r="297" spans="1:12" ht="12.75" customHeight="1" x14ac:dyDescent="0.2">
      <c r="A297" s="38"/>
      <c r="B297" s="38"/>
      <c r="C297" s="8"/>
      <c r="D297" s="8"/>
      <c r="E297" s="8"/>
      <c r="F297" s="8"/>
      <c r="G297" s="8"/>
      <c r="H297" s="8"/>
      <c r="I297" s="8"/>
      <c r="J297" s="8"/>
      <c r="K297" s="8"/>
      <c r="L297" s="8"/>
    </row>
    <row r="298" spans="1:12" ht="12.75" customHeight="1" x14ac:dyDescent="0.2">
      <c r="A298" s="38"/>
      <c r="B298" s="38"/>
      <c r="C298" s="8"/>
      <c r="D298" s="8"/>
      <c r="E298" s="8"/>
      <c r="F298" s="8"/>
      <c r="G298" s="8"/>
      <c r="H298" s="8"/>
      <c r="I298" s="8"/>
      <c r="J298" s="8"/>
      <c r="K298" s="8"/>
      <c r="L298" s="8"/>
    </row>
    <row r="299" spans="1:12" ht="12.75" customHeight="1" x14ac:dyDescent="0.2">
      <c r="A299" s="38"/>
      <c r="B299" s="38"/>
      <c r="C299" s="8"/>
      <c r="D299" s="8"/>
      <c r="E299" s="8"/>
      <c r="F299" s="8"/>
      <c r="G299" s="8"/>
      <c r="H299" s="8"/>
      <c r="I299" s="8"/>
      <c r="J299" s="8"/>
      <c r="K299" s="8"/>
      <c r="L299" s="8"/>
    </row>
    <row r="300" spans="1:12" ht="12.75" customHeight="1" x14ac:dyDescent="0.2">
      <c r="A300" s="38"/>
      <c r="B300" s="38"/>
      <c r="C300" s="8"/>
      <c r="D300" s="8"/>
      <c r="E300" s="8"/>
      <c r="F300" s="8"/>
      <c r="G300" s="8"/>
      <c r="H300" s="8"/>
      <c r="I300" s="8"/>
      <c r="J300" s="8"/>
      <c r="K300" s="8"/>
      <c r="L300" s="8"/>
    </row>
    <row r="301" spans="1:12" ht="12.75" customHeight="1" x14ac:dyDescent="0.2">
      <c r="A301" s="38"/>
      <c r="B301" s="38"/>
      <c r="C301" s="8"/>
      <c r="D301" s="8"/>
      <c r="E301" s="8"/>
      <c r="F301" s="8"/>
      <c r="G301" s="8"/>
      <c r="H301" s="8"/>
      <c r="I301" s="8"/>
      <c r="J301" s="8"/>
      <c r="K301" s="8"/>
      <c r="L301" s="8"/>
    </row>
    <row r="302" spans="1:12" ht="12.75" customHeight="1" x14ac:dyDescent="0.2">
      <c r="A302" s="38"/>
      <c r="B302" s="38"/>
      <c r="C302" s="8"/>
      <c r="D302" s="8"/>
      <c r="E302" s="8"/>
      <c r="F302" s="8"/>
      <c r="G302" s="8"/>
      <c r="H302" s="8"/>
      <c r="I302" s="8"/>
      <c r="J302" s="8"/>
      <c r="K302" s="8"/>
      <c r="L302" s="8"/>
    </row>
    <row r="303" spans="1:12" ht="12.75" customHeight="1" x14ac:dyDescent="0.2">
      <c r="A303" s="38"/>
      <c r="B303" s="38"/>
      <c r="C303" s="8"/>
      <c r="D303" s="8"/>
      <c r="E303" s="8"/>
      <c r="F303" s="8"/>
      <c r="G303" s="8"/>
      <c r="H303" s="8"/>
      <c r="I303" s="8"/>
      <c r="J303" s="8"/>
      <c r="K303" s="8"/>
      <c r="L303" s="8"/>
    </row>
    <row r="304" spans="1:12" ht="12.75" customHeight="1" x14ac:dyDescent="0.2">
      <c r="A304" s="38"/>
      <c r="B304" s="38"/>
      <c r="C304" s="8"/>
      <c r="D304" s="8"/>
      <c r="E304" s="8"/>
      <c r="F304" s="8"/>
      <c r="G304" s="8"/>
      <c r="H304" s="8"/>
      <c r="I304" s="8"/>
      <c r="J304" s="8"/>
      <c r="K304" s="8"/>
      <c r="L304" s="8"/>
    </row>
    <row r="305" spans="1:12" ht="12.75" customHeight="1" x14ac:dyDescent="0.2">
      <c r="A305" s="38"/>
      <c r="B305" s="38"/>
      <c r="C305" s="8"/>
      <c r="D305" s="8"/>
      <c r="E305" s="8"/>
      <c r="F305" s="8"/>
      <c r="G305" s="8"/>
      <c r="H305" s="8"/>
      <c r="I305" s="8"/>
      <c r="J305" s="8"/>
      <c r="K305" s="8"/>
      <c r="L305" s="8"/>
    </row>
    <row r="306" spans="1:12" ht="12.75" customHeight="1" x14ac:dyDescent="0.2">
      <c r="A306" s="38"/>
      <c r="B306" s="38"/>
      <c r="C306" s="8"/>
      <c r="D306" s="8"/>
      <c r="E306" s="8"/>
      <c r="F306" s="8"/>
      <c r="G306" s="8"/>
      <c r="H306" s="8"/>
      <c r="I306" s="8"/>
      <c r="J306" s="8"/>
      <c r="K306" s="8"/>
      <c r="L306" s="8"/>
    </row>
    <row r="307" spans="1:12" ht="12.75" customHeight="1" x14ac:dyDescent="0.2">
      <c r="A307" s="38"/>
      <c r="B307" s="38"/>
      <c r="C307" s="8"/>
      <c r="D307" s="8"/>
      <c r="E307" s="8"/>
      <c r="F307" s="8"/>
      <c r="G307" s="8"/>
      <c r="H307" s="8"/>
      <c r="I307" s="8"/>
      <c r="J307" s="8"/>
      <c r="K307" s="8"/>
      <c r="L307" s="8"/>
    </row>
    <row r="308" spans="1:12" ht="12.75" customHeight="1" x14ac:dyDescent="0.2">
      <c r="A308" s="38"/>
      <c r="B308" s="38"/>
      <c r="C308" s="8"/>
      <c r="D308" s="8"/>
      <c r="E308" s="8"/>
      <c r="F308" s="8"/>
      <c r="G308" s="8"/>
      <c r="H308" s="8"/>
      <c r="I308" s="8"/>
      <c r="J308" s="8"/>
      <c r="K308" s="8"/>
      <c r="L308" s="8"/>
    </row>
    <row r="309" spans="1:12" ht="12.75" customHeight="1" x14ac:dyDescent="0.2">
      <c r="A309" s="38"/>
      <c r="B309" s="38"/>
      <c r="C309" s="8"/>
      <c r="D309" s="8"/>
      <c r="E309" s="8"/>
      <c r="F309" s="8"/>
      <c r="G309" s="8"/>
      <c r="H309" s="8"/>
      <c r="I309" s="8"/>
      <c r="J309" s="8"/>
      <c r="K309" s="8"/>
      <c r="L309" s="8"/>
    </row>
    <row r="310" spans="1:12" ht="12.75" customHeight="1" x14ac:dyDescent="0.2">
      <c r="A310" s="38"/>
      <c r="B310" s="38"/>
      <c r="C310" s="8"/>
      <c r="D310" s="8"/>
      <c r="E310" s="8"/>
      <c r="F310" s="8"/>
      <c r="G310" s="8"/>
      <c r="H310" s="8"/>
      <c r="I310" s="8"/>
      <c r="J310" s="8"/>
      <c r="K310" s="8"/>
      <c r="L310" s="8"/>
    </row>
    <row r="311" spans="1:12" ht="12.75" customHeight="1" x14ac:dyDescent="0.2">
      <c r="A311" s="38"/>
      <c r="B311" s="38"/>
      <c r="C311" s="8"/>
      <c r="D311" s="8"/>
      <c r="E311" s="8"/>
      <c r="F311" s="8"/>
      <c r="G311" s="8"/>
      <c r="H311" s="8"/>
      <c r="I311" s="8"/>
      <c r="J311" s="8"/>
      <c r="K311" s="8"/>
      <c r="L311" s="8"/>
    </row>
    <row r="312" spans="1:12" ht="12.75" customHeight="1" x14ac:dyDescent="0.2">
      <c r="A312" s="38"/>
      <c r="B312" s="38"/>
      <c r="C312" s="8"/>
      <c r="D312" s="8"/>
      <c r="E312" s="8"/>
      <c r="F312" s="8"/>
      <c r="G312" s="8"/>
      <c r="H312" s="8"/>
      <c r="I312" s="8"/>
      <c r="J312" s="8"/>
      <c r="K312" s="8"/>
      <c r="L312" s="8"/>
    </row>
    <row r="313" spans="1:12" ht="12.75" customHeight="1" x14ac:dyDescent="0.2">
      <c r="A313" s="38"/>
      <c r="B313" s="38"/>
      <c r="C313" s="8"/>
      <c r="D313" s="8"/>
      <c r="E313" s="8"/>
      <c r="F313" s="8"/>
      <c r="G313" s="8"/>
      <c r="H313" s="8"/>
      <c r="I313" s="8"/>
      <c r="J313" s="8"/>
      <c r="K313" s="8"/>
      <c r="L313" s="8"/>
    </row>
    <row r="314" spans="1:12" ht="12.75" customHeight="1" x14ac:dyDescent="0.2">
      <c r="A314" s="38"/>
      <c r="B314" s="38"/>
      <c r="C314" s="8"/>
      <c r="D314" s="8"/>
      <c r="E314" s="8"/>
      <c r="F314" s="8"/>
      <c r="G314" s="8"/>
      <c r="H314" s="8"/>
      <c r="I314" s="8"/>
      <c r="J314" s="8"/>
      <c r="K314" s="8"/>
      <c r="L314" s="8"/>
    </row>
    <row r="315" spans="1:12" ht="12.75" customHeight="1" x14ac:dyDescent="0.2">
      <c r="A315" s="38"/>
      <c r="B315" s="38"/>
      <c r="C315" s="8"/>
      <c r="D315" s="8"/>
      <c r="E315" s="8"/>
      <c r="F315" s="8"/>
      <c r="G315" s="8"/>
      <c r="H315" s="8"/>
      <c r="I315" s="8"/>
      <c r="J315" s="8"/>
      <c r="K315" s="8"/>
      <c r="L315" s="8"/>
    </row>
    <row r="316" spans="1:12" ht="12.75" customHeight="1" x14ac:dyDescent="0.2">
      <c r="A316" s="38"/>
      <c r="B316" s="38"/>
      <c r="C316" s="8"/>
      <c r="D316" s="8"/>
      <c r="E316" s="8"/>
      <c r="F316" s="8"/>
      <c r="G316" s="8"/>
      <c r="H316" s="8"/>
      <c r="I316" s="8"/>
      <c r="J316" s="8"/>
      <c r="K316" s="8"/>
      <c r="L316" s="8"/>
    </row>
    <row r="317" spans="1:12" ht="12.75" customHeight="1" x14ac:dyDescent="0.2">
      <c r="A317" s="38"/>
      <c r="B317" s="38"/>
      <c r="C317" s="8"/>
      <c r="D317" s="8"/>
      <c r="E317" s="8"/>
      <c r="F317" s="8"/>
      <c r="G317" s="8"/>
      <c r="H317" s="8"/>
      <c r="I317" s="8"/>
      <c r="J317" s="8"/>
      <c r="K317" s="8"/>
      <c r="L317" s="8"/>
    </row>
    <row r="318" spans="1:12" ht="12.75" customHeight="1" x14ac:dyDescent="0.2">
      <c r="A318" s="38"/>
      <c r="B318" s="38"/>
      <c r="C318" s="8"/>
      <c r="D318" s="8"/>
      <c r="E318" s="8"/>
      <c r="F318" s="8"/>
      <c r="G318" s="8"/>
      <c r="H318" s="8"/>
      <c r="I318" s="8"/>
      <c r="J318" s="8"/>
      <c r="K318" s="8"/>
      <c r="L318" s="8"/>
    </row>
    <row r="319" spans="1:12" ht="12.75" customHeight="1" x14ac:dyDescent="0.2">
      <c r="A319" s="38"/>
      <c r="B319" s="38"/>
      <c r="C319" s="8"/>
      <c r="D319" s="8"/>
      <c r="E319" s="8"/>
      <c r="F319" s="8"/>
      <c r="G319" s="8"/>
      <c r="H319" s="8"/>
      <c r="I319" s="8"/>
      <c r="J319" s="8"/>
      <c r="K319" s="8"/>
      <c r="L319" s="8"/>
    </row>
    <row r="320" spans="1:12" ht="12.75" customHeight="1" x14ac:dyDescent="0.2">
      <c r="A320" s="38"/>
      <c r="B320" s="38"/>
      <c r="C320" s="8"/>
      <c r="D320" s="8"/>
      <c r="E320" s="8"/>
      <c r="F320" s="8"/>
      <c r="G320" s="8"/>
      <c r="H320" s="8"/>
      <c r="I320" s="8"/>
      <c r="J320" s="8"/>
      <c r="K320" s="8"/>
      <c r="L320" s="8"/>
    </row>
    <row r="321" spans="1:12" ht="12.75" customHeight="1" x14ac:dyDescent="0.2">
      <c r="A321" s="38"/>
      <c r="B321" s="38"/>
      <c r="C321" s="8"/>
      <c r="D321" s="8"/>
      <c r="E321" s="8"/>
      <c r="F321" s="8"/>
      <c r="G321" s="8"/>
      <c r="H321" s="8"/>
      <c r="I321" s="8"/>
      <c r="J321" s="8"/>
      <c r="K321" s="8"/>
      <c r="L321" s="8"/>
    </row>
    <row r="322" spans="1:12" ht="12.75" customHeight="1" x14ac:dyDescent="0.2">
      <c r="A322" s="38"/>
      <c r="B322" s="38"/>
      <c r="C322" s="8"/>
      <c r="D322" s="8"/>
      <c r="E322" s="8"/>
      <c r="F322" s="8"/>
      <c r="G322" s="8"/>
      <c r="H322" s="8"/>
      <c r="I322" s="8"/>
      <c r="J322" s="8"/>
      <c r="K322" s="8"/>
      <c r="L322" s="8"/>
    </row>
    <row r="323" spans="1:12" ht="12.75" customHeight="1" x14ac:dyDescent="0.2">
      <c r="A323" s="38"/>
      <c r="B323" s="38"/>
      <c r="C323" s="8"/>
      <c r="D323" s="8"/>
      <c r="E323" s="8"/>
      <c r="F323" s="8"/>
      <c r="G323" s="8"/>
      <c r="H323" s="8"/>
      <c r="I323" s="8"/>
      <c r="J323" s="8"/>
      <c r="K323" s="8"/>
      <c r="L323" s="8"/>
    </row>
    <row r="324" spans="1:12" ht="12.75" customHeight="1" x14ac:dyDescent="0.2">
      <c r="A324" s="38"/>
      <c r="B324" s="38"/>
      <c r="C324" s="8"/>
      <c r="D324" s="8"/>
      <c r="E324" s="8"/>
      <c r="F324" s="8"/>
      <c r="G324" s="8"/>
      <c r="H324" s="8"/>
      <c r="I324" s="8"/>
      <c r="J324" s="8"/>
      <c r="K324" s="8"/>
      <c r="L324" s="8"/>
    </row>
    <row r="325" spans="1:12" ht="12.75" customHeight="1" x14ac:dyDescent="0.2">
      <c r="A325" s="38"/>
      <c r="B325" s="38"/>
      <c r="C325" s="8"/>
      <c r="D325" s="8"/>
      <c r="E325" s="8"/>
      <c r="F325" s="8"/>
      <c r="G325" s="8"/>
      <c r="H325" s="8"/>
      <c r="I325" s="8"/>
      <c r="J325" s="8"/>
      <c r="K325" s="8"/>
      <c r="L325" s="8"/>
    </row>
    <row r="326" spans="1:12" ht="12.75" customHeight="1" x14ac:dyDescent="0.2">
      <c r="A326" s="38"/>
      <c r="B326" s="38"/>
      <c r="C326" s="8"/>
      <c r="D326" s="8"/>
      <c r="E326" s="8"/>
      <c r="F326" s="8"/>
      <c r="G326" s="8"/>
      <c r="H326" s="8"/>
      <c r="I326" s="8"/>
      <c r="J326" s="8"/>
      <c r="K326" s="8"/>
      <c r="L326" s="8"/>
    </row>
    <row r="327" spans="1:12" ht="12.75" customHeight="1" x14ac:dyDescent="0.2">
      <c r="A327" s="38"/>
      <c r="B327" s="38"/>
      <c r="C327" s="8"/>
      <c r="D327" s="8"/>
      <c r="E327" s="8"/>
      <c r="F327" s="8"/>
      <c r="G327" s="8"/>
      <c r="H327" s="8"/>
      <c r="I327" s="8"/>
      <c r="J327" s="8"/>
      <c r="K327" s="8"/>
      <c r="L327" s="8"/>
    </row>
    <row r="328" spans="1:12" ht="12.75" customHeight="1" x14ac:dyDescent="0.2">
      <c r="A328" s="38"/>
      <c r="B328" s="38"/>
      <c r="C328" s="8"/>
      <c r="D328" s="8"/>
      <c r="E328" s="8"/>
      <c r="F328" s="8"/>
      <c r="G328" s="8"/>
      <c r="H328" s="8"/>
      <c r="I328" s="8"/>
      <c r="J328" s="8"/>
      <c r="K328" s="8"/>
      <c r="L328" s="8"/>
    </row>
    <row r="329" spans="1:12" ht="12.75" customHeight="1" x14ac:dyDescent="0.2">
      <c r="A329" s="38"/>
      <c r="B329" s="38"/>
      <c r="C329" s="8"/>
      <c r="D329" s="8"/>
      <c r="E329" s="8"/>
      <c r="F329" s="8"/>
      <c r="G329" s="8"/>
      <c r="H329" s="8"/>
      <c r="I329" s="8"/>
      <c r="J329" s="8"/>
      <c r="K329" s="8"/>
      <c r="L329" s="8"/>
    </row>
    <row r="330" spans="1:12" ht="12.75" customHeight="1" x14ac:dyDescent="0.2">
      <c r="A330" s="38"/>
      <c r="B330" s="38"/>
      <c r="C330" s="8"/>
      <c r="D330" s="8"/>
      <c r="E330" s="8"/>
      <c r="F330" s="8"/>
      <c r="G330" s="8"/>
      <c r="H330" s="8"/>
      <c r="I330" s="8"/>
      <c r="J330" s="8"/>
      <c r="K330" s="8"/>
      <c r="L330" s="8"/>
    </row>
    <row r="331" spans="1:12" ht="12.75" customHeight="1" x14ac:dyDescent="0.2">
      <c r="A331" s="38"/>
      <c r="B331" s="38"/>
      <c r="C331" s="8"/>
      <c r="D331" s="8"/>
      <c r="E331" s="8"/>
      <c r="F331" s="8"/>
      <c r="G331" s="8"/>
      <c r="H331" s="8"/>
      <c r="I331" s="8"/>
      <c r="J331" s="8"/>
      <c r="K331" s="8"/>
      <c r="L331" s="8"/>
    </row>
    <row r="332" spans="1:12" ht="12.75" customHeight="1" x14ac:dyDescent="0.2">
      <c r="A332" s="38"/>
      <c r="B332" s="38"/>
      <c r="C332" s="8"/>
      <c r="D332" s="8"/>
      <c r="E332" s="8"/>
      <c r="F332" s="8"/>
      <c r="G332" s="8"/>
      <c r="H332" s="8"/>
      <c r="I332" s="8"/>
      <c r="J332" s="8"/>
      <c r="K332" s="8"/>
      <c r="L332" s="8"/>
    </row>
    <row r="333" spans="1:12" ht="12.75" customHeight="1" x14ac:dyDescent="0.2">
      <c r="A333" s="38"/>
      <c r="B333" s="38"/>
      <c r="C333" s="8"/>
      <c r="D333" s="8"/>
      <c r="E333" s="8"/>
      <c r="F333" s="8"/>
      <c r="G333" s="8"/>
      <c r="H333" s="8"/>
      <c r="I333" s="8"/>
      <c r="J333" s="8"/>
      <c r="K333" s="8"/>
      <c r="L333" s="8"/>
    </row>
    <row r="334" spans="1:12" ht="12.75" customHeight="1" x14ac:dyDescent="0.2">
      <c r="A334" s="38"/>
      <c r="B334" s="38"/>
      <c r="C334" s="8"/>
      <c r="D334" s="8"/>
      <c r="E334" s="8"/>
      <c r="F334" s="8"/>
      <c r="G334" s="8"/>
      <c r="H334" s="8"/>
      <c r="I334" s="8"/>
      <c r="J334" s="8"/>
      <c r="K334" s="8"/>
      <c r="L334" s="8"/>
    </row>
    <row r="335" spans="1:12" ht="12.75" customHeight="1" x14ac:dyDescent="0.2">
      <c r="A335" s="38"/>
      <c r="B335" s="38"/>
      <c r="C335" s="8"/>
      <c r="D335" s="8"/>
      <c r="E335" s="8"/>
      <c r="F335" s="8"/>
      <c r="G335" s="8"/>
      <c r="H335" s="8"/>
      <c r="I335" s="8"/>
      <c r="J335" s="8"/>
      <c r="K335" s="8"/>
      <c r="L335" s="8"/>
    </row>
    <row r="336" spans="1:12" ht="12.75" customHeight="1" x14ac:dyDescent="0.2">
      <c r="A336" s="38"/>
      <c r="B336" s="38"/>
      <c r="C336" s="8"/>
      <c r="D336" s="8"/>
      <c r="E336" s="8"/>
      <c r="F336" s="8"/>
      <c r="G336" s="8"/>
      <c r="H336" s="8"/>
      <c r="I336" s="8"/>
      <c r="J336" s="8"/>
      <c r="K336" s="8"/>
      <c r="L336" s="8"/>
    </row>
    <row r="337" spans="1:12" ht="12.75" customHeight="1" x14ac:dyDescent="0.2">
      <c r="A337" s="38"/>
      <c r="B337" s="38"/>
      <c r="C337" s="8"/>
      <c r="D337" s="8"/>
      <c r="E337" s="8"/>
      <c r="F337" s="8"/>
      <c r="G337" s="8"/>
      <c r="H337" s="8"/>
      <c r="I337" s="8"/>
      <c r="J337" s="8"/>
      <c r="K337" s="8"/>
      <c r="L337" s="8"/>
    </row>
    <row r="338" spans="1:12" ht="12.75" customHeight="1" x14ac:dyDescent="0.2">
      <c r="A338" s="38"/>
      <c r="B338" s="38"/>
      <c r="C338" s="8"/>
      <c r="D338" s="8"/>
      <c r="E338" s="8"/>
      <c r="F338" s="8"/>
      <c r="G338" s="8"/>
      <c r="H338" s="8"/>
      <c r="I338" s="8"/>
      <c r="J338" s="8"/>
      <c r="K338" s="8"/>
      <c r="L338" s="8"/>
    </row>
    <row r="339" spans="1:12" ht="12.75" customHeight="1" x14ac:dyDescent="0.2">
      <c r="A339" s="38"/>
      <c r="B339" s="38"/>
      <c r="C339" s="8"/>
      <c r="D339" s="8"/>
      <c r="E339" s="8"/>
      <c r="F339" s="8"/>
      <c r="G339" s="8"/>
      <c r="H339" s="8"/>
      <c r="I339" s="8"/>
      <c r="J339" s="8"/>
      <c r="K339" s="8"/>
      <c r="L339" s="8"/>
    </row>
    <row r="340" spans="1:12" ht="12.75" customHeight="1" x14ac:dyDescent="0.2">
      <c r="A340" s="38"/>
      <c r="B340" s="38"/>
      <c r="C340" s="8"/>
      <c r="D340" s="8"/>
      <c r="E340" s="8"/>
      <c r="F340" s="8"/>
      <c r="G340" s="8"/>
      <c r="H340" s="8"/>
      <c r="I340" s="8"/>
      <c r="J340" s="8"/>
      <c r="K340" s="8"/>
      <c r="L340" s="8"/>
    </row>
    <row r="341" spans="1:12" ht="12.75" customHeight="1" x14ac:dyDescent="0.2">
      <c r="A341" s="38"/>
      <c r="B341" s="38"/>
      <c r="C341" s="8"/>
      <c r="D341" s="8"/>
      <c r="E341" s="8"/>
      <c r="F341" s="8"/>
      <c r="G341" s="8"/>
      <c r="H341" s="8"/>
      <c r="I341" s="8"/>
      <c r="J341" s="8"/>
      <c r="K341" s="8"/>
      <c r="L341" s="8"/>
    </row>
    <row r="342" spans="1:12" ht="12.75" customHeight="1" x14ac:dyDescent="0.2">
      <c r="A342" s="38"/>
      <c r="B342" s="38"/>
      <c r="C342" s="8"/>
      <c r="D342" s="8"/>
      <c r="E342" s="8"/>
      <c r="F342" s="8"/>
      <c r="G342" s="8"/>
      <c r="H342" s="8"/>
      <c r="I342" s="8"/>
      <c r="J342" s="8"/>
      <c r="K342" s="8"/>
      <c r="L342" s="8"/>
    </row>
    <row r="343" spans="1:12" ht="12.75" customHeight="1" x14ac:dyDescent="0.2">
      <c r="A343" s="38"/>
      <c r="B343" s="38"/>
      <c r="C343" s="8"/>
      <c r="D343" s="8"/>
      <c r="E343" s="8"/>
      <c r="F343" s="8"/>
      <c r="G343" s="8"/>
      <c r="H343" s="8"/>
      <c r="I343" s="8"/>
      <c r="J343" s="8"/>
      <c r="K343" s="8"/>
      <c r="L343" s="8"/>
    </row>
    <row r="344" spans="1:12" ht="12.75" customHeight="1" x14ac:dyDescent="0.2">
      <c r="A344" s="38"/>
      <c r="B344" s="38"/>
      <c r="C344" s="8"/>
      <c r="D344" s="8"/>
      <c r="E344" s="8"/>
      <c r="F344" s="8"/>
      <c r="G344" s="8"/>
      <c r="H344" s="8"/>
      <c r="I344" s="8"/>
      <c r="J344" s="8"/>
      <c r="K344" s="8"/>
      <c r="L344" s="8"/>
    </row>
    <row r="345" spans="1:12" ht="12.75" customHeight="1" x14ac:dyDescent="0.2">
      <c r="A345" s="38"/>
      <c r="B345" s="38"/>
      <c r="C345" s="8"/>
      <c r="D345" s="8"/>
      <c r="E345" s="8"/>
      <c r="F345" s="8"/>
      <c r="G345" s="8"/>
      <c r="H345" s="8"/>
      <c r="I345" s="8"/>
      <c r="J345" s="8"/>
      <c r="K345" s="8"/>
      <c r="L345" s="8"/>
    </row>
    <row r="346" spans="1:12" ht="12.75" customHeight="1" x14ac:dyDescent="0.2">
      <c r="A346" s="38"/>
      <c r="B346" s="38"/>
      <c r="C346" s="8"/>
      <c r="D346" s="8"/>
      <c r="E346" s="8"/>
      <c r="F346" s="8"/>
      <c r="G346" s="8"/>
      <c r="H346" s="8"/>
      <c r="I346" s="8"/>
      <c r="J346" s="8"/>
      <c r="K346" s="8"/>
      <c r="L346" s="8"/>
    </row>
    <row r="347" spans="1:12" ht="12.75" customHeight="1" x14ac:dyDescent="0.2">
      <c r="A347" s="38"/>
      <c r="B347" s="38"/>
      <c r="C347" s="8"/>
      <c r="D347" s="8"/>
      <c r="E347" s="8"/>
      <c r="F347" s="8"/>
      <c r="G347" s="8"/>
      <c r="H347" s="8"/>
      <c r="I347" s="8"/>
      <c r="J347" s="8"/>
      <c r="K347" s="8"/>
      <c r="L347" s="8"/>
    </row>
    <row r="348" spans="1:12" ht="12.75" customHeight="1" x14ac:dyDescent="0.2">
      <c r="A348" s="38"/>
      <c r="B348" s="38"/>
      <c r="C348" s="8"/>
      <c r="D348" s="8"/>
      <c r="E348" s="8"/>
      <c r="F348" s="8"/>
      <c r="G348" s="8"/>
      <c r="H348" s="8"/>
      <c r="I348" s="8"/>
      <c r="J348" s="8"/>
      <c r="K348" s="8"/>
      <c r="L348" s="8"/>
    </row>
    <row r="349" spans="1:12" ht="12.75" customHeight="1" x14ac:dyDescent="0.2">
      <c r="A349" s="38"/>
      <c r="B349" s="38"/>
      <c r="C349" s="8"/>
      <c r="D349" s="8"/>
      <c r="E349" s="8"/>
      <c r="F349" s="8"/>
      <c r="G349" s="8"/>
      <c r="H349" s="8"/>
      <c r="I349" s="8"/>
      <c r="J349" s="8"/>
      <c r="K349" s="8"/>
      <c r="L349" s="8"/>
    </row>
    <row r="350" spans="1:12" ht="12.75" customHeight="1" x14ac:dyDescent="0.2">
      <c r="A350" s="38"/>
      <c r="B350" s="38"/>
      <c r="C350" s="8"/>
      <c r="D350" s="8"/>
      <c r="E350" s="8"/>
      <c r="F350" s="8"/>
      <c r="G350" s="8"/>
      <c r="H350" s="8"/>
      <c r="I350" s="8"/>
      <c r="J350" s="8"/>
      <c r="K350" s="8"/>
      <c r="L350" s="8"/>
    </row>
    <row r="351" spans="1:12" ht="12.75" customHeight="1" x14ac:dyDescent="0.2">
      <c r="A351" s="38"/>
      <c r="B351" s="38"/>
      <c r="C351" s="8"/>
      <c r="D351" s="8"/>
      <c r="E351" s="8"/>
      <c r="F351" s="8"/>
      <c r="G351" s="8"/>
      <c r="H351" s="8"/>
      <c r="I351" s="8"/>
      <c r="J351" s="8"/>
      <c r="K351" s="8"/>
      <c r="L351" s="8"/>
    </row>
    <row r="352" spans="1:12" ht="12.75" customHeight="1" x14ac:dyDescent="0.2">
      <c r="A352" s="38"/>
      <c r="B352" s="38"/>
      <c r="C352" s="8"/>
      <c r="D352" s="8"/>
      <c r="E352" s="8"/>
      <c r="F352" s="8"/>
      <c r="G352" s="8"/>
      <c r="H352" s="8"/>
      <c r="I352" s="8"/>
      <c r="J352" s="8"/>
      <c r="K352" s="8"/>
      <c r="L352" s="8"/>
    </row>
    <row r="353" spans="1:12" ht="12.75" customHeight="1" x14ac:dyDescent="0.2">
      <c r="A353" s="38"/>
      <c r="B353" s="38"/>
      <c r="C353" s="8"/>
      <c r="D353" s="8"/>
      <c r="E353" s="8"/>
      <c r="F353" s="8"/>
      <c r="G353" s="8"/>
      <c r="H353" s="8"/>
      <c r="I353" s="8"/>
      <c r="J353" s="8"/>
      <c r="K353" s="8"/>
      <c r="L353" s="8"/>
    </row>
    <row r="354" spans="1:12" ht="12.75" customHeight="1" x14ac:dyDescent="0.2">
      <c r="A354" s="38"/>
      <c r="B354" s="38"/>
      <c r="C354" s="8"/>
      <c r="D354" s="8"/>
      <c r="E354" s="8"/>
      <c r="F354" s="8"/>
      <c r="G354" s="8"/>
      <c r="H354" s="8"/>
      <c r="I354" s="8"/>
      <c r="J354" s="8"/>
      <c r="K354" s="8"/>
      <c r="L354" s="8"/>
    </row>
    <row r="355" spans="1:12" ht="12.75" customHeight="1" x14ac:dyDescent="0.2">
      <c r="A355" s="38"/>
      <c r="B355" s="38"/>
      <c r="C355" s="8"/>
      <c r="D355" s="8"/>
      <c r="E355" s="8"/>
      <c r="F355" s="8"/>
      <c r="G355" s="8"/>
      <c r="H355" s="8"/>
      <c r="I355" s="8"/>
      <c r="J355" s="8"/>
      <c r="K355" s="8"/>
      <c r="L355" s="8"/>
    </row>
    <row r="356" spans="1:12" ht="12.75" customHeight="1" x14ac:dyDescent="0.2">
      <c r="A356" s="38"/>
      <c r="B356" s="38"/>
      <c r="C356" s="8"/>
      <c r="D356" s="8"/>
      <c r="E356" s="8"/>
      <c r="F356" s="8"/>
      <c r="G356" s="8"/>
      <c r="H356" s="8"/>
      <c r="I356" s="8"/>
      <c r="J356" s="8"/>
      <c r="K356" s="8"/>
      <c r="L356" s="8"/>
    </row>
    <row r="357" spans="1:12" ht="12.75" customHeight="1" x14ac:dyDescent="0.2">
      <c r="A357" s="38"/>
      <c r="B357" s="38"/>
      <c r="C357" s="8"/>
      <c r="D357" s="8"/>
      <c r="E357" s="8"/>
      <c r="F357" s="8"/>
      <c r="G357" s="8"/>
      <c r="H357" s="8"/>
      <c r="I357" s="8"/>
      <c r="J357" s="8"/>
      <c r="K357" s="8"/>
      <c r="L357" s="8"/>
    </row>
    <row r="358" spans="1:12" ht="12.75" customHeight="1" x14ac:dyDescent="0.2">
      <c r="A358" s="38"/>
      <c r="B358" s="38"/>
      <c r="C358" s="8"/>
      <c r="D358" s="8"/>
      <c r="E358" s="8"/>
      <c r="F358" s="8"/>
      <c r="G358" s="8"/>
      <c r="H358" s="8"/>
      <c r="I358" s="8"/>
      <c r="J358" s="8"/>
      <c r="K358" s="8"/>
      <c r="L358" s="8"/>
    </row>
    <row r="359" spans="1:12" ht="12.75" customHeight="1" x14ac:dyDescent="0.2">
      <c r="A359" s="38"/>
      <c r="B359" s="38"/>
      <c r="C359" s="8"/>
      <c r="D359" s="8"/>
      <c r="E359" s="8"/>
      <c r="F359" s="8"/>
      <c r="G359" s="8"/>
      <c r="H359" s="8"/>
      <c r="I359" s="8"/>
      <c r="J359" s="8"/>
      <c r="K359" s="8"/>
      <c r="L359" s="8"/>
    </row>
    <row r="360" spans="1:12" ht="12.75" customHeight="1" x14ac:dyDescent="0.2">
      <c r="A360" s="38"/>
      <c r="B360" s="38"/>
      <c r="C360" s="8"/>
      <c r="D360" s="8"/>
      <c r="E360" s="8"/>
      <c r="F360" s="8"/>
      <c r="G360" s="8"/>
      <c r="H360" s="8"/>
      <c r="I360" s="8"/>
      <c r="J360" s="8"/>
      <c r="K360" s="8"/>
      <c r="L360" s="8"/>
    </row>
    <row r="361" spans="1:12" ht="12.75" customHeight="1" x14ac:dyDescent="0.2">
      <c r="A361" s="38"/>
      <c r="B361" s="38"/>
      <c r="C361" s="8"/>
      <c r="D361" s="8"/>
      <c r="E361" s="8"/>
      <c r="F361" s="8"/>
      <c r="G361" s="8"/>
      <c r="H361" s="8"/>
      <c r="I361" s="8"/>
      <c r="J361" s="8"/>
      <c r="K361" s="8"/>
      <c r="L361" s="8"/>
    </row>
    <row r="362" spans="1:12" ht="12.75" customHeight="1" x14ac:dyDescent="0.2">
      <c r="A362" s="38"/>
      <c r="B362" s="38"/>
      <c r="C362" s="8"/>
      <c r="D362" s="8"/>
      <c r="E362" s="8"/>
      <c r="F362" s="8"/>
      <c r="G362" s="8"/>
      <c r="H362" s="8"/>
      <c r="I362" s="8"/>
      <c r="J362" s="8"/>
      <c r="K362" s="8"/>
      <c r="L362" s="8"/>
    </row>
    <row r="363" spans="1:12" ht="12.75" customHeight="1" x14ac:dyDescent="0.2">
      <c r="A363" s="38"/>
      <c r="B363" s="38"/>
      <c r="C363" s="8"/>
      <c r="D363" s="8"/>
      <c r="E363" s="8"/>
      <c r="F363" s="8"/>
      <c r="G363" s="8"/>
      <c r="H363" s="8"/>
      <c r="I363" s="8"/>
      <c r="J363" s="8"/>
      <c r="K363" s="8"/>
      <c r="L363" s="8"/>
    </row>
    <row r="364" spans="1:12" ht="12.75" customHeight="1" x14ac:dyDescent="0.2">
      <c r="A364" s="38"/>
      <c r="B364" s="38"/>
      <c r="C364" s="8"/>
      <c r="D364" s="8"/>
      <c r="E364" s="8"/>
      <c r="F364" s="8"/>
      <c r="G364" s="8"/>
      <c r="H364" s="8"/>
      <c r="I364" s="8"/>
      <c r="J364" s="8"/>
      <c r="K364" s="8"/>
      <c r="L364" s="8"/>
    </row>
    <row r="365" spans="1:12" ht="12.75" customHeight="1" x14ac:dyDescent="0.2">
      <c r="A365" s="38"/>
      <c r="B365" s="38"/>
      <c r="C365" s="8"/>
      <c r="D365" s="8"/>
      <c r="E365" s="8"/>
      <c r="F365" s="8"/>
      <c r="G365" s="8"/>
      <c r="H365" s="8"/>
      <c r="I365" s="8"/>
      <c r="J365" s="8"/>
      <c r="K365" s="8"/>
      <c r="L365" s="8"/>
    </row>
    <row r="366" spans="1:12" ht="12.75" customHeight="1" x14ac:dyDescent="0.2">
      <c r="A366" s="38"/>
      <c r="B366" s="38"/>
      <c r="C366" s="8"/>
      <c r="D366" s="8"/>
      <c r="E366" s="8"/>
      <c r="F366" s="8"/>
      <c r="G366" s="8"/>
      <c r="H366" s="8"/>
      <c r="I366" s="8"/>
      <c r="J366" s="8"/>
      <c r="K366" s="8"/>
      <c r="L366" s="8"/>
    </row>
    <row r="367" spans="1:12" ht="12.75" customHeight="1" x14ac:dyDescent="0.2">
      <c r="A367" s="38"/>
      <c r="B367" s="38"/>
      <c r="C367" s="8"/>
      <c r="D367" s="8"/>
      <c r="E367" s="8"/>
      <c r="F367" s="8"/>
      <c r="G367" s="8"/>
      <c r="H367" s="8"/>
      <c r="I367" s="8"/>
      <c r="J367" s="8"/>
      <c r="K367" s="8"/>
      <c r="L367" s="8"/>
    </row>
    <row r="368" spans="1:12" ht="12.75" customHeight="1" x14ac:dyDescent="0.2">
      <c r="A368" s="38"/>
      <c r="B368" s="38"/>
      <c r="C368" s="8"/>
      <c r="D368" s="8"/>
      <c r="E368" s="8"/>
      <c r="F368" s="8"/>
      <c r="G368" s="8"/>
      <c r="H368" s="8"/>
      <c r="I368" s="8"/>
      <c r="J368" s="8"/>
      <c r="K368" s="8"/>
      <c r="L368" s="8"/>
    </row>
    <row r="369" spans="1:12" ht="12.75" customHeight="1" x14ac:dyDescent="0.2">
      <c r="A369" s="38"/>
      <c r="B369" s="38"/>
      <c r="C369" s="8"/>
      <c r="D369" s="8"/>
      <c r="E369" s="8"/>
      <c r="F369" s="8"/>
      <c r="G369" s="8"/>
      <c r="H369" s="8"/>
      <c r="I369" s="8"/>
      <c r="J369" s="8"/>
      <c r="K369" s="8"/>
      <c r="L369" s="8"/>
    </row>
    <row r="370" spans="1:12" ht="12.75" customHeight="1" x14ac:dyDescent="0.2">
      <c r="A370" s="38"/>
      <c r="B370" s="38"/>
      <c r="C370" s="8"/>
      <c r="D370" s="8"/>
      <c r="E370" s="8"/>
      <c r="F370" s="8"/>
      <c r="G370" s="8"/>
      <c r="H370" s="8"/>
      <c r="I370" s="8"/>
      <c r="J370" s="8"/>
      <c r="K370" s="8"/>
      <c r="L370" s="8"/>
    </row>
    <row r="371" spans="1:12" ht="12.75" customHeight="1" x14ac:dyDescent="0.2">
      <c r="A371" s="38"/>
      <c r="B371" s="38"/>
      <c r="C371" s="8"/>
      <c r="D371" s="8"/>
      <c r="E371" s="8"/>
      <c r="F371" s="8"/>
      <c r="G371" s="8"/>
      <c r="H371" s="8"/>
      <c r="I371" s="8"/>
      <c r="J371" s="8"/>
      <c r="K371" s="8"/>
      <c r="L371" s="8"/>
    </row>
    <row r="372" spans="1:12" ht="12.75" customHeight="1" x14ac:dyDescent="0.2">
      <c r="A372" s="38"/>
      <c r="B372" s="38"/>
      <c r="C372" s="8"/>
      <c r="D372" s="8"/>
      <c r="E372" s="8"/>
      <c r="F372" s="8"/>
      <c r="G372" s="8"/>
      <c r="H372" s="8"/>
      <c r="I372" s="8"/>
      <c r="J372" s="8"/>
      <c r="K372" s="8"/>
      <c r="L372" s="8"/>
    </row>
    <row r="373" spans="1:12" ht="12.75" customHeight="1" x14ac:dyDescent="0.2">
      <c r="A373" s="38"/>
      <c r="B373" s="38"/>
      <c r="C373" s="8"/>
      <c r="D373" s="8"/>
      <c r="E373" s="8"/>
      <c r="F373" s="8"/>
      <c r="G373" s="8"/>
      <c r="H373" s="8"/>
      <c r="I373" s="8"/>
      <c r="J373" s="8"/>
      <c r="K373" s="8"/>
      <c r="L373" s="8"/>
    </row>
    <row r="374" spans="1:12" ht="12.75" customHeight="1" x14ac:dyDescent="0.2">
      <c r="A374" s="38"/>
      <c r="B374" s="38"/>
      <c r="C374" s="8"/>
      <c r="D374" s="8"/>
      <c r="E374" s="8"/>
      <c r="F374" s="8"/>
      <c r="G374" s="8"/>
      <c r="H374" s="8"/>
      <c r="I374" s="8"/>
      <c r="J374" s="8"/>
      <c r="K374" s="8"/>
      <c r="L374" s="8"/>
    </row>
    <row r="375" spans="1:12" ht="12.75" customHeight="1" x14ac:dyDescent="0.2">
      <c r="A375" s="38"/>
      <c r="B375" s="38"/>
      <c r="C375" s="8"/>
      <c r="D375" s="8"/>
      <c r="E375" s="8"/>
      <c r="F375" s="8"/>
      <c r="G375" s="8"/>
      <c r="H375" s="8"/>
      <c r="I375" s="8"/>
      <c r="J375" s="8"/>
      <c r="K375" s="8"/>
      <c r="L375" s="8"/>
    </row>
    <row r="376" spans="1:12" ht="12.75" customHeight="1" x14ac:dyDescent="0.2">
      <c r="A376" s="38"/>
      <c r="B376" s="38"/>
      <c r="C376" s="8"/>
      <c r="D376" s="8"/>
      <c r="E376" s="8"/>
      <c r="F376" s="8"/>
      <c r="G376" s="8"/>
      <c r="H376" s="8"/>
      <c r="I376" s="8"/>
      <c r="J376" s="8"/>
      <c r="K376" s="8"/>
      <c r="L376" s="8"/>
    </row>
    <row r="377" spans="1:12" ht="12.75" customHeight="1" x14ac:dyDescent="0.2">
      <c r="A377" s="38"/>
      <c r="B377" s="38"/>
      <c r="C377" s="8"/>
      <c r="D377" s="8"/>
      <c r="E377" s="8"/>
      <c r="F377" s="8"/>
      <c r="G377" s="8"/>
      <c r="H377" s="8"/>
      <c r="I377" s="8"/>
      <c r="J377" s="8"/>
      <c r="K377" s="8"/>
      <c r="L377" s="8"/>
    </row>
    <row r="378" spans="1:12" ht="12.75" customHeight="1" x14ac:dyDescent="0.2">
      <c r="A378" s="38"/>
      <c r="B378" s="38"/>
      <c r="C378" s="8"/>
      <c r="D378" s="8"/>
      <c r="E378" s="8"/>
      <c r="F378" s="8"/>
      <c r="G378" s="8"/>
      <c r="H378" s="8"/>
      <c r="I378" s="8"/>
      <c r="J378" s="8"/>
      <c r="K378" s="8"/>
      <c r="L378" s="8"/>
    </row>
    <row r="379" spans="1:12" ht="12.75" customHeight="1" x14ac:dyDescent="0.2">
      <c r="A379" s="38"/>
      <c r="B379" s="38"/>
      <c r="C379" s="8"/>
      <c r="D379" s="8"/>
      <c r="E379" s="8"/>
      <c r="F379" s="8"/>
      <c r="G379" s="8"/>
      <c r="H379" s="8"/>
      <c r="I379" s="8"/>
      <c r="J379" s="8"/>
      <c r="K379" s="8"/>
      <c r="L379" s="8"/>
    </row>
    <row r="380" spans="1:12" ht="12.75" customHeight="1" x14ac:dyDescent="0.2">
      <c r="A380" s="38"/>
      <c r="B380" s="38"/>
      <c r="C380" s="8"/>
      <c r="D380" s="8"/>
      <c r="E380" s="8"/>
      <c r="F380" s="8"/>
      <c r="G380" s="8"/>
      <c r="H380" s="8"/>
      <c r="I380" s="8"/>
      <c r="J380" s="8"/>
      <c r="K380" s="8"/>
      <c r="L380" s="8"/>
    </row>
    <row r="381" spans="1:12" ht="12.75" customHeight="1" x14ac:dyDescent="0.2">
      <c r="A381" s="38"/>
      <c r="B381" s="38"/>
      <c r="C381" s="8"/>
      <c r="D381" s="8"/>
      <c r="E381" s="8"/>
      <c r="F381" s="8"/>
      <c r="G381" s="8"/>
      <c r="H381" s="8"/>
      <c r="I381" s="8"/>
      <c r="J381" s="8"/>
      <c r="K381" s="8"/>
      <c r="L381" s="8"/>
    </row>
    <row r="382" spans="1:12" ht="12.75" customHeight="1" x14ac:dyDescent="0.2">
      <c r="A382" s="38"/>
      <c r="B382" s="38"/>
      <c r="C382" s="8"/>
      <c r="D382" s="8"/>
      <c r="E382" s="8"/>
      <c r="F382" s="8"/>
      <c r="G382" s="8"/>
      <c r="H382" s="8"/>
      <c r="I382" s="8"/>
      <c r="J382" s="8"/>
      <c r="K382" s="8"/>
      <c r="L382" s="8"/>
    </row>
    <row r="383" spans="1:12" ht="12.75" customHeight="1" x14ac:dyDescent="0.2">
      <c r="A383" s="38"/>
      <c r="B383" s="38"/>
      <c r="C383" s="8"/>
      <c r="D383" s="8"/>
      <c r="E383" s="8"/>
      <c r="F383" s="8"/>
      <c r="G383" s="8"/>
      <c r="H383" s="8"/>
      <c r="I383" s="8"/>
      <c r="J383" s="8"/>
      <c r="K383" s="8"/>
      <c r="L383" s="8"/>
    </row>
    <row r="384" spans="1:12" ht="12.75" customHeight="1" x14ac:dyDescent="0.2">
      <c r="A384" s="38"/>
      <c r="B384" s="38"/>
      <c r="C384" s="8"/>
      <c r="D384" s="8"/>
      <c r="E384" s="8"/>
      <c r="F384" s="8"/>
      <c r="G384" s="8"/>
      <c r="H384" s="8"/>
      <c r="I384" s="8"/>
      <c r="J384" s="8"/>
      <c r="K384" s="8"/>
      <c r="L384" s="8"/>
    </row>
    <row r="385" spans="1:12" ht="12.75" customHeight="1" x14ac:dyDescent="0.2">
      <c r="A385" s="38"/>
      <c r="B385" s="38"/>
      <c r="C385" s="8"/>
      <c r="D385" s="8"/>
      <c r="E385" s="8"/>
      <c r="F385" s="8"/>
      <c r="G385" s="8"/>
      <c r="H385" s="8"/>
      <c r="I385" s="8"/>
      <c r="J385" s="8"/>
      <c r="K385" s="8"/>
      <c r="L385" s="8"/>
    </row>
    <row r="386" spans="1:12" ht="12.75" customHeight="1" x14ac:dyDescent="0.2">
      <c r="A386" s="38"/>
      <c r="B386" s="38"/>
      <c r="C386" s="8"/>
      <c r="D386" s="8"/>
      <c r="E386" s="8"/>
      <c r="F386" s="8"/>
      <c r="G386" s="8"/>
      <c r="H386" s="8"/>
      <c r="I386" s="8"/>
      <c r="J386" s="8"/>
      <c r="K386" s="8"/>
      <c r="L386" s="8"/>
    </row>
    <row r="387" spans="1:12" ht="12.75" customHeight="1" x14ac:dyDescent="0.2">
      <c r="A387" s="38"/>
      <c r="B387" s="38"/>
      <c r="C387" s="8"/>
      <c r="D387" s="8"/>
      <c r="E387" s="8"/>
      <c r="F387" s="8"/>
      <c r="G387" s="8"/>
      <c r="H387" s="8"/>
      <c r="I387" s="8"/>
      <c r="J387" s="8"/>
      <c r="K387" s="8"/>
      <c r="L387" s="8"/>
    </row>
    <row r="388" spans="1:12" ht="12.75" customHeight="1" x14ac:dyDescent="0.2">
      <c r="A388" s="38"/>
      <c r="B388" s="38"/>
      <c r="C388" s="8"/>
      <c r="D388" s="8"/>
      <c r="E388" s="8"/>
      <c r="F388" s="8"/>
      <c r="G388" s="8"/>
      <c r="H388" s="8"/>
      <c r="I388" s="8"/>
      <c r="J388" s="8"/>
      <c r="K388" s="8"/>
      <c r="L388" s="8"/>
    </row>
    <row r="389" spans="1:12" ht="12.75" customHeight="1" x14ac:dyDescent="0.2">
      <c r="A389" s="38"/>
      <c r="B389" s="38"/>
      <c r="C389" s="8"/>
      <c r="D389" s="8"/>
      <c r="E389" s="8"/>
      <c r="F389" s="8"/>
      <c r="G389" s="8"/>
      <c r="H389" s="8"/>
      <c r="I389" s="8"/>
      <c r="J389" s="8"/>
      <c r="K389" s="8"/>
      <c r="L389" s="8"/>
    </row>
    <row r="390" spans="1:12" ht="12.75" customHeight="1" x14ac:dyDescent="0.2">
      <c r="A390" s="38"/>
      <c r="B390" s="38"/>
      <c r="C390" s="8"/>
      <c r="D390" s="8"/>
      <c r="E390" s="8"/>
      <c r="F390" s="8"/>
      <c r="G390" s="8"/>
      <c r="H390" s="8"/>
      <c r="I390" s="8"/>
      <c r="J390" s="8"/>
      <c r="K390" s="8"/>
      <c r="L390" s="8"/>
    </row>
    <row r="391" spans="1:12" ht="12.75" customHeight="1" x14ac:dyDescent="0.2">
      <c r="A391" s="38"/>
      <c r="B391" s="38"/>
      <c r="C391" s="8"/>
      <c r="D391" s="8"/>
      <c r="E391" s="8"/>
      <c r="F391" s="8"/>
      <c r="G391" s="8"/>
      <c r="H391" s="8"/>
      <c r="I391" s="8"/>
      <c r="J391" s="8"/>
      <c r="K391" s="8"/>
      <c r="L391" s="8"/>
    </row>
    <row r="392" spans="1:12" ht="12.75" customHeight="1" x14ac:dyDescent="0.2">
      <c r="A392" s="38"/>
      <c r="B392" s="38"/>
      <c r="C392" s="8"/>
      <c r="D392" s="8"/>
      <c r="E392" s="8"/>
      <c r="F392" s="8"/>
      <c r="G392" s="8"/>
      <c r="H392" s="8"/>
      <c r="I392" s="8"/>
      <c r="J392" s="8"/>
      <c r="K392" s="8"/>
      <c r="L392" s="8"/>
    </row>
    <row r="393" spans="1:12" ht="12.75" customHeight="1" x14ac:dyDescent="0.2">
      <c r="A393" s="38"/>
      <c r="B393" s="38"/>
      <c r="C393" s="8"/>
      <c r="D393" s="8"/>
      <c r="E393" s="8"/>
      <c r="F393" s="8"/>
      <c r="G393" s="8"/>
      <c r="H393" s="8"/>
      <c r="I393" s="8"/>
      <c r="J393" s="8"/>
      <c r="K393" s="8"/>
      <c r="L393" s="8"/>
    </row>
    <row r="394" spans="1:12" ht="12.75" customHeight="1" x14ac:dyDescent="0.2">
      <c r="A394" s="38"/>
      <c r="B394" s="38"/>
      <c r="C394" s="8"/>
      <c r="D394" s="8"/>
      <c r="E394" s="8"/>
      <c r="F394" s="8"/>
      <c r="G394" s="8"/>
      <c r="H394" s="8"/>
      <c r="I394" s="8"/>
      <c r="J394" s="8"/>
      <c r="K394" s="8"/>
      <c r="L394" s="8"/>
    </row>
    <row r="395" spans="1:12" ht="12.75" customHeight="1" x14ac:dyDescent="0.2">
      <c r="A395" s="38"/>
      <c r="B395" s="38"/>
      <c r="C395" s="8"/>
      <c r="D395" s="8"/>
      <c r="E395" s="8"/>
      <c r="F395" s="8"/>
      <c r="G395" s="8"/>
      <c r="H395" s="8"/>
      <c r="I395" s="8"/>
      <c r="J395" s="8"/>
      <c r="K395" s="8"/>
      <c r="L395" s="8"/>
    </row>
    <row r="396" spans="1:12" ht="12.75" customHeight="1" x14ac:dyDescent="0.2">
      <c r="A396" s="38"/>
      <c r="B396" s="38"/>
      <c r="C396" s="8"/>
      <c r="D396" s="8"/>
      <c r="E396" s="8"/>
      <c r="F396" s="8"/>
      <c r="G396" s="8"/>
      <c r="H396" s="8"/>
      <c r="I396" s="8"/>
      <c r="J396" s="8"/>
      <c r="K396" s="8"/>
      <c r="L396" s="8"/>
    </row>
    <row r="397" spans="1:12" ht="12.75" customHeight="1" x14ac:dyDescent="0.2">
      <c r="A397" s="38"/>
      <c r="B397" s="38"/>
      <c r="C397" s="8"/>
      <c r="D397" s="8"/>
      <c r="E397" s="8"/>
      <c r="F397" s="8"/>
      <c r="G397" s="8"/>
      <c r="H397" s="8"/>
      <c r="I397" s="8"/>
      <c r="J397" s="8"/>
      <c r="K397" s="8"/>
      <c r="L397" s="8"/>
    </row>
    <row r="398" spans="1:12" ht="12.75" customHeight="1" x14ac:dyDescent="0.2">
      <c r="A398" s="38"/>
      <c r="B398" s="38"/>
      <c r="C398" s="8"/>
      <c r="D398" s="8"/>
      <c r="E398" s="8"/>
      <c r="F398" s="8"/>
      <c r="G398" s="8"/>
      <c r="H398" s="8"/>
      <c r="I398" s="8"/>
      <c r="J398" s="8"/>
      <c r="K398" s="8"/>
      <c r="L398" s="8"/>
    </row>
    <row r="399" spans="1:12" ht="12.75" customHeight="1" x14ac:dyDescent="0.2">
      <c r="A399" s="38"/>
      <c r="B399" s="38"/>
      <c r="C399" s="8"/>
      <c r="D399" s="8"/>
      <c r="E399" s="8"/>
      <c r="F399" s="8"/>
      <c r="G399" s="8"/>
      <c r="H399" s="8"/>
      <c r="I399" s="8"/>
      <c r="J399" s="8"/>
      <c r="K399" s="8"/>
      <c r="L399" s="8"/>
    </row>
    <row r="400" spans="1:12" ht="12.75" customHeight="1" x14ac:dyDescent="0.2">
      <c r="A400" s="38"/>
      <c r="B400" s="38"/>
      <c r="C400" s="8"/>
      <c r="D400" s="8"/>
      <c r="E400" s="8"/>
      <c r="F400" s="8"/>
      <c r="G400" s="8"/>
      <c r="H400" s="8"/>
      <c r="I400" s="8"/>
      <c r="J400" s="8"/>
      <c r="K400" s="8"/>
      <c r="L400" s="8"/>
    </row>
    <row r="401" spans="1:12" ht="12.75" customHeight="1" x14ac:dyDescent="0.2">
      <c r="A401" s="38"/>
      <c r="B401" s="38"/>
      <c r="C401" s="8"/>
      <c r="D401" s="8"/>
      <c r="E401" s="8"/>
      <c r="F401" s="8"/>
      <c r="G401" s="8"/>
      <c r="H401" s="8"/>
      <c r="I401" s="8"/>
      <c r="J401" s="8"/>
      <c r="K401" s="8"/>
      <c r="L401" s="8"/>
    </row>
    <row r="402" spans="1:12" ht="12.75" customHeight="1" x14ac:dyDescent="0.2">
      <c r="A402" s="38"/>
      <c r="B402" s="38"/>
      <c r="C402" s="8"/>
      <c r="D402" s="8"/>
      <c r="E402" s="8"/>
      <c r="F402" s="8"/>
      <c r="G402" s="8"/>
      <c r="H402" s="8"/>
      <c r="I402" s="8"/>
      <c r="J402" s="8"/>
      <c r="K402" s="8"/>
      <c r="L402" s="8"/>
    </row>
    <row r="403" spans="1:12" ht="12.75" customHeight="1" x14ac:dyDescent="0.2">
      <c r="A403" s="38"/>
      <c r="B403" s="38"/>
      <c r="C403" s="8"/>
      <c r="D403" s="8"/>
      <c r="E403" s="8"/>
      <c r="F403" s="8"/>
      <c r="G403" s="8"/>
      <c r="H403" s="8"/>
      <c r="I403" s="8"/>
      <c r="J403" s="8"/>
      <c r="K403" s="8"/>
      <c r="L403" s="8"/>
    </row>
    <row r="404" spans="1:12" ht="12.75" customHeight="1" x14ac:dyDescent="0.2">
      <c r="A404" s="38"/>
      <c r="B404" s="38"/>
      <c r="C404" s="8"/>
      <c r="D404" s="8"/>
      <c r="E404" s="8"/>
      <c r="F404" s="8"/>
      <c r="G404" s="8"/>
      <c r="H404" s="8"/>
      <c r="I404" s="8"/>
      <c r="J404" s="8"/>
      <c r="K404" s="8"/>
      <c r="L404" s="8"/>
    </row>
    <row r="405" spans="1:12" ht="12.75" customHeight="1" x14ac:dyDescent="0.2">
      <c r="A405" s="38"/>
      <c r="B405" s="38"/>
      <c r="C405" s="8"/>
      <c r="D405" s="8"/>
      <c r="E405" s="8"/>
      <c r="F405" s="8"/>
      <c r="G405" s="8"/>
      <c r="H405" s="8"/>
      <c r="I405" s="8"/>
      <c r="J405" s="8"/>
      <c r="K405" s="8"/>
      <c r="L405" s="8"/>
    </row>
    <row r="406" spans="1:12" ht="12.75" customHeight="1" x14ac:dyDescent="0.2">
      <c r="A406" s="38"/>
      <c r="B406" s="38"/>
      <c r="C406" s="8"/>
      <c r="D406" s="8"/>
      <c r="E406" s="8"/>
      <c r="F406" s="8"/>
      <c r="G406" s="8"/>
      <c r="H406" s="8"/>
      <c r="I406" s="8"/>
      <c r="J406" s="8"/>
      <c r="K406" s="8"/>
      <c r="L406" s="8"/>
    </row>
    <row r="407" spans="1:12" ht="12.75" customHeight="1" x14ac:dyDescent="0.2">
      <c r="A407" s="38"/>
      <c r="B407" s="38"/>
      <c r="C407" s="8"/>
      <c r="D407" s="8"/>
      <c r="E407" s="8"/>
      <c r="F407" s="8"/>
      <c r="G407" s="8"/>
      <c r="H407" s="8"/>
      <c r="I407" s="8"/>
      <c r="J407" s="8"/>
      <c r="K407" s="8"/>
      <c r="L407" s="8"/>
    </row>
    <row r="408" spans="1:12" ht="12.75" customHeight="1" x14ac:dyDescent="0.2">
      <c r="A408" s="38"/>
      <c r="B408" s="38"/>
      <c r="C408" s="8"/>
      <c r="D408" s="8"/>
      <c r="E408" s="8"/>
      <c r="F408" s="8"/>
      <c r="G408" s="8"/>
      <c r="H408" s="8"/>
      <c r="I408" s="8"/>
      <c r="J408" s="8"/>
      <c r="K408" s="8"/>
      <c r="L408" s="8"/>
    </row>
    <row r="409" spans="1:12" ht="12.75" customHeight="1" x14ac:dyDescent="0.2">
      <c r="A409" s="38"/>
      <c r="B409" s="38"/>
      <c r="C409" s="8"/>
      <c r="D409" s="8"/>
      <c r="E409" s="8"/>
      <c r="F409" s="8"/>
      <c r="G409" s="8"/>
      <c r="H409" s="8"/>
      <c r="I409" s="8"/>
      <c r="J409" s="8"/>
      <c r="K409" s="8"/>
      <c r="L409" s="8"/>
    </row>
    <row r="410" spans="1:12" ht="12.75" customHeight="1" x14ac:dyDescent="0.2">
      <c r="A410" s="38"/>
      <c r="B410" s="38"/>
      <c r="C410" s="8"/>
      <c r="D410" s="8"/>
      <c r="E410" s="8"/>
      <c r="F410" s="8"/>
      <c r="G410" s="8"/>
      <c r="H410" s="8"/>
      <c r="I410" s="8"/>
      <c r="J410" s="8"/>
      <c r="K410" s="8"/>
      <c r="L410" s="8"/>
    </row>
    <row r="411" spans="1:12" ht="12.75" customHeight="1" x14ac:dyDescent="0.2">
      <c r="A411" s="38"/>
      <c r="B411" s="38"/>
      <c r="C411" s="8"/>
      <c r="D411" s="8"/>
      <c r="E411" s="8"/>
      <c r="F411" s="8"/>
      <c r="G411" s="8"/>
      <c r="H411" s="8"/>
      <c r="I411" s="8"/>
      <c r="J411" s="8"/>
      <c r="K411" s="8"/>
      <c r="L411" s="8"/>
    </row>
    <row r="412" spans="1:12" ht="12.75" customHeight="1" x14ac:dyDescent="0.2">
      <c r="A412" s="38"/>
      <c r="B412" s="38"/>
      <c r="C412" s="8"/>
      <c r="D412" s="8"/>
      <c r="E412" s="8"/>
      <c r="F412" s="8"/>
      <c r="G412" s="8"/>
      <c r="H412" s="8"/>
      <c r="I412" s="8"/>
      <c r="J412" s="8"/>
      <c r="K412" s="8"/>
      <c r="L412" s="8"/>
    </row>
    <row r="413" spans="1:12" ht="12.75" customHeight="1" x14ac:dyDescent="0.2">
      <c r="A413" s="38"/>
      <c r="B413" s="38"/>
      <c r="C413" s="8"/>
      <c r="D413" s="8"/>
      <c r="E413" s="8"/>
      <c r="F413" s="8"/>
      <c r="G413" s="8"/>
      <c r="H413" s="8"/>
      <c r="I413" s="8"/>
      <c r="J413" s="8"/>
      <c r="K413" s="8"/>
      <c r="L413" s="8"/>
    </row>
    <row r="414" spans="1:12" ht="12.75" customHeight="1" x14ac:dyDescent="0.2">
      <c r="A414" s="38"/>
      <c r="B414" s="38"/>
      <c r="C414" s="8"/>
      <c r="D414" s="8"/>
      <c r="E414" s="8"/>
      <c r="F414" s="8"/>
      <c r="G414" s="8"/>
      <c r="H414" s="8"/>
      <c r="I414" s="8"/>
      <c r="J414" s="8"/>
      <c r="K414" s="8"/>
      <c r="L414" s="8"/>
    </row>
    <row r="415" spans="1:12" ht="12.75" customHeight="1" x14ac:dyDescent="0.2">
      <c r="A415" s="38"/>
      <c r="B415" s="38"/>
      <c r="C415" s="8"/>
      <c r="D415" s="8"/>
      <c r="E415" s="8"/>
      <c r="F415" s="8"/>
      <c r="G415" s="8"/>
      <c r="H415" s="8"/>
      <c r="I415" s="8"/>
      <c r="J415" s="8"/>
      <c r="K415" s="8"/>
      <c r="L415" s="8"/>
    </row>
    <row r="416" spans="1:12" ht="12.75" customHeight="1" x14ac:dyDescent="0.2">
      <c r="A416" s="38"/>
      <c r="B416" s="38"/>
      <c r="C416" s="8"/>
      <c r="D416" s="8"/>
      <c r="E416" s="8"/>
      <c r="F416" s="8"/>
      <c r="G416" s="8"/>
      <c r="H416" s="8"/>
      <c r="I416" s="8"/>
      <c r="J416" s="8"/>
      <c r="K416" s="8"/>
      <c r="L416" s="8"/>
    </row>
    <row r="417" spans="1:12" ht="12.75" customHeight="1" x14ac:dyDescent="0.2">
      <c r="A417" s="38"/>
      <c r="B417" s="38"/>
      <c r="C417" s="8"/>
      <c r="D417" s="8"/>
      <c r="E417" s="8"/>
      <c r="F417" s="8"/>
      <c r="G417" s="8"/>
      <c r="H417" s="8"/>
      <c r="I417" s="8"/>
      <c r="J417" s="8"/>
      <c r="K417" s="8"/>
      <c r="L417" s="8"/>
    </row>
    <row r="418" spans="1:12" ht="12.75" customHeight="1" x14ac:dyDescent="0.2">
      <c r="A418" s="38"/>
      <c r="B418" s="38"/>
      <c r="C418" s="8"/>
      <c r="D418" s="8"/>
      <c r="E418" s="8"/>
      <c r="F418" s="8"/>
      <c r="G418" s="8"/>
      <c r="H418" s="8"/>
      <c r="I418" s="8"/>
      <c r="J418" s="8"/>
      <c r="K418" s="8"/>
      <c r="L418" s="8"/>
    </row>
    <row r="419" spans="1:12" ht="12.75" customHeight="1" x14ac:dyDescent="0.2">
      <c r="A419" s="38"/>
      <c r="B419" s="38"/>
      <c r="C419" s="8"/>
      <c r="D419" s="8"/>
      <c r="E419" s="8"/>
      <c r="F419" s="8"/>
      <c r="G419" s="8"/>
      <c r="H419" s="8"/>
      <c r="I419" s="8"/>
      <c r="J419" s="8"/>
      <c r="K419" s="8"/>
      <c r="L419" s="8"/>
    </row>
    <row r="420" spans="1:12" ht="12.75" customHeight="1" x14ac:dyDescent="0.2">
      <c r="A420" s="38"/>
      <c r="B420" s="38"/>
      <c r="C420" s="8"/>
      <c r="D420" s="8"/>
      <c r="E420" s="8"/>
      <c r="F420" s="8"/>
      <c r="G420" s="8"/>
      <c r="H420" s="8"/>
      <c r="I420" s="8"/>
      <c r="J420" s="8"/>
      <c r="K420" s="8"/>
      <c r="L420" s="8"/>
    </row>
    <row r="421" spans="1:12" ht="12.75" customHeight="1" x14ac:dyDescent="0.2">
      <c r="A421" s="38"/>
      <c r="B421" s="38"/>
      <c r="C421" s="8"/>
      <c r="D421" s="8"/>
      <c r="E421" s="8"/>
      <c r="F421" s="8"/>
      <c r="G421" s="8"/>
      <c r="H421" s="8"/>
      <c r="I421" s="8"/>
      <c r="J421" s="8"/>
      <c r="K421" s="8"/>
      <c r="L421" s="8"/>
    </row>
    <row r="422" spans="1:12" ht="12.75" customHeight="1" x14ac:dyDescent="0.2">
      <c r="A422" s="38"/>
      <c r="B422" s="38"/>
      <c r="C422" s="8"/>
      <c r="D422" s="8"/>
      <c r="E422" s="8"/>
      <c r="F422" s="8"/>
      <c r="G422" s="8"/>
      <c r="H422" s="8"/>
      <c r="I422" s="8"/>
      <c r="J422" s="8"/>
      <c r="K422" s="8"/>
      <c r="L422" s="8"/>
    </row>
    <row r="423" spans="1:12" ht="12.75" customHeight="1" x14ac:dyDescent="0.2">
      <c r="A423" s="38"/>
      <c r="B423" s="38"/>
      <c r="C423" s="8"/>
      <c r="D423" s="8"/>
      <c r="E423" s="8"/>
      <c r="F423" s="8"/>
      <c r="G423" s="8"/>
      <c r="H423" s="8"/>
      <c r="I423" s="8"/>
      <c r="J423" s="8"/>
      <c r="K423" s="8"/>
      <c r="L423" s="8"/>
    </row>
    <row r="424" spans="1:12" ht="12.75" customHeight="1" x14ac:dyDescent="0.2">
      <c r="A424" s="38"/>
      <c r="B424" s="38"/>
      <c r="C424" s="8"/>
      <c r="D424" s="8"/>
      <c r="E424" s="8"/>
      <c r="F424" s="8"/>
      <c r="G424" s="8"/>
      <c r="H424" s="8"/>
      <c r="I424" s="8"/>
      <c r="J424" s="8"/>
      <c r="K424" s="8"/>
      <c r="L424" s="8"/>
    </row>
    <row r="425" spans="1:12" ht="12.75" customHeight="1" x14ac:dyDescent="0.2">
      <c r="A425" s="38"/>
      <c r="B425" s="38"/>
      <c r="C425" s="8"/>
      <c r="D425" s="8"/>
      <c r="E425" s="8"/>
      <c r="F425" s="8"/>
      <c r="G425" s="8"/>
      <c r="H425" s="8"/>
      <c r="I425" s="8"/>
      <c r="J425" s="8"/>
      <c r="K425" s="8"/>
      <c r="L425" s="8"/>
    </row>
    <row r="426" spans="1:12" ht="12.75" customHeight="1" x14ac:dyDescent="0.2">
      <c r="A426" s="38"/>
      <c r="B426" s="38"/>
      <c r="C426" s="8"/>
      <c r="D426" s="8"/>
      <c r="E426" s="8"/>
      <c r="F426" s="8"/>
      <c r="G426" s="8"/>
      <c r="H426" s="8"/>
      <c r="I426" s="8"/>
      <c r="J426" s="8"/>
      <c r="K426" s="8"/>
      <c r="L426" s="8"/>
    </row>
    <row r="427" spans="1:12" ht="12.75" customHeight="1" x14ac:dyDescent="0.2">
      <c r="A427" s="38"/>
      <c r="B427" s="38"/>
      <c r="C427" s="8"/>
      <c r="D427" s="8"/>
      <c r="E427" s="8"/>
      <c r="F427" s="8"/>
      <c r="G427" s="8"/>
      <c r="H427" s="8"/>
      <c r="I427" s="8"/>
      <c r="J427" s="8"/>
      <c r="K427" s="8"/>
      <c r="L427" s="8"/>
    </row>
    <row r="428" spans="1:12" ht="12.75" customHeight="1" x14ac:dyDescent="0.2">
      <c r="A428" s="38"/>
      <c r="B428" s="38"/>
      <c r="C428" s="8"/>
      <c r="D428" s="8"/>
      <c r="E428" s="8"/>
      <c r="F428" s="8"/>
      <c r="G428" s="8"/>
      <c r="H428" s="8"/>
      <c r="I428" s="8"/>
      <c r="J428" s="8"/>
      <c r="K428" s="8"/>
      <c r="L428" s="8"/>
    </row>
    <row r="429" spans="1:12" ht="12.75" customHeight="1" x14ac:dyDescent="0.2">
      <c r="A429" s="38"/>
      <c r="B429" s="38"/>
      <c r="C429" s="8"/>
      <c r="D429" s="8"/>
      <c r="E429" s="8"/>
      <c r="F429" s="8"/>
      <c r="G429" s="8"/>
      <c r="H429" s="8"/>
      <c r="I429" s="8"/>
      <c r="J429" s="8"/>
      <c r="K429" s="8"/>
      <c r="L429" s="8"/>
    </row>
    <row r="430" spans="1:12" ht="12.75" customHeight="1" x14ac:dyDescent="0.2">
      <c r="A430" s="38"/>
      <c r="B430" s="38"/>
      <c r="C430" s="8"/>
      <c r="D430" s="8"/>
      <c r="E430" s="8"/>
      <c r="F430" s="8"/>
      <c r="G430" s="8"/>
      <c r="H430" s="8"/>
      <c r="I430" s="8"/>
      <c r="J430" s="8"/>
      <c r="K430" s="8"/>
      <c r="L430" s="8"/>
    </row>
    <row r="431" spans="1:12" ht="12.75" customHeight="1" x14ac:dyDescent="0.2">
      <c r="A431" s="38"/>
      <c r="B431" s="38"/>
      <c r="C431" s="8"/>
      <c r="D431" s="8"/>
      <c r="E431" s="8"/>
      <c r="F431" s="8"/>
      <c r="G431" s="8"/>
      <c r="H431" s="8"/>
      <c r="I431" s="8"/>
      <c r="J431" s="8"/>
      <c r="K431" s="8"/>
      <c r="L431" s="8"/>
    </row>
    <row r="432" spans="1:12" ht="12.75" customHeight="1" x14ac:dyDescent="0.2">
      <c r="A432" s="38"/>
      <c r="B432" s="38"/>
      <c r="C432" s="8"/>
      <c r="D432" s="8"/>
      <c r="E432" s="8"/>
      <c r="F432" s="8"/>
      <c r="G432" s="8"/>
      <c r="H432" s="8"/>
      <c r="I432" s="8"/>
      <c r="J432" s="8"/>
      <c r="K432" s="8"/>
      <c r="L432" s="8"/>
    </row>
    <row r="433" spans="1:12" ht="12.75" customHeight="1" x14ac:dyDescent="0.2">
      <c r="A433" s="38"/>
      <c r="B433" s="38"/>
      <c r="C433" s="8"/>
      <c r="D433" s="8"/>
      <c r="E433" s="8"/>
      <c r="F433" s="8"/>
      <c r="G433" s="8"/>
      <c r="H433" s="8"/>
      <c r="I433" s="8"/>
      <c r="J433" s="8"/>
      <c r="K433" s="8"/>
      <c r="L433" s="8"/>
    </row>
    <row r="434" spans="1:12" ht="12.75" customHeight="1" x14ac:dyDescent="0.2">
      <c r="A434" s="38"/>
      <c r="B434" s="38"/>
      <c r="C434" s="8"/>
      <c r="D434" s="8"/>
      <c r="E434" s="8"/>
      <c r="F434" s="8"/>
      <c r="G434" s="8"/>
      <c r="H434" s="8"/>
      <c r="I434" s="8"/>
      <c r="J434" s="8"/>
      <c r="K434" s="8"/>
      <c r="L434" s="8"/>
    </row>
    <row r="435" spans="1:12" ht="12.75" customHeight="1" x14ac:dyDescent="0.2">
      <c r="A435" s="38"/>
      <c r="B435" s="38"/>
      <c r="C435" s="8"/>
      <c r="D435" s="8"/>
      <c r="E435" s="8"/>
      <c r="F435" s="8"/>
      <c r="G435" s="8"/>
      <c r="H435" s="8"/>
      <c r="I435" s="8"/>
      <c r="J435" s="8"/>
      <c r="K435" s="8"/>
      <c r="L435" s="8"/>
    </row>
    <row r="436" spans="1:12" ht="12.75" customHeight="1" x14ac:dyDescent="0.2">
      <c r="A436" s="38"/>
      <c r="B436" s="38"/>
      <c r="C436" s="8"/>
      <c r="D436" s="8"/>
      <c r="E436" s="8"/>
      <c r="F436" s="8"/>
      <c r="G436" s="8"/>
      <c r="H436" s="8"/>
      <c r="I436" s="8"/>
      <c r="J436" s="8"/>
      <c r="K436" s="8"/>
      <c r="L436" s="8"/>
    </row>
    <row r="437" spans="1:12" ht="12.75" customHeight="1" x14ac:dyDescent="0.2">
      <c r="A437" s="38"/>
      <c r="B437" s="38"/>
      <c r="C437" s="8"/>
      <c r="D437" s="8"/>
      <c r="E437" s="8"/>
      <c r="F437" s="8"/>
      <c r="G437" s="8"/>
      <c r="H437" s="8"/>
      <c r="I437" s="8"/>
      <c r="J437" s="8"/>
      <c r="K437" s="8"/>
      <c r="L437" s="8"/>
    </row>
    <row r="438" spans="1:12" ht="12.75" customHeight="1" x14ac:dyDescent="0.2">
      <c r="A438" s="38"/>
      <c r="B438" s="38"/>
      <c r="C438" s="8"/>
      <c r="D438" s="8"/>
      <c r="E438" s="8"/>
      <c r="F438" s="8"/>
      <c r="G438" s="8"/>
      <c r="H438" s="8"/>
      <c r="I438" s="8"/>
      <c r="J438" s="8"/>
      <c r="K438" s="8"/>
      <c r="L438" s="8"/>
    </row>
    <row r="439" spans="1:12" ht="12.75" customHeight="1" x14ac:dyDescent="0.2">
      <c r="A439" s="38"/>
      <c r="B439" s="38"/>
      <c r="C439" s="8"/>
      <c r="D439" s="8"/>
      <c r="E439" s="8"/>
      <c r="F439" s="8"/>
      <c r="G439" s="8"/>
      <c r="H439" s="8"/>
      <c r="I439" s="8"/>
      <c r="J439" s="8"/>
      <c r="K439" s="8"/>
      <c r="L439" s="8"/>
    </row>
    <row r="440" spans="1:12" ht="12.75" customHeight="1" x14ac:dyDescent="0.2">
      <c r="A440" s="38"/>
      <c r="B440" s="38"/>
      <c r="C440" s="8"/>
      <c r="D440" s="8"/>
      <c r="E440" s="8"/>
      <c r="F440" s="8"/>
      <c r="G440" s="8"/>
      <c r="H440" s="8"/>
      <c r="I440" s="8"/>
      <c r="J440" s="8"/>
      <c r="K440" s="8"/>
      <c r="L440" s="8"/>
    </row>
    <row r="441" spans="1:12" ht="12.75" customHeight="1" x14ac:dyDescent="0.2">
      <c r="A441" s="38"/>
      <c r="B441" s="38"/>
      <c r="C441" s="8"/>
      <c r="D441" s="8"/>
      <c r="E441" s="8"/>
      <c r="F441" s="8"/>
      <c r="G441" s="8"/>
      <c r="H441" s="8"/>
      <c r="I441" s="8"/>
      <c r="J441" s="8"/>
      <c r="K441" s="8"/>
      <c r="L441" s="8"/>
    </row>
    <row r="442" spans="1:12" ht="12.75" customHeight="1" x14ac:dyDescent="0.2">
      <c r="A442" s="38"/>
      <c r="B442" s="38"/>
      <c r="C442" s="8"/>
      <c r="D442" s="8"/>
      <c r="E442" s="8"/>
      <c r="F442" s="8"/>
      <c r="G442" s="8"/>
      <c r="H442" s="8"/>
      <c r="I442" s="8"/>
      <c r="J442" s="8"/>
      <c r="K442" s="8"/>
      <c r="L442" s="8"/>
    </row>
    <row r="443" spans="1:12" ht="12.75" customHeight="1" x14ac:dyDescent="0.2">
      <c r="A443" s="38"/>
      <c r="B443" s="38"/>
      <c r="C443" s="8"/>
      <c r="D443" s="8"/>
      <c r="E443" s="8"/>
      <c r="F443" s="8"/>
      <c r="G443" s="8"/>
      <c r="H443" s="8"/>
      <c r="I443" s="8"/>
      <c r="J443" s="8"/>
      <c r="K443" s="8"/>
      <c r="L443" s="8"/>
    </row>
    <row r="444" spans="1:12" ht="12.75" customHeight="1" x14ac:dyDescent="0.2">
      <c r="A444" s="38"/>
      <c r="B444" s="38"/>
      <c r="C444" s="8"/>
      <c r="D444" s="8"/>
      <c r="E444" s="8"/>
      <c r="F444" s="8"/>
      <c r="G444" s="8"/>
      <c r="H444" s="8"/>
      <c r="I444" s="8"/>
      <c r="J444" s="8"/>
      <c r="K444" s="8"/>
      <c r="L444" s="8"/>
    </row>
    <row r="445" spans="1:12" ht="12.75" customHeight="1" x14ac:dyDescent="0.2">
      <c r="A445" s="38"/>
      <c r="B445" s="38"/>
      <c r="C445" s="8"/>
      <c r="D445" s="8"/>
      <c r="E445" s="8"/>
      <c r="F445" s="8"/>
      <c r="G445" s="8"/>
      <c r="H445" s="8"/>
      <c r="I445" s="8"/>
      <c r="J445" s="8"/>
      <c r="K445" s="8"/>
      <c r="L445" s="8"/>
    </row>
    <row r="446" spans="1:12" ht="12.75" customHeight="1" x14ac:dyDescent="0.2">
      <c r="A446" s="38"/>
      <c r="B446" s="38"/>
      <c r="C446" s="8"/>
      <c r="D446" s="8"/>
      <c r="E446" s="8"/>
      <c r="F446" s="8"/>
      <c r="G446" s="8"/>
      <c r="H446" s="8"/>
      <c r="I446" s="8"/>
      <c r="J446" s="8"/>
      <c r="K446" s="8"/>
      <c r="L446" s="8"/>
    </row>
    <row r="447" spans="1:12" ht="12.75" customHeight="1" x14ac:dyDescent="0.2">
      <c r="A447" s="38"/>
      <c r="B447" s="38"/>
      <c r="C447" s="8"/>
      <c r="D447" s="8"/>
      <c r="E447" s="8"/>
      <c r="F447" s="8"/>
      <c r="G447" s="8"/>
      <c r="H447" s="8"/>
      <c r="I447" s="8"/>
      <c r="J447" s="8"/>
      <c r="K447" s="8"/>
      <c r="L447" s="8"/>
    </row>
    <row r="448" spans="1:12" ht="12.75" customHeight="1" x14ac:dyDescent="0.2">
      <c r="A448" s="38"/>
      <c r="B448" s="38"/>
      <c r="C448" s="8"/>
      <c r="D448" s="8"/>
      <c r="E448" s="8"/>
      <c r="F448" s="8"/>
      <c r="G448" s="8"/>
      <c r="H448" s="8"/>
      <c r="I448" s="8"/>
      <c r="J448" s="8"/>
      <c r="K448" s="8"/>
      <c r="L448" s="8"/>
    </row>
    <row r="449" spans="1:12" ht="12.75" customHeight="1" x14ac:dyDescent="0.2">
      <c r="A449" s="38"/>
      <c r="B449" s="38"/>
      <c r="C449" s="8"/>
      <c r="D449" s="8"/>
      <c r="E449" s="8"/>
      <c r="F449" s="8"/>
      <c r="G449" s="8"/>
      <c r="H449" s="8"/>
      <c r="I449" s="8"/>
      <c r="J449" s="8"/>
      <c r="K449" s="8"/>
      <c r="L449" s="8"/>
    </row>
    <row r="450" spans="1:12" ht="12.75" customHeight="1" x14ac:dyDescent="0.2">
      <c r="A450" s="38"/>
      <c r="B450" s="38"/>
      <c r="C450" s="8"/>
      <c r="D450" s="8"/>
      <c r="E450" s="8"/>
      <c r="F450" s="8"/>
      <c r="G450" s="8"/>
      <c r="H450" s="8"/>
      <c r="I450" s="8"/>
      <c r="J450" s="8"/>
      <c r="K450" s="8"/>
      <c r="L450" s="8"/>
    </row>
    <row r="451" spans="1:12" ht="12.75" customHeight="1" x14ac:dyDescent="0.2">
      <c r="A451" s="38"/>
      <c r="B451" s="38"/>
      <c r="C451" s="8"/>
      <c r="D451" s="8"/>
      <c r="E451" s="8"/>
      <c r="F451" s="8"/>
      <c r="G451" s="8"/>
      <c r="H451" s="8"/>
      <c r="I451" s="8"/>
      <c r="J451" s="8"/>
      <c r="K451" s="8"/>
      <c r="L451" s="8"/>
    </row>
    <row r="452" spans="1:12" ht="12.75" customHeight="1" x14ac:dyDescent="0.2">
      <c r="A452" s="38"/>
      <c r="B452" s="38"/>
      <c r="C452" s="8"/>
      <c r="D452" s="8"/>
      <c r="E452" s="8"/>
      <c r="F452" s="8"/>
      <c r="G452" s="8"/>
      <c r="H452" s="8"/>
      <c r="I452" s="8"/>
      <c r="J452" s="8"/>
      <c r="K452" s="8"/>
      <c r="L452" s="8"/>
    </row>
    <row r="453" spans="1:12" ht="12.75" customHeight="1" x14ac:dyDescent="0.2">
      <c r="A453" s="38"/>
      <c r="B453" s="38"/>
      <c r="C453" s="8"/>
      <c r="D453" s="8"/>
      <c r="E453" s="8"/>
      <c r="F453" s="8"/>
      <c r="G453" s="8"/>
      <c r="H453" s="8"/>
      <c r="I453" s="8"/>
      <c r="J453" s="8"/>
      <c r="K453" s="8"/>
      <c r="L453" s="8"/>
    </row>
    <row r="454" spans="1:12" ht="12.75" customHeight="1" x14ac:dyDescent="0.2">
      <c r="A454" s="38"/>
      <c r="B454" s="38"/>
      <c r="C454" s="8"/>
      <c r="D454" s="8"/>
      <c r="E454" s="8"/>
      <c r="F454" s="8"/>
      <c r="G454" s="8"/>
      <c r="H454" s="8"/>
      <c r="I454" s="8"/>
      <c r="J454" s="8"/>
      <c r="K454" s="8"/>
      <c r="L454" s="8"/>
    </row>
    <row r="455" spans="1:12" ht="12.75" customHeight="1" x14ac:dyDescent="0.2">
      <c r="A455" s="38"/>
      <c r="B455" s="38"/>
      <c r="C455" s="8"/>
      <c r="D455" s="8"/>
      <c r="E455" s="8"/>
      <c r="F455" s="8"/>
      <c r="G455" s="8"/>
      <c r="H455" s="8"/>
      <c r="I455" s="8"/>
      <c r="J455" s="8"/>
      <c r="K455" s="8"/>
      <c r="L455" s="8"/>
    </row>
    <row r="456" spans="1:12" ht="12.75" customHeight="1" x14ac:dyDescent="0.2">
      <c r="A456" s="38"/>
      <c r="B456" s="38"/>
      <c r="C456" s="8"/>
      <c r="D456" s="8"/>
      <c r="E456" s="8"/>
      <c r="F456" s="8"/>
      <c r="G456" s="8"/>
      <c r="H456" s="8"/>
      <c r="I456" s="8"/>
      <c r="J456" s="8"/>
      <c r="K456" s="8"/>
      <c r="L456" s="8"/>
    </row>
    <row r="457" spans="1:12" ht="12.75" customHeight="1" x14ac:dyDescent="0.2">
      <c r="A457" s="38"/>
      <c r="B457" s="38"/>
      <c r="C457" s="8"/>
      <c r="D457" s="8"/>
      <c r="E457" s="8"/>
      <c r="F457" s="8"/>
      <c r="G457" s="8"/>
      <c r="H457" s="8"/>
      <c r="I457" s="8"/>
      <c r="J457" s="8"/>
      <c r="K457" s="8"/>
      <c r="L457" s="8"/>
    </row>
    <row r="458" spans="1:12" ht="12.75" customHeight="1" x14ac:dyDescent="0.2">
      <c r="A458" s="38"/>
      <c r="B458" s="38"/>
      <c r="C458" s="8"/>
      <c r="D458" s="8"/>
      <c r="E458" s="8"/>
      <c r="F458" s="8"/>
      <c r="G458" s="8"/>
      <c r="H458" s="8"/>
      <c r="I458" s="8"/>
      <c r="J458" s="8"/>
      <c r="K458" s="8"/>
      <c r="L458" s="8"/>
    </row>
    <row r="459" spans="1:12" ht="12.75" customHeight="1" x14ac:dyDescent="0.2">
      <c r="A459" s="38"/>
      <c r="B459" s="38"/>
      <c r="C459" s="8"/>
      <c r="D459" s="8"/>
      <c r="E459" s="8"/>
      <c r="F459" s="8"/>
      <c r="G459" s="8"/>
      <c r="H459" s="8"/>
      <c r="I459" s="8"/>
      <c r="J459" s="8"/>
      <c r="K459" s="8"/>
      <c r="L459" s="8"/>
    </row>
    <row r="460" spans="1:12" ht="12.75" customHeight="1" x14ac:dyDescent="0.2">
      <c r="A460" s="38"/>
      <c r="B460" s="38"/>
      <c r="C460" s="8"/>
      <c r="D460" s="8"/>
      <c r="E460" s="8"/>
      <c r="F460" s="8"/>
      <c r="G460" s="8"/>
      <c r="H460" s="8"/>
      <c r="I460" s="8"/>
      <c r="J460" s="8"/>
      <c r="K460" s="8"/>
      <c r="L460" s="8"/>
    </row>
    <row r="461" spans="1:12" ht="12.75" customHeight="1" x14ac:dyDescent="0.2">
      <c r="A461" s="38"/>
      <c r="B461" s="38"/>
      <c r="C461" s="8"/>
      <c r="D461" s="8"/>
      <c r="E461" s="8"/>
      <c r="F461" s="8"/>
      <c r="G461" s="8"/>
      <c r="H461" s="8"/>
      <c r="I461" s="8"/>
      <c r="J461" s="8"/>
      <c r="K461" s="8"/>
      <c r="L461" s="8"/>
    </row>
    <row r="462" spans="1:12" ht="12.75" customHeight="1" x14ac:dyDescent="0.2">
      <c r="A462" s="38"/>
      <c r="B462" s="38"/>
      <c r="C462" s="8"/>
      <c r="D462" s="8"/>
      <c r="E462" s="8"/>
      <c r="F462" s="8"/>
      <c r="G462" s="8"/>
      <c r="H462" s="8"/>
      <c r="I462" s="8"/>
      <c r="J462" s="8"/>
      <c r="K462" s="8"/>
      <c r="L462" s="8"/>
    </row>
    <row r="463" spans="1:12" ht="12.75" customHeight="1" x14ac:dyDescent="0.2">
      <c r="A463" s="38"/>
      <c r="B463" s="38"/>
      <c r="C463" s="8"/>
      <c r="D463" s="8"/>
      <c r="E463" s="8"/>
      <c r="F463" s="8"/>
      <c r="G463" s="8"/>
      <c r="H463" s="8"/>
      <c r="I463" s="8"/>
      <c r="J463" s="8"/>
      <c r="K463" s="8"/>
      <c r="L463" s="8"/>
    </row>
    <row r="464" spans="1:12" ht="12.75" customHeight="1" x14ac:dyDescent="0.2">
      <c r="A464" s="38"/>
      <c r="B464" s="38"/>
      <c r="C464" s="8"/>
      <c r="D464" s="8"/>
      <c r="E464" s="8"/>
      <c r="F464" s="8"/>
      <c r="G464" s="8"/>
      <c r="H464" s="8"/>
      <c r="I464" s="8"/>
      <c r="J464" s="8"/>
      <c r="K464" s="8"/>
      <c r="L464" s="8"/>
    </row>
    <row r="465" spans="1:12" ht="12.75" customHeight="1" x14ac:dyDescent="0.2">
      <c r="A465" s="38"/>
      <c r="B465" s="38"/>
      <c r="C465" s="8"/>
      <c r="D465" s="8"/>
      <c r="E465" s="8"/>
      <c r="F465" s="8"/>
      <c r="G465" s="8"/>
      <c r="H465" s="8"/>
      <c r="I465" s="8"/>
      <c r="J465" s="8"/>
      <c r="K465" s="8"/>
      <c r="L465" s="8"/>
    </row>
    <row r="466" spans="1:12" ht="12.75" customHeight="1" x14ac:dyDescent="0.2">
      <c r="A466" s="38"/>
      <c r="B466" s="38"/>
      <c r="C466" s="8"/>
      <c r="D466" s="8"/>
      <c r="E466" s="8"/>
      <c r="F466" s="8"/>
      <c r="G466" s="8"/>
      <c r="H466" s="8"/>
      <c r="I466" s="8"/>
      <c r="J466" s="8"/>
      <c r="K466" s="8"/>
      <c r="L466" s="8"/>
    </row>
    <row r="467" spans="1:12" ht="12.75" customHeight="1" x14ac:dyDescent="0.2">
      <c r="A467" s="38"/>
      <c r="B467" s="38"/>
      <c r="C467" s="8"/>
      <c r="D467" s="8"/>
      <c r="E467" s="8"/>
      <c r="F467" s="8"/>
      <c r="G467" s="8"/>
      <c r="H467" s="8"/>
      <c r="I467" s="8"/>
      <c r="J467" s="8"/>
      <c r="K467" s="8"/>
      <c r="L467" s="8"/>
    </row>
    <row r="468" spans="1:12" ht="12.75" customHeight="1" x14ac:dyDescent="0.2">
      <c r="A468" s="38"/>
      <c r="B468" s="38"/>
      <c r="C468" s="8"/>
      <c r="D468" s="8"/>
      <c r="E468" s="8"/>
      <c r="F468" s="8"/>
      <c r="G468" s="8"/>
      <c r="H468" s="8"/>
      <c r="I468" s="8"/>
      <c r="J468" s="8"/>
      <c r="K468" s="8"/>
      <c r="L468" s="8"/>
    </row>
    <row r="469" spans="1:12" ht="12.75" customHeight="1" x14ac:dyDescent="0.2">
      <c r="A469" s="38"/>
      <c r="B469" s="38"/>
      <c r="C469" s="8"/>
      <c r="D469" s="8"/>
      <c r="E469" s="8"/>
      <c r="F469" s="8"/>
      <c r="G469" s="8"/>
      <c r="H469" s="8"/>
      <c r="I469" s="8"/>
      <c r="J469" s="8"/>
      <c r="K469" s="8"/>
      <c r="L469" s="8"/>
    </row>
    <row r="470" spans="1:12" ht="12.75" customHeight="1" x14ac:dyDescent="0.2">
      <c r="A470" s="38"/>
      <c r="B470" s="38"/>
      <c r="C470" s="8"/>
      <c r="D470" s="8"/>
      <c r="E470" s="8"/>
      <c r="F470" s="8"/>
      <c r="G470" s="8"/>
      <c r="H470" s="8"/>
      <c r="I470" s="8"/>
      <c r="J470" s="8"/>
      <c r="K470" s="8"/>
      <c r="L470" s="8"/>
    </row>
    <row r="471" spans="1:12" ht="12.75" customHeight="1" x14ac:dyDescent="0.2">
      <c r="A471" s="38"/>
      <c r="B471" s="38"/>
      <c r="C471" s="8"/>
      <c r="D471" s="8"/>
      <c r="E471" s="8"/>
      <c r="F471" s="8"/>
      <c r="G471" s="8"/>
      <c r="H471" s="8"/>
      <c r="I471" s="8"/>
      <c r="J471" s="8"/>
      <c r="K471" s="8"/>
      <c r="L471" s="8"/>
    </row>
    <row r="472" spans="1:12" ht="12.75" customHeight="1" x14ac:dyDescent="0.2">
      <c r="A472" s="38"/>
      <c r="B472" s="38"/>
      <c r="C472" s="8"/>
      <c r="D472" s="8"/>
      <c r="E472" s="8"/>
      <c r="F472" s="8"/>
      <c r="G472" s="8"/>
      <c r="H472" s="8"/>
      <c r="I472" s="8"/>
      <c r="J472" s="8"/>
      <c r="K472" s="8"/>
      <c r="L472" s="8"/>
    </row>
    <row r="473" spans="1:12" ht="12.75" customHeight="1" x14ac:dyDescent="0.2">
      <c r="A473" s="38"/>
      <c r="B473" s="38"/>
      <c r="C473" s="8"/>
      <c r="D473" s="8"/>
      <c r="E473" s="8"/>
      <c r="F473" s="8"/>
      <c r="G473" s="8"/>
      <c r="H473" s="8"/>
      <c r="I473" s="8"/>
      <c r="J473" s="8"/>
      <c r="K473" s="8"/>
      <c r="L473" s="8"/>
    </row>
    <row r="474" spans="1:12" ht="12.75" customHeight="1" x14ac:dyDescent="0.2">
      <c r="A474" s="38"/>
      <c r="B474" s="38"/>
      <c r="C474" s="8"/>
      <c r="D474" s="8"/>
      <c r="E474" s="8"/>
      <c r="F474" s="8"/>
      <c r="G474" s="8"/>
      <c r="H474" s="8"/>
      <c r="I474" s="8"/>
      <c r="J474" s="8"/>
      <c r="K474" s="8"/>
      <c r="L474" s="8"/>
    </row>
    <row r="475" spans="1:12" ht="12.75" customHeight="1" x14ac:dyDescent="0.2">
      <c r="A475" s="38"/>
      <c r="B475" s="38"/>
      <c r="C475" s="8"/>
      <c r="D475" s="8"/>
      <c r="E475" s="8"/>
      <c r="F475" s="8"/>
      <c r="G475" s="8"/>
      <c r="H475" s="8"/>
      <c r="I475" s="8"/>
      <c r="J475" s="8"/>
      <c r="K475" s="8"/>
      <c r="L475" s="8"/>
    </row>
    <row r="476" spans="1:12" ht="12.75" customHeight="1" x14ac:dyDescent="0.2">
      <c r="A476" s="38"/>
      <c r="B476" s="38"/>
      <c r="C476" s="8"/>
      <c r="D476" s="8"/>
      <c r="E476" s="8"/>
      <c r="F476" s="8"/>
      <c r="G476" s="8"/>
      <c r="H476" s="8"/>
      <c r="I476" s="8"/>
      <c r="J476" s="8"/>
      <c r="K476" s="8"/>
      <c r="L476" s="8"/>
    </row>
    <row r="477" spans="1:12" ht="12.75" customHeight="1" x14ac:dyDescent="0.2">
      <c r="A477" s="38"/>
      <c r="B477" s="38"/>
      <c r="C477" s="8"/>
      <c r="D477" s="8"/>
      <c r="E477" s="8"/>
      <c r="F477" s="8"/>
      <c r="G477" s="8"/>
      <c r="H477" s="8"/>
      <c r="I477" s="8"/>
      <c r="J477" s="8"/>
      <c r="K477" s="8"/>
      <c r="L477" s="8"/>
    </row>
    <row r="478" spans="1:12" ht="12.75" customHeight="1" x14ac:dyDescent="0.2">
      <c r="A478" s="38"/>
      <c r="B478" s="38"/>
      <c r="C478" s="8"/>
      <c r="D478" s="8"/>
      <c r="E478" s="8"/>
      <c r="F478" s="8"/>
      <c r="G478" s="8"/>
      <c r="H478" s="8"/>
      <c r="I478" s="8"/>
      <c r="J478" s="8"/>
      <c r="K478" s="8"/>
      <c r="L478" s="8"/>
    </row>
    <row r="479" spans="1:12" ht="12.75" customHeight="1" x14ac:dyDescent="0.2">
      <c r="A479" s="38"/>
      <c r="B479" s="38"/>
      <c r="C479" s="8"/>
      <c r="D479" s="8"/>
      <c r="E479" s="8"/>
      <c r="F479" s="8"/>
      <c r="G479" s="8"/>
      <c r="H479" s="8"/>
      <c r="I479" s="8"/>
      <c r="J479" s="8"/>
      <c r="K479" s="8"/>
      <c r="L479" s="8"/>
    </row>
    <row r="480" spans="1:12" ht="12.75" customHeight="1" x14ac:dyDescent="0.2">
      <c r="A480" s="38"/>
      <c r="B480" s="38"/>
      <c r="C480" s="8"/>
      <c r="D480" s="8"/>
      <c r="E480" s="8"/>
      <c r="F480" s="8"/>
      <c r="G480" s="8"/>
      <c r="H480" s="8"/>
      <c r="I480" s="8"/>
      <c r="J480" s="8"/>
      <c r="K480" s="8"/>
      <c r="L480" s="8"/>
    </row>
    <row r="481" spans="1:12" ht="12.75" customHeight="1" x14ac:dyDescent="0.2">
      <c r="A481" s="38"/>
      <c r="B481" s="38"/>
      <c r="C481" s="8"/>
      <c r="D481" s="8"/>
      <c r="E481" s="8"/>
      <c r="F481" s="8"/>
      <c r="G481" s="8"/>
      <c r="H481" s="8"/>
      <c r="I481" s="8"/>
      <c r="J481" s="8"/>
      <c r="K481" s="8"/>
      <c r="L481" s="8"/>
    </row>
    <row r="482" spans="1:12" ht="12.75" customHeight="1" x14ac:dyDescent="0.2">
      <c r="A482" s="38"/>
      <c r="B482" s="38"/>
      <c r="C482" s="8"/>
      <c r="D482" s="8"/>
      <c r="E482" s="8"/>
      <c r="F482" s="8"/>
      <c r="G482" s="8"/>
      <c r="H482" s="8"/>
      <c r="I482" s="8"/>
      <c r="J482" s="8"/>
      <c r="K482" s="8"/>
      <c r="L482" s="8"/>
    </row>
    <row r="483" spans="1:12" ht="12.75" customHeight="1" x14ac:dyDescent="0.2">
      <c r="A483" s="38"/>
      <c r="B483" s="38"/>
      <c r="C483" s="8"/>
      <c r="D483" s="8"/>
      <c r="E483" s="8"/>
      <c r="F483" s="8"/>
      <c r="G483" s="8"/>
      <c r="H483" s="8"/>
      <c r="I483" s="8"/>
      <c r="J483" s="8"/>
      <c r="K483" s="8"/>
      <c r="L483" s="8"/>
    </row>
    <row r="484" spans="1:12" ht="12.75" customHeight="1" x14ac:dyDescent="0.2">
      <c r="A484" s="38"/>
      <c r="B484" s="38"/>
      <c r="C484" s="8"/>
      <c r="D484" s="8"/>
      <c r="E484" s="8"/>
      <c r="F484" s="8"/>
      <c r="G484" s="8"/>
      <c r="H484" s="8"/>
      <c r="I484" s="8"/>
      <c r="J484" s="8"/>
      <c r="K484" s="8"/>
      <c r="L484" s="8"/>
    </row>
    <row r="485" spans="1:12" ht="12.75" customHeight="1" x14ac:dyDescent="0.2">
      <c r="A485" s="38"/>
      <c r="B485" s="38"/>
      <c r="C485" s="8"/>
      <c r="D485" s="8"/>
      <c r="E485" s="8"/>
      <c r="F485" s="8"/>
      <c r="G485" s="8"/>
      <c r="H485" s="8"/>
      <c r="I485" s="8"/>
      <c r="J485" s="8"/>
      <c r="K485" s="8"/>
      <c r="L485" s="8"/>
    </row>
    <row r="486" spans="1:12" ht="12.75" customHeight="1" x14ac:dyDescent="0.2">
      <c r="A486" s="38"/>
      <c r="B486" s="38"/>
      <c r="C486" s="8"/>
      <c r="D486" s="8"/>
      <c r="E486" s="8"/>
      <c r="F486" s="8"/>
      <c r="G486" s="8"/>
      <c r="H486" s="8"/>
      <c r="I486" s="8"/>
      <c r="J486" s="8"/>
      <c r="K486" s="8"/>
      <c r="L486" s="8"/>
    </row>
    <row r="487" spans="1:12" ht="12.75" customHeight="1" x14ac:dyDescent="0.2">
      <c r="A487" s="38"/>
      <c r="B487" s="38"/>
      <c r="C487" s="8"/>
      <c r="D487" s="8"/>
      <c r="E487" s="8"/>
      <c r="F487" s="8"/>
      <c r="G487" s="8"/>
      <c r="H487" s="8"/>
      <c r="I487" s="8"/>
      <c r="J487" s="8"/>
      <c r="K487" s="8"/>
      <c r="L487" s="8"/>
    </row>
    <row r="488" spans="1:12" ht="12.75" customHeight="1" x14ac:dyDescent="0.2">
      <c r="A488" s="38"/>
      <c r="B488" s="38"/>
      <c r="C488" s="8"/>
      <c r="D488" s="8"/>
      <c r="E488" s="8"/>
      <c r="F488" s="8"/>
      <c r="G488" s="8"/>
      <c r="H488" s="8"/>
      <c r="I488" s="8"/>
      <c r="J488" s="8"/>
      <c r="K488" s="8"/>
      <c r="L488" s="8"/>
    </row>
    <row r="489" spans="1:12" ht="12.75" customHeight="1" x14ac:dyDescent="0.2">
      <c r="A489" s="38"/>
      <c r="B489" s="38"/>
      <c r="C489" s="8"/>
      <c r="D489" s="8"/>
      <c r="E489" s="8"/>
      <c r="F489" s="8"/>
      <c r="G489" s="8"/>
      <c r="H489" s="8"/>
      <c r="I489" s="8"/>
      <c r="J489" s="8"/>
      <c r="K489" s="8"/>
      <c r="L489" s="8"/>
    </row>
    <row r="490" spans="1:12" ht="12.75" customHeight="1" x14ac:dyDescent="0.2">
      <c r="A490" s="38"/>
      <c r="B490" s="38"/>
      <c r="C490" s="8"/>
      <c r="D490" s="8"/>
      <c r="E490" s="8"/>
      <c r="F490" s="8"/>
      <c r="G490" s="8"/>
      <c r="H490" s="8"/>
      <c r="I490" s="8"/>
      <c r="J490" s="8"/>
      <c r="K490" s="8"/>
      <c r="L490" s="8"/>
    </row>
    <row r="491" spans="1:12" ht="12.75" customHeight="1" x14ac:dyDescent="0.2">
      <c r="A491" s="38"/>
      <c r="B491" s="38"/>
      <c r="C491" s="8"/>
      <c r="D491" s="8"/>
      <c r="E491" s="8"/>
      <c r="F491" s="8"/>
      <c r="G491" s="8"/>
      <c r="H491" s="8"/>
      <c r="I491" s="8"/>
      <c r="J491" s="8"/>
      <c r="K491" s="8"/>
      <c r="L491" s="8"/>
    </row>
    <row r="492" spans="1:12" ht="12.75" customHeight="1" x14ac:dyDescent="0.2">
      <c r="A492" s="38"/>
      <c r="B492" s="38"/>
      <c r="C492" s="8"/>
      <c r="D492" s="8"/>
      <c r="E492" s="8"/>
      <c r="F492" s="8"/>
      <c r="G492" s="8"/>
      <c r="H492" s="8"/>
      <c r="I492" s="8"/>
      <c r="J492" s="8"/>
      <c r="K492" s="8"/>
      <c r="L492" s="8"/>
    </row>
    <row r="493" spans="1:12" ht="12.75" customHeight="1" x14ac:dyDescent="0.2">
      <c r="A493" s="38"/>
      <c r="B493" s="38"/>
      <c r="C493" s="8"/>
      <c r="D493" s="8"/>
      <c r="E493" s="8"/>
      <c r="F493" s="8"/>
      <c r="G493" s="8"/>
      <c r="H493" s="8"/>
      <c r="I493" s="8"/>
      <c r="J493" s="8"/>
      <c r="K493" s="8"/>
      <c r="L493" s="8"/>
    </row>
    <row r="494" spans="1:12" ht="12.75" customHeight="1" x14ac:dyDescent="0.2">
      <c r="A494" s="38"/>
      <c r="B494" s="38"/>
      <c r="C494" s="8"/>
      <c r="D494" s="8"/>
      <c r="E494" s="8"/>
      <c r="F494" s="8"/>
      <c r="G494" s="8"/>
      <c r="H494" s="8"/>
      <c r="I494" s="8"/>
      <c r="J494" s="8"/>
      <c r="K494" s="8"/>
      <c r="L494" s="8"/>
    </row>
    <row r="495" spans="1:12" ht="12.75" customHeight="1" x14ac:dyDescent="0.2">
      <c r="A495" s="38"/>
      <c r="B495" s="38"/>
      <c r="C495" s="8"/>
      <c r="D495" s="8"/>
      <c r="E495" s="8"/>
      <c r="F495" s="8"/>
      <c r="G495" s="8"/>
      <c r="H495" s="8"/>
      <c r="I495" s="8"/>
      <c r="J495" s="8"/>
      <c r="K495" s="8"/>
      <c r="L495" s="8"/>
    </row>
    <row r="496" spans="1:12" ht="12.75" customHeight="1" x14ac:dyDescent="0.2">
      <c r="A496" s="38"/>
      <c r="B496" s="38"/>
      <c r="C496" s="8"/>
      <c r="D496" s="8"/>
      <c r="E496" s="8"/>
      <c r="F496" s="8"/>
      <c r="G496" s="8"/>
      <c r="H496" s="8"/>
      <c r="I496" s="8"/>
      <c r="J496" s="8"/>
      <c r="K496" s="8"/>
      <c r="L496" s="8"/>
    </row>
    <row r="497" spans="1:12" ht="12.75" customHeight="1" x14ac:dyDescent="0.2">
      <c r="A497" s="38"/>
      <c r="B497" s="38"/>
      <c r="C497" s="8"/>
      <c r="D497" s="8"/>
      <c r="E497" s="8"/>
      <c r="F497" s="8"/>
      <c r="G497" s="8"/>
      <c r="H497" s="8"/>
      <c r="I497" s="8"/>
      <c r="J497" s="8"/>
      <c r="K497" s="8"/>
      <c r="L497" s="8"/>
    </row>
    <row r="498" spans="1:12" ht="12.75" customHeight="1" x14ac:dyDescent="0.2">
      <c r="A498" s="38"/>
      <c r="B498" s="38"/>
      <c r="C498" s="8"/>
      <c r="D498" s="8"/>
      <c r="E498" s="8"/>
      <c r="F498" s="8"/>
      <c r="G498" s="8"/>
      <c r="H498" s="8"/>
      <c r="I498" s="8"/>
      <c r="J498" s="8"/>
      <c r="K498" s="8"/>
      <c r="L498" s="8"/>
    </row>
    <row r="499" spans="1:12" ht="12.75" customHeight="1" x14ac:dyDescent="0.2">
      <c r="A499" s="38"/>
      <c r="B499" s="38"/>
      <c r="C499" s="8"/>
      <c r="D499" s="8"/>
      <c r="E499" s="8"/>
      <c r="F499" s="8"/>
      <c r="G499" s="8"/>
      <c r="H499" s="8"/>
      <c r="I499" s="8"/>
      <c r="J499" s="8"/>
      <c r="K499" s="8"/>
      <c r="L499" s="8"/>
    </row>
    <row r="500" spans="1:12" ht="12.75" customHeight="1" x14ac:dyDescent="0.2">
      <c r="A500" s="38"/>
      <c r="B500" s="38"/>
      <c r="C500" s="8"/>
      <c r="D500" s="8"/>
      <c r="E500" s="8"/>
      <c r="F500" s="8"/>
      <c r="G500" s="8"/>
      <c r="H500" s="8"/>
      <c r="I500" s="8"/>
      <c r="J500" s="8"/>
      <c r="K500" s="8"/>
      <c r="L500" s="8"/>
    </row>
    <row r="501" spans="1:12" ht="12.75" customHeight="1" x14ac:dyDescent="0.2">
      <c r="A501" s="38"/>
      <c r="B501" s="38"/>
      <c r="C501" s="8"/>
      <c r="D501" s="8"/>
      <c r="E501" s="8"/>
      <c r="F501" s="8"/>
      <c r="G501" s="8"/>
      <c r="H501" s="8"/>
      <c r="I501" s="8"/>
      <c r="J501" s="8"/>
      <c r="K501" s="8"/>
      <c r="L501" s="8"/>
    </row>
    <row r="502" spans="1:12" ht="12.75" customHeight="1" x14ac:dyDescent="0.2">
      <c r="A502" s="38"/>
      <c r="B502" s="38"/>
      <c r="C502" s="8"/>
      <c r="D502" s="8"/>
      <c r="E502" s="8"/>
      <c r="F502" s="8"/>
      <c r="G502" s="8"/>
      <c r="H502" s="8"/>
      <c r="I502" s="8"/>
      <c r="J502" s="8"/>
      <c r="K502" s="8"/>
      <c r="L502" s="8"/>
    </row>
    <row r="503" spans="1:12" ht="12.75" customHeight="1" x14ac:dyDescent="0.2">
      <c r="A503" s="38"/>
      <c r="B503" s="38"/>
      <c r="C503" s="8"/>
      <c r="D503" s="8"/>
      <c r="E503" s="8"/>
      <c r="F503" s="8"/>
      <c r="G503" s="8"/>
      <c r="H503" s="8"/>
      <c r="I503" s="8"/>
      <c r="J503" s="8"/>
      <c r="K503" s="8"/>
      <c r="L503" s="8"/>
    </row>
    <row r="504" spans="1:12" ht="12.75" customHeight="1" x14ac:dyDescent="0.2">
      <c r="A504" s="38"/>
      <c r="B504" s="38"/>
      <c r="C504" s="8"/>
      <c r="D504" s="8"/>
      <c r="E504" s="8"/>
      <c r="F504" s="8"/>
      <c r="G504" s="8"/>
      <c r="H504" s="8"/>
      <c r="I504" s="8"/>
      <c r="J504" s="8"/>
      <c r="K504" s="8"/>
      <c r="L504" s="8"/>
    </row>
    <row r="505" spans="1:12" ht="12.75" customHeight="1" x14ac:dyDescent="0.2">
      <c r="A505" s="38"/>
      <c r="B505" s="38"/>
      <c r="C505" s="8"/>
      <c r="D505" s="8"/>
      <c r="E505" s="8"/>
      <c r="F505" s="8"/>
      <c r="G505" s="8"/>
      <c r="H505" s="8"/>
      <c r="I505" s="8"/>
      <c r="J505" s="8"/>
      <c r="K505" s="8"/>
      <c r="L505" s="8"/>
    </row>
    <row r="506" spans="1:12" ht="12.75" customHeight="1" x14ac:dyDescent="0.2">
      <c r="A506" s="38"/>
      <c r="B506" s="38"/>
      <c r="C506" s="8"/>
      <c r="D506" s="8"/>
      <c r="E506" s="8"/>
      <c r="F506" s="8"/>
      <c r="G506" s="8"/>
      <c r="H506" s="8"/>
      <c r="I506" s="8"/>
      <c r="J506" s="8"/>
      <c r="K506" s="8"/>
      <c r="L506" s="8"/>
    </row>
    <row r="507" spans="1:12" ht="12.75" customHeight="1" x14ac:dyDescent="0.2">
      <c r="A507" s="38"/>
      <c r="B507" s="38"/>
      <c r="C507" s="8"/>
      <c r="D507" s="8"/>
      <c r="E507" s="8"/>
      <c r="F507" s="8"/>
      <c r="G507" s="8"/>
      <c r="H507" s="8"/>
      <c r="I507" s="8"/>
      <c r="J507" s="8"/>
      <c r="K507" s="8"/>
      <c r="L507" s="8"/>
    </row>
    <row r="508" spans="1:12" ht="12.75" customHeight="1" x14ac:dyDescent="0.2">
      <c r="A508" s="38"/>
      <c r="B508" s="38"/>
      <c r="C508" s="8"/>
      <c r="D508" s="8"/>
      <c r="E508" s="8"/>
      <c r="F508" s="8"/>
      <c r="G508" s="8"/>
      <c r="H508" s="8"/>
      <c r="I508" s="8"/>
      <c r="J508" s="8"/>
      <c r="K508" s="8"/>
      <c r="L508" s="8"/>
    </row>
    <row r="509" spans="1:12" ht="12.75" customHeight="1" x14ac:dyDescent="0.2">
      <c r="A509" s="38"/>
      <c r="B509" s="38"/>
      <c r="C509" s="8"/>
      <c r="D509" s="8"/>
      <c r="E509" s="8"/>
      <c r="F509" s="8"/>
      <c r="G509" s="8"/>
      <c r="H509" s="8"/>
      <c r="I509" s="8"/>
      <c r="J509" s="8"/>
      <c r="K509" s="8"/>
      <c r="L509" s="8"/>
    </row>
    <row r="510" spans="1:12" ht="12.75" customHeight="1" x14ac:dyDescent="0.2">
      <c r="A510" s="38"/>
      <c r="B510" s="38"/>
      <c r="C510" s="8"/>
      <c r="D510" s="8"/>
      <c r="E510" s="8"/>
      <c r="F510" s="8"/>
      <c r="G510" s="8"/>
      <c r="H510" s="8"/>
      <c r="I510" s="8"/>
      <c r="J510" s="8"/>
      <c r="K510" s="8"/>
      <c r="L510" s="8"/>
    </row>
    <row r="511" spans="1:12" ht="12.75" customHeight="1" x14ac:dyDescent="0.2">
      <c r="A511" s="38"/>
      <c r="B511" s="38"/>
      <c r="C511" s="8"/>
      <c r="D511" s="8"/>
      <c r="E511" s="8"/>
      <c r="F511" s="8"/>
      <c r="G511" s="8"/>
      <c r="H511" s="8"/>
      <c r="I511" s="8"/>
      <c r="J511" s="8"/>
      <c r="K511" s="8"/>
      <c r="L511" s="8"/>
    </row>
    <row r="512" spans="1:12" ht="12.75" customHeight="1" x14ac:dyDescent="0.2">
      <c r="A512" s="38"/>
      <c r="B512" s="38"/>
      <c r="C512" s="8"/>
      <c r="D512" s="8"/>
      <c r="E512" s="8"/>
      <c r="F512" s="8"/>
      <c r="G512" s="8"/>
      <c r="H512" s="8"/>
      <c r="I512" s="8"/>
      <c r="J512" s="8"/>
      <c r="K512" s="8"/>
      <c r="L512" s="8"/>
    </row>
    <row r="513" spans="1:12" ht="12.75" customHeight="1" x14ac:dyDescent="0.2">
      <c r="A513" s="38"/>
      <c r="B513" s="38"/>
      <c r="C513" s="8"/>
      <c r="D513" s="8"/>
      <c r="E513" s="8"/>
      <c r="F513" s="8"/>
      <c r="G513" s="8"/>
      <c r="H513" s="8"/>
      <c r="I513" s="8"/>
      <c r="J513" s="8"/>
      <c r="K513" s="8"/>
      <c r="L513" s="8"/>
    </row>
    <row r="514" spans="1:12" ht="12.75" customHeight="1" x14ac:dyDescent="0.2">
      <c r="A514" s="38"/>
      <c r="B514" s="38"/>
      <c r="C514" s="8"/>
      <c r="D514" s="8"/>
      <c r="E514" s="8"/>
      <c r="F514" s="8"/>
      <c r="G514" s="8"/>
      <c r="H514" s="8"/>
      <c r="I514" s="8"/>
      <c r="J514" s="8"/>
      <c r="K514" s="8"/>
      <c r="L514" s="8"/>
    </row>
    <row r="515" spans="1:12" ht="12.75" customHeight="1" x14ac:dyDescent="0.2">
      <c r="A515" s="38"/>
      <c r="B515" s="38"/>
      <c r="C515" s="8"/>
      <c r="D515" s="8"/>
      <c r="E515" s="8"/>
      <c r="F515" s="8"/>
      <c r="G515" s="8"/>
      <c r="H515" s="8"/>
      <c r="I515" s="8"/>
      <c r="J515" s="8"/>
      <c r="K515" s="8"/>
      <c r="L515" s="8"/>
    </row>
    <row r="516" spans="1:12" ht="12.75" customHeight="1" x14ac:dyDescent="0.2">
      <c r="A516" s="38"/>
      <c r="B516" s="38"/>
      <c r="C516" s="8"/>
      <c r="D516" s="8"/>
      <c r="E516" s="8"/>
      <c r="F516" s="8"/>
      <c r="G516" s="8"/>
      <c r="H516" s="8"/>
      <c r="I516" s="8"/>
      <c r="J516" s="8"/>
      <c r="K516" s="8"/>
      <c r="L516" s="8"/>
    </row>
    <row r="517" spans="1:12" ht="12.75" customHeight="1" x14ac:dyDescent="0.2">
      <c r="A517" s="38"/>
      <c r="B517" s="38"/>
      <c r="C517" s="8"/>
      <c r="D517" s="8"/>
      <c r="E517" s="8"/>
      <c r="F517" s="8"/>
      <c r="G517" s="8"/>
      <c r="H517" s="8"/>
      <c r="I517" s="8"/>
      <c r="J517" s="8"/>
      <c r="K517" s="8"/>
      <c r="L517" s="8"/>
    </row>
    <row r="518" spans="1:12" ht="12.75" customHeight="1" x14ac:dyDescent="0.2">
      <c r="A518" s="38"/>
      <c r="B518" s="38"/>
      <c r="C518" s="8"/>
      <c r="D518" s="8"/>
      <c r="E518" s="8"/>
      <c r="F518" s="8"/>
      <c r="G518" s="8"/>
      <c r="H518" s="8"/>
      <c r="I518" s="8"/>
      <c r="J518" s="8"/>
      <c r="K518" s="8"/>
      <c r="L518" s="8"/>
    </row>
    <row r="519" spans="1:12" ht="12.75" customHeight="1" x14ac:dyDescent="0.2">
      <c r="A519" s="38"/>
      <c r="B519" s="38"/>
      <c r="C519" s="8"/>
      <c r="D519" s="8"/>
      <c r="E519" s="8"/>
      <c r="F519" s="8"/>
      <c r="G519" s="8"/>
      <c r="H519" s="8"/>
      <c r="I519" s="8"/>
      <c r="J519" s="8"/>
      <c r="K519" s="8"/>
      <c r="L519" s="8"/>
    </row>
    <row r="520" spans="1:12" ht="12.75" customHeight="1" x14ac:dyDescent="0.2">
      <c r="A520" s="38"/>
      <c r="B520" s="38"/>
      <c r="C520" s="8"/>
      <c r="D520" s="8"/>
      <c r="E520" s="8"/>
      <c r="F520" s="8"/>
      <c r="G520" s="8"/>
      <c r="H520" s="8"/>
      <c r="I520" s="8"/>
      <c r="J520" s="8"/>
      <c r="K520" s="8"/>
      <c r="L520" s="8"/>
    </row>
    <row r="521" spans="1:12" ht="12.75" customHeight="1" x14ac:dyDescent="0.2">
      <c r="A521" s="38"/>
      <c r="B521" s="38"/>
      <c r="C521" s="8"/>
      <c r="D521" s="8"/>
      <c r="E521" s="8"/>
      <c r="F521" s="8"/>
      <c r="G521" s="8"/>
      <c r="H521" s="8"/>
      <c r="I521" s="8"/>
      <c r="J521" s="8"/>
      <c r="K521" s="8"/>
      <c r="L521" s="8"/>
    </row>
    <row r="522" spans="1:12" ht="12.75" customHeight="1" x14ac:dyDescent="0.2">
      <c r="A522" s="38"/>
      <c r="B522" s="38"/>
      <c r="C522" s="8"/>
      <c r="D522" s="8"/>
      <c r="E522" s="8"/>
      <c r="F522" s="8"/>
      <c r="G522" s="8"/>
      <c r="H522" s="8"/>
      <c r="I522" s="8"/>
      <c r="J522" s="8"/>
      <c r="K522" s="8"/>
      <c r="L522" s="8"/>
    </row>
    <row r="523" spans="1:12" ht="12.75" customHeight="1" x14ac:dyDescent="0.2">
      <c r="A523" s="38"/>
      <c r="B523" s="38"/>
      <c r="C523" s="8"/>
      <c r="D523" s="8"/>
      <c r="E523" s="8"/>
      <c r="F523" s="8"/>
      <c r="G523" s="8"/>
      <c r="H523" s="8"/>
      <c r="I523" s="8"/>
      <c r="J523" s="8"/>
      <c r="K523" s="8"/>
      <c r="L523" s="8"/>
    </row>
    <row r="524" spans="1:12" ht="12.75" customHeight="1" x14ac:dyDescent="0.2">
      <c r="A524" s="38"/>
      <c r="B524" s="38"/>
      <c r="C524" s="8"/>
      <c r="D524" s="8"/>
      <c r="E524" s="8"/>
      <c r="F524" s="8"/>
      <c r="G524" s="8"/>
      <c r="H524" s="8"/>
      <c r="I524" s="8"/>
      <c r="J524" s="8"/>
      <c r="K524" s="8"/>
      <c r="L524" s="8"/>
    </row>
    <row r="525" spans="1:12" ht="12.75" customHeight="1" x14ac:dyDescent="0.2">
      <c r="A525" s="38"/>
      <c r="B525" s="38"/>
      <c r="C525" s="8"/>
      <c r="D525" s="8"/>
      <c r="E525" s="8"/>
      <c r="F525" s="8"/>
      <c r="G525" s="8"/>
      <c r="H525" s="8"/>
      <c r="I525" s="8"/>
      <c r="J525" s="8"/>
      <c r="K525" s="8"/>
      <c r="L525" s="8"/>
    </row>
    <row r="526" spans="1:12" ht="12.75" customHeight="1" x14ac:dyDescent="0.2">
      <c r="A526" s="38"/>
      <c r="B526" s="38"/>
      <c r="C526" s="8"/>
      <c r="D526" s="8"/>
      <c r="E526" s="8"/>
      <c r="F526" s="8"/>
      <c r="G526" s="8"/>
      <c r="H526" s="8"/>
      <c r="I526" s="8"/>
      <c r="J526" s="8"/>
      <c r="K526" s="8"/>
      <c r="L526" s="8"/>
    </row>
    <row r="527" spans="1:12" ht="12.75" customHeight="1" x14ac:dyDescent="0.2">
      <c r="A527" s="38"/>
      <c r="B527" s="38"/>
      <c r="C527" s="8"/>
      <c r="D527" s="8"/>
      <c r="E527" s="8"/>
      <c r="F527" s="8"/>
      <c r="G527" s="8"/>
      <c r="H527" s="8"/>
      <c r="I527" s="8"/>
      <c r="J527" s="8"/>
      <c r="K527" s="8"/>
      <c r="L527" s="8"/>
    </row>
    <row r="528" spans="1:12" ht="12.75" customHeight="1" x14ac:dyDescent="0.2">
      <c r="A528" s="38"/>
      <c r="B528" s="38"/>
      <c r="C528" s="8"/>
      <c r="D528" s="8"/>
      <c r="E528" s="8"/>
      <c r="F528" s="8"/>
      <c r="G528" s="8"/>
      <c r="H528" s="8"/>
      <c r="I528" s="8"/>
      <c r="J528" s="8"/>
      <c r="K528" s="8"/>
      <c r="L528" s="8"/>
    </row>
    <row r="529" spans="1:12" ht="12.75" customHeight="1" x14ac:dyDescent="0.2">
      <c r="A529" s="38"/>
      <c r="B529" s="38"/>
      <c r="C529" s="8"/>
      <c r="D529" s="8"/>
      <c r="E529" s="8"/>
      <c r="F529" s="8"/>
      <c r="G529" s="8"/>
      <c r="H529" s="8"/>
      <c r="I529" s="8"/>
      <c r="J529" s="8"/>
      <c r="K529" s="8"/>
      <c r="L529" s="8"/>
    </row>
    <row r="530" spans="1:12" ht="12.75" customHeight="1" x14ac:dyDescent="0.2">
      <c r="A530" s="38"/>
      <c r="B530" s="38"/>
      <c r="C530" s="8"/>
      <c r="D530" s="8"/>
      <c r="E530" s="8"/>
      <c r="F530" s="8"/>
      <c r="G530" s="8"/>
      <c r="H530" s="8"/>
      <c r="I530" s="8"/>
      <c r="J530" s="8"/>
      <c r="K530" s="8"/>
      <c r="L530" s="8"/>
    </row>
    <row r="531" spans="1:12" ht="12.75" customHeight="1" x14ac:dyDescent="0.2">
      <c r="A531" s="38"/>
      <c r="B531" s="38"/>
      <c r="C531" s="8"/>
      <c r="D531" s="8"/>
      <c r="E531" s="8"/>
      <c r="F531" s="8"/>
      <c r="G531" s="8"/>
      <c r="H531" s="8"/>
      <c r="I531" s="8"/>
      <c r="J531" s="8"/>
      <c r="K531" s="8"/>
      <c r="L531" s="8"/>
    </row>
    <row r="532" spans="1:12" ht="12.75" customHeight="1" x14ac:dyDescent="0.2">
      <c r="A532" s="38"/>
      <c r="B532" s="38"/>
      <c r="C532" s="8"/>
      <c r="D532" s="8"/>
      <c r="E532" s="8"/>
      <c r="F532" s="8"/>
      <c r="G532" s="8"/>
      <c r="H532" s="8"/>
      <c r="I532" s="8"/>
      <c r="J532" s="8"/>
      <c r="K532" s="8"/>
      <c r="L532" s="8"/>
    </row>
    <row r="533" spans="1:12" ht="12.75" customHeight="1" x14ac:dyDescent="0.2">
      <c r="A533" s="38"/>
      <c r="B533" s="38"/>
      <c r="C533" s="8"/>
      <c r="D533" s="8"/>
      <c r="E533" s="8"/>
      <c r="F533" s="8"/>
      <c r="G533" s="8"/>
      <c r="H533" s="8"/>
      <c r="I533" s="8"/>
      <c r="J533" s="8"/>
      <c r="K533" s="8"/>
      <c r="L533" s="8"/>
    </row>
    <row r="534" spans="1:12" ht="12.75" customHeight="1" x14ac:dyDescent="0.2">
      <c r="A534" s="38"/>
      <c r="B534" s="38"/>
      <c r="C534" s="8"/>
      <c r="D534" s="8"/>
      <c r="E534" s="8"/>
      <c r="F534" s="8"/>
      <c r="G534" s="8"/>
      <c r="H534" s="8"/>
      <c r="I534" s="8"/>
      <c r="J534" s="8"/>
      <c r="K534" s="8"/>
      <c r="L534" s="8"/>
    </row>
    <row r="535" spans="1:12" ht="12.75" customHeight="1" x14ac:dyDescent="0.2">
      <c r="A535" s="38"/>
      <c r="B535" s="38"/>
      <c r="C535" s="8"/>
      <c r="D535" s="8"/>
      <c r="E535" s="8"/>
      <c r="F535" s="8"/>
      <c r="G535" s="8"/>
      <c r="H535" s="8"/>
      <c r="I535" s="8"/>
      <c r="J535" s="8"/>
      <c r="K535" s="8"/>
      <c r="L535" s="8"/>
    </row>
    <row r="536" spans="1:12" ht="12.75" customHeight="1" x14ac:dyDescent="0.2">
      <c r="A536" s="38"/>
      <c r="B536" s="38"/>
      <c r="C536" s="8"/>
      <c r="D536" s="8"/>
      <c r="E536" s="8"/>
      <c r="F536" s="8"/>
      <c r="G536" s="8"/>
      <c r="H536" s="8"/>
      <c r="I536" s="8"/>
      <c r="J536" s="8"/>
      <c r="K536" s="8"/>
      <c r="L536" s="8"/>
    </row>
    <row r="537" spans="1:12" ht="12.75" customHeight="1" x14ac:dyDescent="0.2">
      <c r="A537" s="38"/>
      <c r="B537" s="38"/>
      <c r="C537" s="8"/>
      <c r="D537" s="8"/>
      <c r="E537" s="8"/>
      <c r="F537" s="8"/>
      <c r="G537" s="8"/>
      <c r="H537" s="8"/>
      <c r="I537" s="8"/>
      <c r="J537" s="8"/>
      <c r="K537" s="8"/>
      <c r="L537" s="8"/>
    </row>
    <row r="538" spans="1:12" ht="12.75" customHeight="1" x14ac:dyDescent="0.2">
      <c r="A538" s="38"/>
      <c r="B538" s="38"/>
      <c r="C538" s="8"/>
      <c r="D538" s="8"/>
      <c r="E538" s="8"/>
      <c r="F538" s="8"/>
      <c r="G538" s="8"/>
      <c r="H538" s="8"/>
      <c r="I538" s="8"/>
      <c r="J538" s="8"/>
      <c r="K538" s="8"/>
      <c r="L538" s="8"/>
    </row>
    <row r="539" spans="1:12" ht="12.75" customHeight="1" x14ac:dyDescent="0.2">
      <c r="A539" s="38"/>
      <c r="B539" s="38"/>
      <c r="C539" s="8"/>
      <c r="D539" s="8"/>
      <c r="E539" s="8"/>
      <c r="F539" s="8"/>
      <c r="G539" s="8"/>
      <c r="H539" s="8"/>
      <c r="I539" s="8"/>
      <c r="J539" s="8"/>
      <c r="K539" s="8"/>
      <c r="L539" s="8"/>
    </row>
    <row r="540" spans="1:12" ht="12.75" customHeight="1" x14ac:dyDescent="0.2">
      <c r="A540" s="38"/>
      <c r="B540" s="38"/>
      <c r="C540" s="8"/>
      <c r="D540" s="8"/>
      <c r="E540" s="8"/>
      <c r="F540" s="8"/>
      <c r="G540" s="8"/>
      <c r="H540" s="8"/>
      <c r="I540" s="8"/>
      <c r="J540" s="8"/>
      <c r="K540" s="8"/>
      <c r="L540" s="8"/>
    </row>
    <row r="541" spans="1:12" ht="12.75" customHeight="1" x14ac:dyDescent="0.2">
      <c r="A541" s="38"/>
      <c r="B541" s="38"/>
      <c r="C541" s="8"/>
      <c r="D541" s="8"/>
      <c r="E541" s="8"/>
      <c r="F541" s="8"/>
      <c r="G541" s="8"/>
      <c r="H541" s="8"/>
      <c r="I541" s="8"/>
      <c r="J541" s="8"/>
      <c r="K541" s="8"/>
      <c r="L541" s="8"/>
    </row>
    <row r="542" spans="1:12" ht="12.75" customHeight="1" x14ac:dyDescent="0.2">
      <c r="A542" s="38"/>
      <c r="B542" s="38"/>
      <c r="C542" s="8"/>
      <c r="D542" s="8"/>
      <c r="E542" s="8"/>
      <c r="F542" s="8"/>
      <c r="G542" s="8"/>
      <c r="H542" s="8"/>
      <c r="I542" s="8"/>
      <c r="J542" s="8"/>
      <c r="K542" s="8"/>
      <c r="L542" s="8"/>
    </row>
    <row r="543" spans="1:12" ht="12.75" customHeight="1" x14ac:dyDescent="0.2">
      <c r="A543" s="38"/>
      <c r="B543" s="38"/>
      <c r="C543" s="8"/>
      <c r="D543" s="8"/>
      <c r="E543" s="8"/>
      <c r="F543" s="8"/>
      <c r="G543" s="8"/>
      <c r="H543" s="8"/>
      <c r="I543" s="8"/>
      <c r="J543" s="8"/>
      <c r="K543" s="8"/>
      <c r="L543" s="8"/>
    </row>
    <row r="544" spans="1:12" ht="12.75" customHeight="1" x14ac:dyDescent="0.2">
      <c r="A544" s="38"/>
      <c r="B544" s="38"/>
      <c r="C544" s="8"/>
      <c r="D544" s="8"/>
      <c r="E544" s="8"/>
      <c r="F544" s="8"/>
      <c r="G544" s="8"/>
      <c r="H544" s="8"/>
      <c r="I544" s="8"/>
      <c r="J544" s="8"/>
      <c r="K544" s="8"/>
      <c r="L544" s="8"/>
    </row>
    <row r="545" spans="1:12" ht="12.75" customHeight="1" x14ac:dyDescent="0.2">
      <c r="A545" s="38"/>
      <c r="B545" s="38"/>
      <c r="C545" s="8"/>
      <c r="D545" s="8"/>
      <c r="E545" s="8"/>
      <c r="F545" s="8"/>
      <c r="G545" s="8"/>
      <c r="H545" s="8"/>
      <c r="I545" s="8"/>
      <c r="J545" s="8"/>
      <c r="K545" s="8"/>
      <c r="L545" s="8"/>
    </row>
    <row r="546" spans="1:12" ht="12.75" customHeight="1" x14ac:dyDescent="0.2">
      <c r="A546" s="38"/>
      <c r="B546" s="38"/>
      <c r="C546" s="8"/>
      <c r="D546" s="8"/>
      <c r="E546" s="8"/>
      <c r="F546" s="8"/>
      <c r="G546" s="8"/>
      <c r="H546" s="8"/>
      <c r="I546" s="8"/>
      <c r="J546" s="8"/>
      <c r="K546" s="8"/>
      <c r="L546" s="8"/>
    </row>
    <row r="547" spans="1:12" ht="12.75" customHeight="1" x14ac:dyDescent="0.2">
      <c r="A547" s="38"/>
      <c r="B547" s="38"/>
      <c r="C547" s="8"/>
      <c r="D547" s="8"/>
      <c r="E547" s="8"/>
      <c r="F547" s="8"/>
      <c r="G547" s="8"/>
      <c r="H547" s="8"/>
      <c r="I547" s="8"/>
      <c r="J547" s="8"/>
      <c r="K547" s="8"/>
      <c r="L547" s="8"/>
    </row>
    <row r="548" spans="1:12" ht="12.75" customHeight="1" x14ac:dyDescent="0.2">
      <c r="A548" s="38"/>
      <c r="B548" s="38"/>
      <c r="C548" s="8"/>
      <c r="D548" s="8"/>
      <c r="E548" s="8"/>
      <c r="F548" s="8"/>
      <c r="G548" s="8"/>
      <c r="H548" s="8"/>
      <c r="I548" s="8"/>
      <c r="J548" s="8"/>
      <c r="K548" s="8"/>
      <c r="L548" s="8"/>
    </row>
    <row r="549" spans="1:12" ht="12.75" customHeight="1" x14ac:dyDescent="0.2">
      <c r="A549" s="38"/>
      <c r="B549" s="38"/>
      <c r="C549" s="8"/>
      <c r="D549" s="8"/>
      <c r="E549" s="8"/>
      <c r="F549" s="8"/>
      <c r="G549" s="8"/>
      <c r="H549" s="8"/>
      <c r="I549" s="8"/>
      <c r="J549" s="8"/>
      <c r="K549" s="8"/>
      <c r="L549" s="8"/>
    </row>
    <row r="550" spans="1:12" ht="12.75" customHeight="1" x14ac:dyDescent="0.2">
      <c r="A550" s="38"/>
      <c r="B550" s="38"/>
      <c r="C550" s="8"/>
      <c r="D550" s="8"/>
      <c r="E550" s="8"/>
      <c r="F550" s="8"/>
      <c r="G550" s="8"/>
      <c r="H550" s="8"/>
      <c r="I550" s="8"/>
      <c r="J550" s="8"/>
      <c r="K550" s="8"/>
      <c r="L550" s="8"/>
    </row>
    <row r="551" spans="1:12" ht="12.75" customHeight="1" x14ac:dyDescent="0.2">
      <c r="A551" s="38"/>
      <c r="B551" s="38"/>
      <c r="C551" s="8"/>
      <c r="D551" s="8"/>
      <c r="E551" s="8"/>
      <c r="F551" s="8"/>
      <c r="G551" s="8"/>
      <c r="H551" s="8"/>
      <c r="I551" s="8"/>
      <c r="J551" s="8"/>
      <c r="K551" s="8"/>
      <c r="L551" s="8"/>
    </row>
    <row r="552" spans="1:12" ht="12.75" customHeight="1" x14ac:dyDescent="0.2">
      <c r="A552" s="38"/>
      <c r="B552" s="38"/>
      <c r="C552" s="8"/>
      <c r="D552" s="8"/>
      <c r="E552" s="8"/>
      <c r="F552" s="8"/>
      <c r="G552" s="8"/>
      <c r="H552" s="8"/>
      <c r="I552" s="8"/>
      <c r="J552" s="8"/>
      <c r="K552" s="8"/>
      <c r="L552" s="8"/>
    </row>
    <row r="553" spans="1:12" ht="12.75" customHeight="1" x14ac:dyDescent="0.2">
      <c r="A553" s="38"/>
      <c r="B553" s="38"/>
      <c r="C553" s="8"/>
      <c r="D553" s="8"/>
      <c r="E553" s="8"/>
      <c r="F553" s="8"/>
      <c r="G553" s="8"/>
      <c r="H553" s="8"/>
      <c r="I553" s="8"/>
      <c r="J553" s="8"/>
      <c r="K553" s="8"/>
      <c r="L553" s="8"/>
    </row>
    <row r="554" spans="1:12" ht="12.75" customHeight="1" x14ac:dyDescent="0.2">
      <c r="A554" s="38"/>
      <c r="B554" s="38"/>
      <c r="C554" s="8"/>
      <c r="D554" s="8"/>
      <c r="E554" s="8"/>
      <c r="F554" s="8"/>
      <c r="G554" s="8"/>
      <c r="H554" s="8"/>
      <c r="I554" s="8"/>
      <c r="J554" s="8"/>
      <c r="K554" s="8"/>
      <c r="L554" s="8"/>
    </row>
    <row r="555" spans="1:12" ht="12.75" customHeight="1" x14ac:dyDescent="0.2">
      <c r="A555" s="38"/>
      <c r="B555" s="38"/>
      <c r="C555" s="8"/>
      <c r="D555" s="8"/>
      <c r="E555" s="8"/>
      <c r="F555" s="8"/>
      <c r="G555" s="8"/>
      <c r="H555" s="8"/>
      <c r="I555" s="8"/>
      <c r="J555" s="8"/>
      <c r="K555" s="8"/>
      <c r="L555" s="8"/>
    </row>
    <row r="556" spans="1:12" ht="12.75" customHeight="1" x14ac:dyDescent="0.2">
      <c r="A556" s="38"/>
      <c r="B556" s="38"/>
      <c r="C556" s="8"/>
      <c r="D556" s="8"/>
      <c r="E556" s="8"/>
      <c r="F556" s="8"/>
      <c r="G556" s="8"/>
      <c r="H556" s="8"/>
      <c r="I556" s="8"/>
      <c r="J556" s="8"/>
      <c r="K556" s="8"/>
      <c r="L556" s="8"/>
    </row>
    <row r="557" spans="1:12" ht="12.75" customHeight="1" x14ac:dyDescent="0.2">
      <c r="A557" s="38"/>
      <c r="B557" s="38"/>
      <c r="C557" s="8"/>
      <c r="D557" s="8"/>
      <c r="E557" s="8"/>
      <c r="F557" s="8"/>
      <c r="G557" s="8"/>
      <c r="H557" s="8"/>
      <c r="I557" s="8"/>
      <c r="J557" s="8"/>
      <c r="K557" s="8"/>
      <c r="L557" s="8"/>
    </row>
    <row r="558" spans="1:12" ht="12.75" customHeight="1" x14ac:dyDescent="0.2">
      <c r="A558" s="38"/>
      <c r="B558" s="38"/>
      <c r="C558" s="8"/>
      <c r="D558" s="8"/>
      <c r="E558" s="8"/>
      <c r="F558" s="8"/>
      <c r="G558" s="8"/>
      <c r="H558" s="8"/>
      <c r="I558" s="8"/>
      <c r="J558" s="8"/>
      <c r="K558" s="8"/>
      <c r="L558" s="8"/>
    </row>
    <row r="559" spans="1:12" ht="12.75" customHeight="1" x14ac:dyDescent="0.2">
      <c r="A559" s="38"/>
      <c r="B559" s="38"/>
      <c r="C559" s="8"/>
      <c r="D559" s="8"/>
      <c r="E559" s="8"/>
      <c r="F559" s="8"/>
      <c r="G559" s="8"/>
      <c r="H559" s="8"/>
      <c r="I559" s="8"/>
      <c r="J559" s="8"/>
      <c r="K559" s="8"/>
      <c r="L559" s="8"/>
    </row>
    <row r="560" spans="1:12" ht="12.75" customHeight="1" x14ac:dyDescent="0.2">
      <c r="A560" s="38"/>
      <c r="B560" s="38"/>
      <c r="C560" s="8"/>
      <c r="D560" s="8"/>
      <c r="E560" s="8"/>
      <c r="F560" s="8"/>
      <c r="G560" s="8"/>
      <c r="H560" s="8"/>
      <c r="I560" s="8"/>
      <c r="J560" s="8"/>
      <c r="K560" s="8"/>
      <c r="L560" s="8"/>
    </row>
    <row r="561" spans="1:12" ht="12.75" customHeight="1" x14ac:dyDescent="0.2">
      <c r="A561" s="38"/>
      <c r="B561" s="38"/>
      <c r="C561" s="8"/>
      <c r="D561" s="8"/>
      <c r="E561" s="8"/>
      <c r="F561" s="8"/>
      <c r="G561" s="8"/>
      <c r="H561" s="8"/>
      <c r="I561" s="8"/>
      <c r="J561" s="8"/>
      <c r="K561" s="8"/>
      <c r="L561" s="8"/>
    </row>
    <row r="562" spans="1:12" ht="12.75" customHeight="1" x14ac:dyDescent="0.2">
      <c r="A562" s="38"/>
      <c r="B562" s="38"/>
      <c r="C562" s="8"/>
      <c r="D562" s="8"/>
      <c r="E562" s="8"/>
      <c r="F562" s="8"/>
      <c r="G562" s="8"/>
      <c r="H562" s="8"/>
      <c r="I562" s="8"/>
      <c r="J562" s="8"/>
      <c r="K562" s="8"/>
      <c r="L562" s="8"/>
    </row>
    <row r="563" spans="1:12" ht="12.75" customHeight="1" x14ac:dyDescent="0.2">
      <c r="A563" s="38"/>
      <c r="B563" s="38"/>
      <c r="C563" s="8"/>
      <c r="D563" s="8"/>
      <c r="E563" s="8"/>
      <c r="F563" s="8"/>
      <c r="G563" s="8"/>
      <c r="H563" s="8"/>
      <c r="I563" s="8"/>
      <c r="J563" s="8"/>
      <c r="K563" s="8"/>
      <c r="L563" s="8"/>
    </row>
    <row r="564" spans="1:12" ht="12.75" customHeight="1" x14ac:dyDescent="0.2">
      <c r="A564" s="38"/>
      <c r="B564" s="38"/>
      <c r="C564" s="8"/>
      <c r="D564" s="8"/>
      <c r="E564" s="8"/>
      <c r="F564" s="8"/>
      <c r="G564" s="8"/>
      <c r="H564" s="8"/>
      <c r="I564" s="8"/>
      <c r="J564" s="8"/>
      <c r="K564" s="8"/>
      <c r="L564" s="8"/>
    </row>
    <row r="565" spans="1:12" ht="12.75" customHeight="1" x14ac:dyDescent="0.2">
      <c r="A565" s="38"/>
      <c r="B565" s="38"/>
      <c r="C565" s="8"/>
      <c r="D565" s="8"/>
      <c r="E565" s="8"/>
      <c r="F565" s="8"/>
      <c r="G565" s="8"/>
      <c r="H565" s="8"/>
      <c r="I565" s="8"/>
      <c r="J565" s="8"/>
      <c r="K565" s="8"/>
      <c r="L565" s="8"/>
    </row>
    <row r="566" spans="1:12" ht="12.75" customHeight="1" x14ac:dyDescent="0.2">
      <c r="A566" s="38"/>
      <c r="B566" s="38"/>
      <c r="C566" s="8"/>
      <c r="D566" s="8"/>
      <c r="E566" s="8"/>
      <c r="F566" s="8"/>
      <c r="G566" s="8"/>
      <c r="H566" s="8"/>
      <c r="I566" s="8"/>
      <c r="J566" s="8"/>
      <c r="K566" s="8"/>
      <c r="L566" s="8"/>
    </row>
    <row r="567" spans="1:12" ht="12.75" customHeight="1" x14ac:dyDescent="0.2">
      <c r="A567" s="38"/>
      <c r="B567" s="38"/>
      <c r="C567" s="8"/>
      <c r="D567" s="8"/>
      <c r="E567" s="8"/>
      <c r="F567" s="8"/>
      <c r="G567" s="8"/>
      <c r="H567" s="8"/>
      <c r="I567" s="8"/>
      <c r="J567" s="8"/>
      <c r="K567" s="8"/>
      <c r="L567" s="8"/>
    </row>
    <row r="568" spans="1:12" ht="12.75" customHeight="1" x14ac:dyDescent="0.2">
      <c r="A568" s="38"/>
      <c r="B568" s="38"/>
      <c r="C568" s="8"/>
      <c r="D568" s="8"/>
      <c r="E568" s="8"/>
      <c r="F568" s="8"/>
      <c r="G568" s="8"/>
      <c r="H568" s="8"/>
      <c r="I568" s="8"/>
      <c r="J568" s="8"/>
      <c r="K568" s="8"/>
      <c r="L568" s="8"/>
    </row>
    <row r="569" spans="1:12" ht="12.75" customHeight="1" x14ac:dyDescent="0.2">
      <c r="A569" s="38"/>
      <c r="B569" s="38"/>
      <c r="C569" s="8"/>
      <c r="D569" s="8"/>
      <c r="E569" s="8"/>
      <c r="F569" s="8"/>
      <c r="G569" s="8"/>
      <c r="H569" s="8"/>
      <c r="I569" s="8"/>
      <c r="J569" s="8"/>
      <c r="K569" s="8"/>
      <c r="L569" s="8"/>
    </row>
    <row r="570" spans="1:12" ht="12.75" customHeight="1" x14ac:dyDescent="0.2">
      <c r="A570" s="38"/>
      <c r="B570" s="38"/>
      <c r="C570" s="8"/>
      <c r="D570" s="8"/>
      <c r="E570" s="8"/>
      <c r="F570" s="8"/>
      <c r="G570" s="8"/>
      <c r="H570" s="8"/>
      <c r="I570" s="8"/>
      <c r="J570" s="8"/>
      <c r="K570" s="8"/>
      <c r="L570" s="8"/>
    </row>
    <row r="571" spans="1:12" ht="12.75" customHeight="1" x14ac:dyDescent="0.2">
      <c r="A571" s="38"/>
      <c r="B571" s="38"/>
      <c r="C571" s="8"/>
      <c r="D571" s="8"/>
      <c r="E571" s="8"/>
      <c r="F571" s="8"/>
      <c r="G571" s="8"/>
      <c r="H571" s="8"/>
      <c r="I571" s="8"/>
      <c r="J571" s="8"/>
      <c r="K571" s="8"/>
      <c r="L571" s="8"/>
    </row>
    <row r="572" spans="1:12" ht="12.75" customHeight="1" x14ac:dyDescent="0.2">
      <c r="A572" s="38"/>
      <c r="B572" s="38"/>
      <c r="C572" s="8"/>
      <c r="D572" s="8"/>
      <c r="E572" s="8"/>
      <c r="F572" s="8"/>
      <c r="G572" s="8"/>
      <c r="H572" s="8"/>
      <c r="I572" s="8"/>
      <c r="J572" s="8"/>
      <c r="K572" s="8"/>
      <c r="L572" s="8"/>
    </row>
    <row r="573" spans="1:12" ht="12.75" customHeight="1" x14ac:dyDescent="0.2">
      <c r="A573" s="38"/>
      <c r="B573" s="38"/>
      <c r="C573" s="8"/>
      <c r="D573" s="8"/>
      <c r="E573" s="8"/>
      <c r="F573" s="8"/>
      <c r="G573" s="8"/>
      <c r="H573" s="8"/>
      <c r="I573" s="8"/>
      <c r="J573" s="8"/>
      <c r="K573" s="8"/>
      <c r="L573" s="8"/>
    </row>
    <row r="574" spans="1:12" ht="12.75" customHeight="1" x14ac:dyDescent="0.2">
      <c r="A574" s="38"/>
      <c r="B574" s="38"/>
      <c r="C574" s="8"/>
      <c r="D574" s="8"/>
      <c r="E574" s="8"/>
      <c r="F574" s="8"/>
      <c r="G574" s="8"/>
      <c r="H574" s="8"/>
      <c r="I574" s="8"/>
      <c r="J574" s="8"/>
      <c r="K574" s="8"/>
      <c r="L574" s="8"/>
    </row>
    <row r="575" spans="1:12" ht="12.75" customHeight="1" x14ac:dyDescent="0.2">
      <c r="A575" s="38"/>
      <c r="B575" s="38"/>
      <c r="C575" s="8"/>
      <c r="D575" s="8"/>
      <c r="E575" s="8"/>
      <c r="F575" s="8"/>
      <c r="G575" s="8"/>
      <c r="H575" s="8"/>
      <c r="I575" s="8"/>
      <c r="J575" s="8"/>
      <c r="K575" s="8"/>
      <c r="L575" s="8"/>
    </row>
    <row r="576" spans="1:12" ht="12.75" customHeight="1" x14ac:dyDescent="0.2">
      <c r="A576" s="38"/>
      <c r="B576" s="38"/>
      <c r="C576" s="8"/>
      <c r="D576" s="8"/>
      <c r="E576" s="8"/>
      <c r="F576" s="8"/>
      <c r="G576" s="8"/>
      <c r="H576" s="8"/>
      <c r="I576" s="8"/>
      <c r="J576" s="8"/>
      <c r="K576" s="8"/>
      <c r="L576" s="8"/>
    </row>
    <row r="577" spans="1:12" ht="12.75" customHeight="1" x14ac:dyDescent="0.2">
      <c r="A577" s="38"/>
      <c r="B577" s="38"/>
      <c r="C577" s="8"/>
      <c r="D577" s="8"/>
      <c r="E577" s="8"/>
      <c r="F577" s="8"/>
      <c r="G577" s="8"/>
      <c r="H577" s="8"/>
      <c r="I577" s="8"/>
      <c r="J577" s="8"/>
      <c r="K577" s="8"/>
      <c r="L577" s="8"/>
    </row>
    <row r="578" spans="1:12" ht="12.75" customHeight="1" x14ac:dyDescent="0.2">
      <c r="A578" s="38"/>
      <c r="B578" s="38"/>
      <c r="C578" s="8"/>
      <c r="D578" s="8"/>
      <c r="E578" s="8"/>
      <c r="F578" s="8"/>
      <c r="G578" s="8"/>
      <c r="H578" s="8"/>
      <c r="I578" s="8"/>
      <c r="J578" s="8"/>
      <c r="K578" s="8"/>
      <c r="L578" s="8"/>
    </row>
    <row r="579" spans="1:12" ht="12.75" customHeight="1" x14ac:dyDescent="0.2">
      <c r="A579" s="38"/>
      <c r="B579" s="38"/>
      <c r="C579" s="8"/>
      <c r="D579" s="8"/>
      <c r="E579" s="8"/>
      <c r="F579" s="8"/>
      <c r="G579" s="8"/>
      <c r="H579" s="8"/>
      <c r="I579" s="8"/>
      <c r="J579" s="8"/>
      <c r="K579" s="8"/>
      <c r="L579" s="8"/>
    </row>
    <row r="580" spans="1:12" ht="12.75" customHeight="1" x14ac:dyDescent="0.2">
      <c r="A580" s="38"/>
      <c r="B580" s="38"/>
      <c r="C580" s="8"/>
      <c r="D580" s="8"/>
      <c r="E580" s="8"/>
      <c r="F580" s="8"/>
      <c r="G580" s="8"/>
      <c r="H580" s="8"/>
      <c r="I580" s="8"/>
      <c r="J580" s="8"/>
      <c r="K580" s="8"/>
      <c r="L580" s="8"/>
    </row>
    <row r="581" spans="1:12" ht="12.75" customHeight="1" x14ac:dyDescent="0.2">
      <c r="A581" s="38"/>
      <c r="B581" s="38"/>
      <c r="C581" s="8"/>
      <c r="D581" s="8"/>
      <c r="E581" s="8"/>
      <c r="F581" s="8"/>
      <c r="G581" s="8"/>
      <c r="H581" s="8"/>
      <c r="I581" s="8"/>
      <c r="J581" s="8"/>
      <c r="K581" s="8"/>
      <c r="L581" s="8"/>
    </row>
    <row r="582" spans="1:12" ht="12.75" customHeight="1" x14ac:dyDescent="0.2">
      <c r="A582" s="38"/>
      <c r="B582" s="38"/>
      <c r="C582" s="8"/>
      <c r="D582" s="8"/>
      <c r="E582" s="8"/>
      <c r="F582" s="8"/>
      <c r="G582" s="8"/>
      <c r="H582" s="8"/>
      <c r="I582" s="8"/>
      <c r="J582" s="8"/>
      <c r="K582" s="8"/>
      <c r="L582" s="8"/>
    </row>
    <row r="583" spans="1:12" ht="12.75" customHeight="1" x14ac:dyDescent="0.2">
      <c r="A583" s="38"/>
      <c r="B583" s="38"/>
      <c r="C583" s="8"/>
      <c r="D583" s="8"/>
      <c r="E583" s="8"/>
      <c r="F583" s="8"/>
      <c r="G583" s="8"/>
      <c r="H583" s="8"/>
      <c r="I583" s="8"/>
      <c r="J583" s="8"/>
      <c r="K583" s="8"/>
      <c r="L583" s="8"/>
    </row>
    <row r="584" spans="1:12" ht="12.75" customHeight="1" x14ac:dyDescent="0.2">
      <c r="A584" s="38"/>
      <c r="B584" s="38"/>
      <c r="C584" s="8"/>
      <c r="D584" s="8"/>
      <c r="E584" s="8"/>
      <c r="F584" s="8"/>
      <c r="G584" s="8"/>
      <c r="H584" s="8"/>
      <c r="I584" s="8"/>
      <c r="J584" s="8"/>
      <c r="K584" s="8"/>
      <c r="L584" s="8"/>
    </row>
    <row r="585" spans="1:12" ht="12.75" customHeight="1" x14ac:dyDescent="0.2">
      <c r="A585" s="38"/>
      <c r="B585" s="38"/>
      <c r="C585" s="8"/>
      <c r="D585" s="8"/>
      <c r="E585" s="8"/>
      <c r="F585" s="8"/>
      <c r="G585" s="8"/>
      <c r="H585" s="8"/>
      <c r="I585" s="8"/>
      <c r="J585" s="8"/>
      <c r="K585" s="8"/>
      <c r="L585" s="8"/>
    </row>
    <row r="586" spans="1:12" ht="12.75" customHeight="1" x14ac:dyDescent="0.2">
      <c r="A586" s="38"/>
      <c r="B586" s="38"/>
      <c r="C586" s="8"/>
      <c r="D586" s="8"/>
      <c r="E586" s="8"/>
      <c r="F586" s="8"/>
      <c r="G586" s="8"/>
      <c r="H586" s="8"/>
      <c r="I586" s="8"/>
      <c r="J586" s="8"/>
      <c r="K586" s="8"/>
      <c r="L586" s="8"/>
    </row>
    <row r="587" spans="1:12" ht="12.75" customHeight="1" x14ac:dyDescent="0.2">
      <c r="A587" s="38"/>
      <c r="B587" s="38"/>
      <c r="C587" s="8"/>
      <c r="D587" s="8"/>
      <c r="E587" s="8"/>
      <c r="F587" s="8"/>
      <c r="G587" s="8"/>
      <c r="H587" s="8"/>
      <c r="I587" s="8"/>
      <c r="J587" s="8"/>
      <c r="K587" s="8"/>
      <c r="L587" s="8"/>
    </row>
    <row r="588" spans="1:12" ht="12.75" customHeight="1" x14ac:dyDescent="0.2">
      <c r="A588" s="38"/>
      <c r="B588" s="38"/>
      <c r="C588" s="8"/>
      <c r="D588" s="8"/>
      <c r="E588" s="8"/>
      <c r="F588" s="8"/>
      <c r="G588" s="8"/>
      <c r="H588" s="8"/>
      <c r="I588" s="8"/>
      <c r="J588" s="8"/>
      <c r="K588" s="8"/>
      <c r="L588" s="8"/>
    </row>
    <row r="589" spans="1:12" ht="12.75" customHeight="1" x14ac:dyDescent="0.2">
      <c r="A589" s="38"/>
      <c r="B589" s="38"/>
      <c r="C589" s="8"/>
      <c r="D589" s="8"/>
      <c r="E589" s="8"/>
      <c r="F589" s="8"/>
      <c r="G589" s="8"/>
      <c r="H589" s="8"/>
      <c r="I589" s="8"/>
      <c r="J589" s="8"/>
      <c r="K589" s="8"/>
      <c r="L589" s="8"/>
    </row>
    <row r="590" spans="1:12" ht="12.75" customHeight="1" x14ac:dyDescent="0.2">
      <c r="A590" s="38"/>
      <c r="B590" s="38"/>
      <c r="C590" s="8"/>
      <c r="D590" s="8"/>
      <c r="E590" s="8"/>
      <c r="F590" s="8"/>
      <c r="G590" s="8"/>
      <c r="H590" s="8"/>
      <c r="I590" s="8"/>
      <c r="J590" s="8"/>
      <c r="K590" s="8"/>
      <c r="L590" s="8"/>
    </row>
    <row r="591" spans="1:12" ht="12.75" customHeight="1" x14ac:dyDescent="0.2">
      <c r="A591" s="38"/>
      <c r="B591" s="38"/>
      <c r="C591" s="8"/>
      <c r="D591" s="8"/>
      <c r="E591" s="8"/>
      <c r="F591" s="8"/>
      <c r="G591" s="8"/>
      <c r="H591" s="8"/>
      <c r="I591" s="8"/>
      <c r="J591" s="8"/>
      <c r="K591" s="8"/>
      <c r="L591" s="8"/>
    </row>
    <row r="592" spans="1:12" ht="12.75" customHeight="1" x14ac:dyDescent="0.2">
      <c r="A592" s="38"/>
      <c r="B592" s="38"/>
      <c r="C592" s="8"/>
      <c r="D592" s="8"/>
      <c r="E592" s="8"/>
      <c r="F592" s="8"/>
      <c r="G592" s="8"/>
      <c r="H592" s="8"/>
      <c r="I592" s="8"/>
      <c r="J592" s="8"/>
      <c r="K592" s="8"/>
      <c r="L592" s="8"/>
    </row>
    <row r="593" spans="1:12" ht="12.75" customHeight="1" x14ac:dyDescent="0.2">
      <c r="A593" s="38"/>
      <c r="B593" s="38"/>
      <c r="C593" s="8"/>
      <c r="D593" s="8"/>
      <c r="E593" s="8"/>
      <c r="F593" s="8"/>
      <c r="G593" s="8"/>
      <c r="H593" s="8"/>
      <c r="I593" s="8"/>
      <c r="J593" s="8"/>
      <c r="K593" s="8"/>
      <c r="L593" s="8"/>
    </row>
    <row r="594" spans="1:12" ht="12.75" customHeight="1" x14ac:dyDescent="0.2">
      <c r="A594" s="38"/>
      <c r="B594" s="38"/>
      <c r="C594" s="8"/>
      <c r="D594" s="8"/>
      <c r="E594" s="8"/>
      <c r="F594" s="8"/>
      <c r="G594" s="8"/>
      <c r="H594" s="8"/>
      <c r="I594" s="8"/>
      <c r="J594" s="8"/>
      <c r="K594" s="8"/>
      <c r="L594" s="8"/>
    </row>
    <row r="595" spans="1:12" ht="12.75" customHeight="1" x14ac:dyDescent="0.2">
      <c r="A595" s="38"/>
      <c r="B595" s="38"/>
      <c r="C595" s="8"/>
      <c r="D595" s="8"/>
      <c r="E595" s="8"/>
      <c r="F595" s="8"/>
      <c r="G595" s="8"/>
      <c r="H595" s="8"/>
      <c r="I595" s="8"/>
      <c r="J595" s="8"/>
      <c r="K595" s="8"/>
      <c r="L595" s="8"/>
    </row>
    <row r="596" spans="1:12" ht="12.75" customHeight="1" x14ac:dyDescent="0.2">
      <c r="A596" s="38"/>
      <c r="B596" s="38"/>
      <c r="C596" s="8"/>
      <c r="D596" s="8"/>
      <c r="E596" s="8"/>
      <c r="F596" s="8"/>
      <c r="G596" s="8"/>
      <c r="H596" s="8"/>
      <c r="I596" s="8"/>
      <c r="J596" s="8"/>
      <c r="K596" s="8"/>
      <c r="L596" s="8"/>
    </row>
    <row r="597" spans="1:12" ht="12.75" customHeight="1" x14ac:dyDescent="0.2">
      <c r="A597" s="38"/>
      <c r="B597" s="38"/>
      <c r="C597" s="8"/>
      <c r="D597" s="8"/>
      <c r="E597" s="8"/>
      <c r="F597" s="8"/>
      <c r="G597" s="8"/>
      <c r="H597" s="8"/>
      <c r="I597" s="8"/>
      <c r="J597" s="8"/>
      <c r="K597" s="8"/>
      <c r="L597" s="8"/>
    </row>
    <row r="598" spans="1:12" ht="12.75" customHeight="1" x14ac:dyDescent="0.2">
      <c r="A598" s="38"/>
      <c r="B598" s="38"/>
      <c r="C598" s="8"/>
      <c r="D598" s="8"/>
      <c r="E598" s="8"/>
      <c r="F598" s="8"/>
      <c r="G598" s="8"/>
      <c r="H598" s="8"/>
      <c r="I598" s="8"/>
      <c r="J598" s="8"/>
      <c r="K598" s="8"/>
      <c r="L598" s="8"/>
    </row>
    <row r="599" spans="1:12" ht="12.75" customHeight="1" x14ac:dyDescent="0.2">
      <c r="A599" s="38"/>
      <c r="B599" s="38"/>
      <c r="C599" s="8"/>
      <c r="D599" s="8"/>
      <c r="E599" s="8"/>
      <c r="F599" s="8"/>
      <c r="G599" s="8"/>
      <c r="H599" s="8"/>
      <c r="I599" s="8"/>
      <c r="J599" s="8"/>
      <c r="K599" s="8"/>
      <c r="L599" s="8"/>
    </row>
    <row r="600" spans="1:12" ht="12.75" customHeight="1" x14ac:dyDescent="0.2">
      <c r="A600" s="38"/>
      <c r="B600" s="38"/>
      <c r="C600" s="8"/>
      <c r="D600" s="8"/>
      <c r="E600" s="8"/>
      <c r="F600" s="8"/>
      <c r="G600" s="8"/>
      <c r="H600" s="8"/>
      <c r="I600" s="8"/>
      <c r="J600" s="8"/>
      <c r="K600" s="8"/>
      <c r="L600" s="8"/>
    </row>
    <row r="601" spans="1:12" ht="12.75" customHeight="1" x14ac:dyDescent="0.2">
      <c r="A601" s="38"/>
      <c r="B601" s="38"/>
      <c r="C601" s="8"/>
      <c r="D601" s="8"/>
      <c r="E601" s="8"/>
      <c r="F601" s="8"/>
      <c r="G601" s="8"/>
      <c r="H601" s="8"/>
      <c r="I601" s="8"/>
      <c r="J601" s="8"/>
      <c r="K601" s="8"/>
      <c r="L601" s="8"/>
    </row>
    <row r="602" spans="1:12" ht="12.75" customHeight="1" x14ac:dyDescent="0.2">
      <c r="A602" s="38"/>
      <c r="B602" s="38"/>
      <c r="C602" s="8"/>
      <c r="D602" s="8"/>
      <c r="E602" s="8"/>
      <c r="F602" s="8"/>
      <c r="G602" s="8"/>
      <c r="H602" s="8"/>
      <c r="I602" s="8"/>
      <c r="J602" s="8"/>
      <c r="K602" s="8"/>
      <c r="L602" s="8"/>
    </row>
    <row r="603" spans="1:12" ht="12.75" customHeight="1" x14ac:dyDescent="0.2">
      <c r="A603" s="38"/>
      <c r="B603" s="38"/>
      <c r="C603" s="8"/>
      <c r="D603" s="8"/>
      <c r="E603" s="8"/>
      <c r="F603" s="8"/>
      <c r="G603" s="8"/>
      <c r="H603" s="8"/>
      <c r="I603" s="8"/>
      <c r="J603" s="8"/>
      <c r="K603" s="8"/>
      <c r="L603" s="8"/>
    </row>
    <row r="604" spans="1:12" ht="12.75" customHeight="1" x14ac:dyDescent="0.2">
      <c r="A604" s="38"/>
      <c r="B604" s="38"/>
      <c r="C604" s="8"/>
      <c r="D604" s="8"/>
      <c r="E604" s="8"/>
      <c r="F604" s="8"/>
      <c r="G604" s="8"/>
      <c r="H604" s="8"/>
      <c r="I604" s="8"/>
      <c r="J604" s="8"/>
      <c r="K604" s="8"/>
      <c r="L604" s="8"/>
    </row>
    <row r="605" spans="1:12" ht="12.75" customHeight="1" x14ac:dyDescent="0.2">
      <c r="A605" s="38"/>
      <c r="B605" s="38"/>
      <c r="C605" s="8"/>
      <c r="D605" s="8"/>
      <c r="E605" s="8"/>
      <c r="F605" s="8"/>
      <c r="G605" s="8"/>
      <c r="H605" s="8"/>
      <c r="I605" s="8"/>
      <c r="J605" s="8"/>
      <c r="K605" s="8"/>
      <c r="L605" s="8"/>
    </row>
    <row r="606" spans="1:12" ht="12.75" customHeight="1" x14ac:dyDescent="0.2">
      <c r="A606" s="38"/>
      <c r="B606" s="38"/>
      <c r="C606" s="8"/>
      <c r="D606" s="8"/>
      <c r="E606" s="8"/>
      <c r="F606" s="8"/>
      <c r="G606" s="8"/>
      <c r="H606" s="8"/>
      <c r="I606" s="8"/>
      <c r="J606" s="8"/>
      <c r="K606" s="8"/>
      <c r="L606" s="8"/>
    </row>
    <row r="607" spans="1:12" ht="12.75" customHeight="1" x14ac:dyDescent="0.2">
      <c r="A607" s="38"/>
      <c r="B607" s="38"/>
      <c r="C607" s="8"/>
      <c r="D607" s="8"/>
      <c r="E607" s="8"/>
      <c r="F607" s="8"/>
      <c r="G607" s="8"/>
      <c r="H607" s="8"/>
      <c r="I607" s="8"/>
      <c r="J607" s="8"/>
      <c r="K607" s="8"/>
      <c r="L607" s="8"/>
    </row>
    <row r="608" spans="1:12" ht="12.75" customHeight="1" x14ac:dyDescent="0.2">
      <c r="A608" s="38"/>
      <c r="B608" s="38"/>
      <c r="C608" s="8"/>
      <c r="D608" s="8"/>
      <c r="E608" s="8"/>
      <c r="F608" s="8"/>
      <c r="G608" s="8"/>
      <c r="H608" s="8"/>
      <c r="I608" s="8"/>
      <c r="J608" s="8"/>
      <c r="K608" s="8"/>
      <c r="L608" s="8"/>
    </row>
    <row r="609" spans="1:12" ht="12.75" customHeight="1" x14ac:dyDescent="0.2">
      <c r="A609" s="38"/>
      <c r="B609" s="38"/>
      <c r="C609" s="8"/>
      <c r="D609" s="8"/>
      <c r="E609" s="8"/>
      <c r="F609" s="8"/>
      <c r="G609" s="8"/>
      <c r="H609" s="8"/>
      <c r="I609" s="8"/>
      <c r="J609" s="8"/>
      <c r="K609" s="8"/>
      <c r="L609" s="8"/>
    </row>
    <row r="610" spans="1:12" ht="12.75" customHeight="1" x14ac:dyDescent="0.2">
      <c r="A610" s="38"/>
      <c r="B610" s="38"/>
      <c r="C610" s="8"/>
      <c r="D610" s="8"/>
      <c r="E610" s="8"/>
      <c r="F610" s="8"/>
      <c r="G610" s="8"/>
      <c r="H610" s="8"/>
      <c r="I610" s="8"/>
      <c r="J610" s="8"/>
      <c r="K610" s="8"/>
      <c r="L610" s="8"/>
    </row>
    <row r="611" spans="1:12" ht="12.75" customHeight="1" x14ac:dyDescent="0.2">
      <c r="A611" s="38"/>
      <c r="B611" s="38"/>
      <c r="C611" s="8"/>
      <c r="D611" s="8"/>
      <c r="E611" s="8"/>
      <c r="F611" s="8"/>
      <c r="G611" s="8"/>
      <c r="H611" s="8"/>
      <c r="I611" s="8"/>
      <c r="J611" s="8"/>
      <c r="K611" s="8"/>
      <c r="L611" s="8"/>
    </row>
    <row r="612" spans="1:12" ht="12.75" customHeight="1" x14ac:dyDescent="0.2">
      <c r="A612" s="38"/>
      <c r="B612" s="38"/>
      <c r="C612" s="8"/>
      <c r="D612" s="8"/>
      <c r="E612" s="8"/>
      <c r="F612" s="8"/>
      <c r="G612" s="8"/>
      <c r="H612" s="8"/>
      <c r="I612" s="8"/>
      <c r="J612" s="8"/>
      <c r="K612" s="8"/>
      <c r="L612" s="8"/>
    </row>
    <row r="613" spans="1:12" ht="12.75" customHeight="1" x14ac:dyDescent="0.2">
      <c r="A613" s="38"/>
      <c r="B613" s="38"/>
      <c r="C613" s="8"/>
      <c r="D613" s="8"/>
      <c r="E613" s="8"/>
      <c r="F613" s="8"/>
      <c r="G613" s="8"/>
      <c r="H613" s="8"/>
      <c r="I613" s="8"/>
      <c r="J613" s="8"/>
      <c r="K613" s="8"/>
      <c r="L613" s="8"/>
    </row>
    <row r="614" spans="1:12" ht="12.75" customHeight="1" x14ac:dyDescent="0.2">
      <c r="A614" s="38"/>
      <c r="B614" s="38"/>
      <c r="C614" s="8"/>
      <c r="D614" s="8"/>
      <c r="E614" s="8"/>
      <c r="F614" s="8"/>
      <c r="G614" s="8"/>
      <c r="H614" s="8"/>
      <c r="I614" s="8"/>
      <c r="J614" s="8"/>
      <c r="K614" s="8"/>
      <c r="L614" s="8"/>
    </row>
    <row r="615" spans="1:12" ht="12.75" customHeight="1" x14ac:dyDescent="0.2">
      <c r="A615" s="38"/>
      <c r="B615" s="38"/>
      <c r="C615" s="8"/>
      <c r="D615" s="8"/>
      <c r="E615" s="8"/>
      <c r="F615" s="8"/>
      <c r="G615" s="8"/>
      <c r="H615" s="8"/>
      <c r="I615" s="8"/>
      <c r="J615" s="8"/>
      <c r="K615" s="8"/>
      <c r="L615" s="8"/>
    </row>
    <row r="616" spans="1:12" ht="12.75" customHeight="1" x14ac:dyDescent="0.2">
      <c r="A616" s="38"/>
      <c r="B616" s="38"/>
      <c r="C616" s="8"/>
      <c r="D616" s="8"/>
      <c r="E616" s="8"/>
      <c r="F616" s="8"/>
      <c r="G616" s="8"/>
      <c r="H616" s="8"/>
      <c r="I616" s="8"/>
      <c r="J616" s="8"/>
      <c r="K616" s="8"/>
      <c r="L616" s="8"/>
    </row>
    <row r="617" spans="1:12" ht="12.75" customHeight="1" x14ac:dyDescent="0.2">
      <c r="A617" s="38"/>
      <c r="B617" s="38"/>
      <c r="C617" s="8"/>
      <c r="D617" s="8"/>
      <c r="E617" s="8"/>
      <c r="F617" s="8"/>
      <c r="G617" s="8"/>
      <c r="H617" s="8"/>
      <c r="I617" s="8"/>
      <c r="J617" s="8"/>
      <c r="K617" s="8"/>
      <c r="L617" s="8"/>
    </row>
    <row r="618" spans="1:12" ht="12.75" customHeight="1" x14ac:dyDescent="0.2">
      <c r="A618" s="38"/>
      <c r="B618" s="38"/>
      <c r="C618" s="8"/>
      <c r="D618" s="8"/>
      <c r="E618" s="8"/>
      <c r="F618" s="8"/>
      <c r="G618" s="8"/>
      <c r="H618" s="8"/>
      <c r="I618" s="8"/>
      <c r="J618" s="8"/>
      <c r="K618" s="8"/>
      <c r="L618" s="8"/>
    </row>
    <row r="619" spans="1:12" ht="12.75" customHeight="1" x14ac:dyDescent="0.2">
      <c r="A619" s="38"/>
      <c r="B619" s="38"/>
      <c r="C619" s="8"/>
      <c r="D619" s="8"/>
      <c r="E619" s="8"/>
      <c r="F619" s="8"/>
      <c r="G619" s="8"/>
      <c r="H619" s="8"/>
      <c r="I619" s="8"/>
      <c r="J619" s="8"/>
      <c r="K619" s="8"/>
      <c r="L619" s="8"/>
    </row>
    <row r="620" spans="1:12" ht="12.75" customHeight="1" x14ac:dyDescent="0.2">
      <c r="A620" s="38"/>
      <c r="B620" s="38"/>
      <c r="C620" s="8"/>
      <c r="D620" s="8"/>
      <c r="E620" s="8"/>
      <c r="F620" s="8"/>
      <c r="G620" s="8"/>
      <c r="H620" s="8"/>
      <c r="I620" s="8"/>
      <c r="J620" s="8"/>
      <c r="K620" s="8"/>
      <c r="L620" s="8"/>
    </row>
    <row r="621" spans="1:12" ht="12.75" customHeight="1" x14ac:dyDescent="0.2">
      <c r="A621" s="38"/>
      <c r="B621" s="38"/>
      <c r="C621" s="8"/>
      <c r="D621" s="8"/>
      <c r="E621" s="8"/>
      <c r="F621" s="8"/>
      <c r="G621" s="8"/>
      <c r="H621" s="8"/>
      <c r="I621" s="8"/>
      <c r="J621" s="8"/>
      <c r="K621" s="8"/>
      <c r="L621" s="8"/>
    </row>
    <row r="622" spans="1:12" ht="12.75" customHeight="1" x14ac:dyDescent="0.2">
      <c r="A622" s="38"/>
      <c r="B622" s="38"/>
      <c r="C622" s="8"/>
      <c r="D622" s="8"/>
      <c r="E622" s="8"/>
      <c r="F622" s="8"/>
      <c r="G622" s="8"/>
      <c r="H622" s="8"/>
      <c r="I622" s="8"/>
      <c r="J622" s="8"/>
      <c r="K622" s="8"/>
      <c r="L622" s="8"/>
    </row>
    <row r="623" spans="1:12" ht="12.75" customHeight="1" x14ac:dyDescent="0.2">
      <c r="A623" s="38"/>
      <c r="B623" s="38"/>
      <c r="C623" s="8"/>
      <c r="D623" s="8"/>
      <c r="E623" s="8"/>
      <c r="F623" s="8"/>
      <c r="G623" s="8"/>
      <c r="H623" s="8"/>
      <c r="I623" s="8"/>
      <c r="J623" s="8"/>
      <c r="K623" s="8"/>
      <c r="L623" s="8"/>
    </row>
    <row r="624" spans="1:12" ht="12.75" customHeight="1" x14ac:dyDescent="0.2">
      <c r="A624" s="38"/>
      <c r="B624" s="38"/>
      <c r="C624" s="8"/>
      <c r="D624" s="8"/>
      <c r="E624" s="8"/>
      <c r="F624" s="8"/>
      <c r="G624" s="8"/>
      <c r="H624" s="8"/>
      <c r="I624" s="8"/>
      <c r="J624" s="8"/>
      <c r="K624" s="8"/>
      <c r="L624" s="8"/>
    </row>
    <row r="625" spans="1:12" ht="12.75" customHeight="1" x14ac:dyDescent="0.2">
      <c r="A625" s="38"/>
      <c r="B625" s="38"/>
      <c r="C625" s="8"/>
      <c r="D625" s="8"/>
      <c r="E625" s="8"/>
      <c r="F625" s="8"/>
      <c r="G625" s="8"/>
      <c r="H625" s="8"/>
      <c r="I625" s="8"/>
      <c r="J625" s="8"/>
      <c r="K625" s="8"/>
      <c r="L625" s="8"/>
    </row>
    <row r="626" spans="1:12" ht="12.75" customHeight="1" x14ac:dyDescent="0.2">
      <c r="A626" s="38"/>
      <c r="B626" s="38"/>
      <c r="C626" s="8"/>
      <c r="D626" s="8"/>
      <c r="E626" s="8"/>
      <c r="F626" s="8"/>
      <c r="G626" s="8"/>
      <c r="H626" s="8"/>
      <c r="I626" s="8"/>
      <c r="J626" s="8"/>
      <c r="K626" s="8"/>
      <c r="L626" s="8"/>
    </row>
    <row r="627" spans="1:12" ht="12.75" customHeight="1" x14ac:dyDescent="0.2">
      <c r="A627" s="38"/>
      <c r="B627" s="38"/>
      <c r="C627" s="8"/>
      <c r="D627" s="8"/>
      <c r="E627" s="8"/>
      <c r="F627" s="8"/>
      <c r="G627" s="8"/>
      <c r="H627" s="8"/>
      <c r="I627" s="8"/>
      <c r="J627" s="8"/>
      <c r="K627" s="8"/>
      <c r="L627" s="8"/>
    </row>
    <row r="628" spans="1:12" ht="12.75" customHeight="1" x14ac:dyDescent="0.2">
      <c r="A628" s="38"/>
      <c r="B628" s="38"/>
      <c r="C628" s="8"/>
      <c r="D628" s="8"/>
      <c r="E628" s="8"/>
      <c r="F628" s="8"/>
      <c r="G628" s="8"/>
      <c r="H628" s="8"/>
      <c r="I628" s="8"/>
      <c r="J628" s="8"/>
      <c r="K628" s="8"/>
      <c r="L628" s="8"/>
    </row>
    <row r="629" spans="1:12" ht="12.75" customHeight="1" x14ac:dyDescent="0.2">
      <c r="A629" s="38"/>
      <c r="B629" s="38"/>
      <c r="C629" s="8"/>
      <c r="D629" s="8"/>
      <c r="E629" s="8"/>
      <c r="F629" s="8"/>
      <c r="G629" s="8"/>
      <c r="H629" s="8"/>
      <c r="I629" s="8"/>
      <c r="J629" s="8"/>
      <c r="K629" s="8"/>
      <c r="L629" s="8"/>
    </row>
    <row r="630" spans="1:12" ht="12.75" customHeight="1" x14ac:dyDescent="0.2">
      <c r="A630" s="38"/>
      <c r="B630" s="38"/>
      <c r="C630" s="8"/>
      <c r="D630" s="8"/>
      <c r="E630" s="8"/>
      <c r="F630" s="8"/>
      <c r="G630" s="8"/>
      <c r="H630" s="8"/>
      <c r="I630" s="8"/>
      <c r="J630" s="8"/>
      <c r="K630" s="8"/>
      <c r="L630" s="8"/>
    </row>
    <row r="631" spans="1:12" ht="12.75" customHeight="1" x14ac:dyDescent="0.2">
      <c r="A631" s="38"/>
      <c r="B631" s="38"/>
      <c r="C631" s="8"/>
      <c r="D631" s="8"/>
      <c r="E631" s="8"/>
      <c r="F631" s="8"/>
      <c r="G631" s="8"/>
      <c r="H631" s="8"/>
      <c r="I631" s="8"/>
      <c r="J631" s="8"/>
      <c r="K631" s="8"/>
      <c r="L631" s="8"/>
    </row>
    <row r="632" spans="1:12" ht="12.75" customHeight="1" x14ac:dyDescent="0.2">
      <c r="A632" s="38"/>
      <c r="B632" s="38"/>
      <c r="C632" s="8"/>
      <c r="D632" s="8"/>
      <c r="E632" s="8"/>
      <c r="F632" s="8"/>
      <c r="G632" s="8"/>
      <c r="H632" s="8"/>
      <c r="I632" s="8"/>
      <c r="J632" s="8"/>
      <c r="K632" s="8"/>
      <c r="L632" s="8"/>
    </row>
    <row r="633" spans="1:12" ht="12.75" customHeight="1" x14ac:dyDescent="0.2">
      <c r="A633" s="38"/>
      <c r="B633" s="38"/>
      <c r="C633" s="8"/>
      <c r="D633" s="8"/>
      <c r="E633" s="8"/>
      <c r="F633" s="8"/>
      <c r="G633" s="8"/>
      <c r="H633" s="8"/>
      <c r="I633" s="8"/>
      <c r="J633" s="8"/>
      <c r="K633" s="8"/>
      <c r="L633" s="8"/>
    </row>
    <row r="634" spans="1:12" ht="12.75" customHeight="1" x14ac:dyDescent="0.2">
      <c r="A634" s="38"/>
      <c r="B634" s="38"/>
      <c r="C634" s="8"/>
      <c r="D634" s="8"/>
      <c r="E634" s="8"/>
      <c r="F634" s="8"/>
      <c r="G634" s="8"/>
      <c r="H634" s="8"/>
      <c r="I634" s="8"/>
      <c r="J634" s="8"/>
      <c r="K634" s="8"/>
      <c r="L634" s="8"/>
    </row>
    <row r="635" spans="1:12" ht="12.75" customHeight="1" x14ac:dyDescent="0.2">
      <c r="A635" s="38"/>
      <c r="B635" s="38"/>
      <c r="C635" s="8"/>
      <c r="D635" s="8"/>
      <c r="E635" s="8"/>
      <c r="F635" s="8"/>
      <c r="G635" s="8"/>
      <c r="H635" s="8"/>
      <c r="I635" s="8"/>
      <c r="J635" s="8"/>
      <c r="K635" s="8"/>
      <c r="L635" s="8"/>
    </row>
    <row r="636" spans="1:12" ht="12.75" customHeight="1" x14ac:dyDescent="0.2">
      <c r="A636" s="38"/>
      <c r="B636" s="38"/>
      <c r="C636" s="8"/>
      <c r="D636" s="8"/>
      <c r="E636" s="8"/>
      <c r="F636" s="8"/>
      <c r="G636" s="8"/>
      <c r="H636" s="8"/>
      <c r="I636" s="8"/>
      <c r="J636" s="8"/>
      <c r="K636" s="8"/>
      <c r="L636" s="8"/>
    </row>
    <row r="637" spans="1:12" ht="12.75" customHeight="1" x14ac:dyDescent="0.2">
      <c r="A637" s="38"/>
      <c r="B637" s="38"/>
      <c r="C637" s="8"/>
      <c r="D637" s="8"/>
      <c r="E637" s="8"/>
      <c r="F637" s="8"/>
      <c r="G637" s="8"/>
      <c r="H637" s="8"/>
      <c r="I637" s="8"/>
      <c r="J637" s="8"/>
      <c r="K637" s="8"/>
      <c r="L637" s="8"/>
    </row>
    <row r="638" spans="1:12" ht="12.75" customHeight="1" x14ac:dyDescent="0.2">
      <c r="A638" s="38"/>
      <c r="B638" s="38"/>
      <c r="C638" s="8"/>
      <c r="D638" s="8"/>
      <c r="E638" s="8"/>
      <c r="F638" s="8"/>
      <c r="G638" s="8"/>
      <c r="H638" s="8"/>
      <c r="I638" s="8"/>
      <c r="J638" s="8"/>
      <c r="K638" s="8"/>
      <c r="L638" s="8"/>
    </row>
    <row r="639" spans="1:12" ht="12.75" customHeight="1" x14ac:dyDescent="0.2">
      <c r="A639" s="38"/>
      <c r="B639" s="38"/>
      <c r="C639" s="8"/>
      <c r="D639" s="8"/>
      <c r="E639" s="8"/>
      <c r="F639" s="8"/>
      <c r="G639" s="8"/>
      <c r="H639" s="8"/>
      <c r="I639" s="8"/>
      <c r="J639" s="8"/>
      <c r="K639" s="8"/>
      <c r="L639" s="8"/>
    </row>
    <row r="640" spans="1:12" ht="12.75" customHeight="1" x14ac:dyDescent="0.2">
      <c r="A640" s="38"/>
      <c r="B640" s="38"/>
      <c r="C640" s="8"/>
      <c r="D640" s="8"/>
      <c r="E640" s="8"/>
      <c r="F640" s="8"/>
      <c r="G640" s="8"/>
      <c r="H640" s="8"/>
      <c r="I640" s="8"/>
      <c r="J640" s="8"/>
      <c r="K640" s="8"/>
      <c r="L640" s="8"/>
    </row>
    <row r="641" spans="1:12" ht="12.75" customHeight="1" x14ac:dyDescent="0.2">
      <c r="A641" s="38"/>
      <c r="B641" s="38"/>
      <c r="C641" s="8"/>
      <c r="D641" s="8"/>
      <c r="E641" s="8"/>
      <c r="F641" s="8"/>
      <c r="G641" s="8"/>
      <c r="H641" s="8"/>
      <c r="I641" s="8"/>
      <c r="J641" s="8"/>
      <c r="K641" s="8"/>
      <c r="L641" s="8"/>
    </row>
    <row r="642" spans="1:12" ht="12.75" customHeight="1" x14ac:dyDescent="0.2">
      <c r="A642" s="38"/>
      <c r="B642" s="38"/>
      <c r="C642" s="8"/>
      <c r="D642" s="8"/>
      <c r="E642" s="8"/>
      <c r="F642" s="8"/>
      <c r="G642" s="8"/>
      <c r="H642" s="8"/>
      <c r="I642" s="8"/>
      <c r="J642" s="8"/>
      <c r="K642" s="8"/>
      <c r="L642" s="8"/>
    </row>
    <row r="643" spans="1:12" ht="12.75" customHeight="1" x14ac:dyDescent="0.2">
      <c r="A643" s="38"/>
      <c r="B643" s="38"/>
      <c r="C643" s="8"/>
      <c r="D643" s="8"/>
      <c r="E643" s="8"/>
      <c r="F643" s="8"/>
      <c r="G643" s="8"/>
      <c r="H643" s="8"/>
      <c r="I643" s="8"/>
      <c r="J643" s="8"/>
      <c r="K643" s="8"/>
      <c r="L643" s="8"/>
    </row>
    <row r="644" spans="1:12" ht="12.75" customHeight="1" x14ac:dyDescent="0.2">
      <c r="A644" s="38"/>
      <c r="B644" s="38"/>
      <c r="C644" s="8"/>
      <c r="D644" s="8"/>
      <c r="E644" s="8"/>
      <c r="F644" s="8"/>
      <c r="G644" s="8"/>
      <c r="H644" s="8"/>
      <c r="I644" s="8"/>
      <c r="J644" s="8"/>
      <c r="K644" s="8"/>
      <c r="L644" s="8"/>
    </row>
    <row r="645" spans="1:12" ht="12.75" customHeight="1" x14ac:dyDescent="0.2">
      <c r="A645" s="38"/>
      <c r="B645" s="38"/>
      <c r="C645" s="8"/>
      <c r="D645" s="8"/>
      <c r="E645" s="8"/>
      <c r="F645" s="8"/>
      <c r="G645" s="8"/>
      <c r="H645" s="8"/>
      <c r="I645" s="8"/>
      <c r="J645" s="8"/>
      <c r="K645" s="8"/>
      <c r="L645" s="8"/>
    </row>
    <row r="646" spans="1:12" ht="12.75" customHeight="1" x14ac:dyDescent="0.2">
      <c r="A646" s="38"/>
      <c r="B646" s="38"/>
      <c r="C646" s="8"/>
      <c r="D646" s="8"/>
      <c r="E646" s="8"/>
      <c r="F646" s="8"/>
      <c r="G646" s="8"/>
      <c r="H646" s="8"/>
      <c r="I646" s="8"/>
      <c r="J646" s="8"/>
      <c r="K646" s="8"/>
      <c r="L646" s="8"/>
    </row>
    <row r="647" spans="1:12" ht="12.75" customHeight="1" x14ac:dyDescent="0.2">
      <c r="A647" s="38"/>
      <c r="B647" s="38"/>
      <c r="C647" s="8"/>
      <c r="D647" s="8"/>
      <c r="E647" s="8"/>
      <c r="F647" s="8"/>
      <c r="G647" s="8"/>
      <c r="H647" s="8"/>
      <c r="I647" s="8"/>
      <c r="J647" s="8"/>
      <c r="K647" s="8"/>
      <c r="L647" s="8"/>
    </row>
    <row r="648" spans="1:12" ht="12.75" customHeight="1" x14ac:dyDescent="0.2">
      <c r="A648" s="38"/>
      <c r="B648" s="38"/>
      <c r="C648" s="8"/>
      <c r="D648" s="8"/>
      <c r="E648" s="8"/>
      <c r="F648" s="8"/>
      <c r="G648" s="8"/>
      <c r="H648" s="8"/>
      <c r="I648" s="8"/>
      <c r="J648" s="8"/>
      <c r="K648" s="8"/>
      <c r="L648" s="8"/>
    </row>
    <row r="649" spans="1:12" ht="12.75" customHeight="1" x14ac:dyDescent="0.2">
      <c r="A649" s="38"/>
      <c r="B649" s="38"/>
      <c r="C649" s="8"/>
      <c r="D649" s="8"/>
      <c r="E649" s="8"/>
      <c r="F649" s="8"/>
      <c r="G649" s="8"/>
      <c r="H649" s="8"/>
      <c r="I649" s="8"/>
      <c r="J649" s="8"/>
      <c r="K649" s="8"/>
      <c r="L649" s="8"/>
    </row>
    <row r="650" spans="1:12" ht="12.75" customHeight="1" x14ac:dyDescent="0.2">
      <c r="A650" s="38"/>
      <c r="B650" s="38"/>
      <c r="C650" s="8"/>
      <c r="D650" s="8"/>
      <c r="E650" s="8"/>
      <c r="F650" s="8"/>
      <c r="G650" s="8"/>
      <c r="H650" s="8"/>
      <c r="I650" s="8"/>
      <c r="J650" s="8"/>
      <c r="K650" s="8"/>
      <c r="L650" s="8"/>
    </row>
    <row r="651" spans="1:12" ht="12.75" customHeight="1" x14ac:dyDescent="0.2">
      <c r="A651" s="38"/>
      <c r="B651" s="38"/>
      <c r="C651" s="8"/>
      <c r="D651" s="8"/>
      <c r="E651" s="8"/>
      <c r="F651" s="8"/>
      <c r="G651" s="8"/>
      <c r="H651" s="8"/>
      <c r="I651" s="8"/>
      <c r="J651" s="8"/>
      <c r="K651" s="8"/>
      <c r="L651" s="8"/>
    </row>
    <row r="652" spans="1:12" ht="12.75" customHeight="1" x14ac:dyDescent="0.2">
      <c r="A652" s="38"/>
      <c r="B652" s="38"/>
      <c r="C652" s="8"/>
      <c r="D652" s="8"/>
      <c r="E652" s="8"/>
      <c r="F652" s="8"/>
      <c r="G652" s="8"/>
      <c r="H652" s="8"/>
      <c r="I652" s="8"/>
      <c r="J652" s="8"/>
      <c r="K652" s="8"/>
      <c r="L652" s="8"/>
    </row>
    <row r="653" spans="1:12" ht="12.75" customHeight="1" x14ac:dyDescent="0.2">
      <c r="A653" s="38"/>
      <c r="B653" s="38"/>
      <c r="C653" s="8"/>
      <c r="D653" s="8"/>
      <c r="E653" s="8"/>
      <c r="F653" s="8"/>
      <c r="G653" s="8"/>
      <c r="H653" s="8"/>
      <c r="I653" s="8"/>
      <c r="J653" s="8"/>
      <c r="K653" s="8"/>
      <c r="L653" s="8"/>
    </row>
    <row r="654" spans="1:12" ht="12.75" customHeight="1" x14ac:dyDescent="0.2">
      <c r="A654" s="38"/>
      <c r="B654" s="38"/>
      <c r="C654" s="8"/>
      <c r="D654" s="8"/>
      <c r="E654" s="8"/>
      <c r="F654" s="8"/>
      <c r="G654" s="8"/>
      <c r="H654" s="8"/>
      <c r="I654" s="8"/>
      <c r="J654" s="8"/>
      <c r="K654" s="8"/>
      <c r="L654" s="8"/>
    </row>
    <row r="655" spans="1:12" ht="12.75" customHeight="1" x14ac:dyDescent="0.2">
      <c r="A655" s="38"/>
      <c r="B655" s="38"/>
      <c r="C655" s="8"/>
      <c r="D655" s="8"/>
      <c r="E655" s="8"/>
      <c r="F655" s="8"/>
      <c r="G655" s="8"/>
      <c r="H655" s="8"/>
      <c r="I655" s="8"/>
      <c r="J655" s="8"/>
      <c r="K655" s="8"/>
      <c r="L655" s="8"/>
    </row>
    <row r="656" spans="1:12" ht="12.75" customHeight="1" x14ac:dyDescent="0.2">
      <c r="A656" s="38"/>
      <c r="B656" s="38"/>
      <c r="C656" s="8"/>
      <c r="D656" s="8"/>
      <c r="E656" s="8"/>
      <c r="F656" s="8"/>
      <c r="G656" s="8"/>
      <c r="H656" s="8"/>
      <c r="I656" s="8"/>
      <c r="J656" s="8"/>
      <c r="K656" s="8"/>
      <c r="L656" s="8"/>
    </row>
    <row r="657" spans="1:12" ht="12.75" customHeight="1" x14ac:dyDescent="0.2">
      <c r="A657" s="38"/>
      <c r="B657" s="38"/>
      <c r="C657" s="8"/>
      <c r="D657" s="8"/>
      <c r="E657" s="8"/>
      <c r="F657" s="8"/>
      <c r="G657" s="8"/>
      <c r="H657" s="8"/>
      <c r="I657" s="8"/>
      <c r="J657" s="8"/>
      <c r="K657" s="8"/>
      <c r="L657" s="8"/>
    </row>
    <row r="658" spans="1:12" ht="12.75" customHeight="1" x14ac:dyDescent="0.2">
      <c r="A658" s="38"/>
      <c r="B658" s="38"/>
      <c r="C658" s="8"/>
      <c r="D658" s="8"/>
      <c r="E658" s="8"/>
      <c r="F658" s="8"/>
      <c r="G658" s="8"/>
      <c r="H658" s="8"/>
      <c r="I658" s="8"/>
      <c r="J658" s="8"/>
      <c r="K658" s="8"/>
      <c r="L658" s="8"/>
    </row>
    <row r="659" spans="1:12" ht="12.75" customHeight="1" x14ac:dyDescent="0.2">
      <c r="A659" s="38"/>
      <c r="B659" s="38"/>
      <c r="C659" s="8"/>
      <c r="D659" s="8"/>
      <c r="E659" s="8"/>
      <c r="F659" s="8"/>
      <c r="G659" s="8"/>
      <c r="H659" s="8"/>
      <c r="I659" s="8"/>
      <c r="J659" s="8"/>
      <c r="K659" s="8"/>
      <c r="L659" s="8"/>
    </row>
    <row r="660" spans="1:12" ht="12.75" customHeight="1" x14ac:dyDescent="0.2">
      <c r="A660" s="38"/>
      <c r="B660" s="38"/>
      <c r="C660" s="8"/>
      <c r="D660" s="8"/>
      <c r="E660" s="8"/>
      <c r="F660" s="8"/>
      <c r="G660" s="8"/>
      <c r="H660" s="8"/>
      <c r="I660" s="8"/>
      <c r="J660" s="8"/>
      <c r="K660" s="8"/>
      <c r="L660" s="8"/>
    </row>
    <row r="661" spans="1:12" ht="12.75" customHeight="1" x14ac:dyDescent="0.2">
      <c r="A661" s="38"/>
      <c r="B661" s="38"/>
      <c r="C661" s="8"/>
      <c r="D661" s="8"/>
      <c r="E661" s="8"/>
      <c r="F661" s="8"/>
      <c r="G661" s="8"/>
      <c r="H661" s="8"/>
      <c r="I661" s="8"/>
      <c r="J661" s="8"/>
      <c r="K661" s="8"/>
      <c r="L661" s="8"/>
    </row>
    <row r="662" spans="1:12" ht="12.75" customHeight="1" x14ac:dyDescent="0.2">
      <c r="A662" s="38"/>
      <c r="B662" s="38"/>
      <c r="C662" s="8"/>
      <c r="D662" s="8"/>
      <c r="E662" s="8"/>
      <c r="F662" s="8"/>
      <c r="G662" s="8"/>
      <c r="H662" s="8"/>
      <c r="I662" s="8"/>
      <c r="J662" s="8"/>
      <c r="K662" s="8"/>
      <c r="L662" s="8"/>
    </row>
    <row r="663" spans="1:12" ht="12.75" customHeight="1" x14ac:dyDescent="0.2">
      <c r="A663" s="38"/>
      <c r="B663" s="38"/>
      <c r="C663" s="8"/>
      <c r="D663" s="8"/>
      <c r="E663" s="8"/>
      <c r="F663" s="8"/>
      <c r="G663" s="8"/>
      <c r="H663" s="8"/>
      <c r="I663" s="8"/>
      <c r="J663" s="8"/>
      <c r="K663" s="8"/>
      <c r="L663" s="8"/>
    </row>
    <row r="664" spans="1:12" ht="12.75" customHeight="1" x14ac:dyDescent="0.2">
      <c r="A664" s="38"/>
      <c r="B664" s="38"/>
      <c r="C664" s="8"/>
      <c r="D664" s="8"/>
      <c r="E664" s="8"/>
      <c r="F664" s="8"/>
      <c r="G664" s="8"/>
      <c r="H664" s="8"/>
      <c r="I664" s="8"/>
      <c r="J664" s="8"/>
      <c r="K664" s="8"/>
      <c r="L664" s="8"/>
    </row>
    <row r="665" spans="1:12" ht="12.75" customHeight="1" x14ac:dyDescent="0.2">
      <c r="A665" s="38"/>
      <c r="B665" s="38"/>
      <c r="C665" s="8"/>
      <c r="D665" s="8"/>
      <c r="E665" s="8"/>
      <c r="F665" s="8"/>
      <c r="G665" s="8"/>
      <c r="H665" s="8"/>
      <c r="I665" s="8"/>
      <c r="J665" s="8"/>
      <c r="K665" s="8"/>
      <c r="L665" s="8"/>
    </row>
    <row r="666" spans="1:12" ht="12.75" customHeight="1" x14ac:dyDescent="0.2">
      <c r="A666" s="38"/>
      <c r="B666" s="38"/>
      <c r="C666" s="8"/>
      <c r="D666" s="8"/>
      <c r="E666" s="8"/>
      <c r="F666" s="8"/>
      <c r="G666" s="8"/>
      <c r="H666" s="8"/>
      <c r="I666" s="8"/>
      <c r="J666" s="8"/>
      <c r="K666" s="8"/>
      <c r="L666" s="8"/>
    </row>
    <row r="667" spans="1:12" ht="12.75" customHeight="1" x14ac:dyDescent="0.2">
      <c r="A667" s="38"/>
      <c r="B667" s="38"/>
      <c r="C667" s="8"/>
      <c r="D667" s="8"/>
      <c r="E667" s="8"/>
      <c r="F667" s="8"/>
      <c r="G667" s="8"/>
      <c r="H667" s="8"/>
      <c r="I667" s="8"/>
      <c r="J667" s="8"/>
      <c r="K667" s="8"/>
      <c r="L667" s="8"/>
    </row>
    <row r="668" spans="1:12" ht="12.75" customHeight="1" x14ac:dyDescent="0.2">
      <c r="A668" s="38"/>
      <c r="B668" s="38"/>
      <c r="C668" s="8"/>
      <c r="D668" s="8"/>
      <c r="E668" s="8"/>
      <c r="F668" s="8"/>
      <c r="G668" s="8"/>
      <c r="H668" s="8"/>
      <c r="I668" s="8"/>
      <c r="J668" s="8"/>
      <c r="K668" s="8"/>
      <c r="L668" s="8"/>
    </row>
    <row r="669" spans="1:12" ht="12.75" customHeight="1" x14ac:dyDescent="0.2">
      <c r="A669" s="38"/>
      <c r="B669" s="38"/>
      <c r="C669" s="8"/>
      <c r="D669" s="8"/>
      <c r="E669" s="8"/>
      <c r="F669" s="8"/>
      <c r="G669" s="8"/>
      <c r="H669" s="8"/>
      <c r="I669" s="8"/>
      <c r="J669" s="8"/>
      <c r="K669" s="8"/>
      <c r="L669" s="8"/>
    </row>
    <row r="670" spans="1:12" ht="12.75" customHeight="1" x14ac:dyDescent="0.2">
      <c r="A670" s="38"/>
      <c r="B670" s="38"/>
      <c r="C670" s="8"/>
      <c r="D670" s="8"/>
      <c r="E670" s="8"/>
      <c r="F670" s="8"/>
      <c r="G670" s="8"/>
      <c r="H670" s="8"/>
      <c r="I670" s="8"/>
      <c r="J670" s="8"/>
      <c r="K670" s="8"/>
      <c r="L670" s="8"/>
    </row>
    <row r="671" spans="1:12" ht="12.75" customHeight="1" x14ac:dyDescent="0.2">
      <c r="A671" s="38"/>
      <c r="B671" s="38"/>
      <c r="C671" s="8"/>
      <c r="D671" s="8"/>
      <c r="E671" s="8"/>
      <c r="F671" s="8"/>
      <c r="G671" s="8"/>
      <c r="H671" s="8"/>
      <c r="I671" s="8"/>
      <c r="J671" s="8"/>
      <c r="K671" s="8"/>
      <c r="L671" s="8"/>
    </row>
    <row r="672" spans="1:12" ht="12.75" customHeight="1" x14ac:dyDescent="0.2">
      <c r="A672" s="38"/>
      <c r="B672" s="38"/>
      <c r="C672" s="8"/>
      <c r="D672" s="8"/>
      <c r="E672" s="8"/>
      <c r="F672" s="8"/>
      <c r="G672" s="8"/>
      <c r="H672" s="8"/>
      <c r="I672" s="8"/>
      <c r="J672" s="8"/>
      <c r="K672" s="8"/>
      <c r="L672" s="8"/>
    </row>
    <row r="673" spans="1:12" ht="12.75" customHeight="1" x14ac:dyDescent="0.2">
      <c r="A673" s="38"/>
      <c r="B673" s="38"/>
      <c r="C673" s="8"/>
      <c r="D673" s="8"/>
      <c r="E673" s="8"/>
      <c r="F673" s="8"/>
      <c r="G673" s="8"/>
      <c r="H673" s="8"/>
      <c r="I673" s="8"/>
      <c r="J673" s="8"/>
      <c r="K673" s="8"/>
      <c r="L673" s="8"/>
    </row>
    <row r="674" spans="1:12" ht="12.75" customHeight="1" x14ac:dyDescent="0.2">
      <c r="A674" s="38"/>
      <c r="B674" s="38"/>
      <c r="C674" s="8"/>
      <c r="D674" s="8"/>
      <c r="E674" s="8"/>
      <c r="F674" s="8"/>
      <c r="G674" s="8"/>
      <c r="H674" s="8"/>
      <c r="I674" s="8"/>
      <c r="J674" s="8"/>
      <c r="K674" s="8"/>
      <c r="L674" s="8"/>
    </row>
    <row r="675" spans="1:12" ht="12.75" customHeight="1" x14ac:dyDescent="0.2">
      <c r="A675" s="38"/>
      <c r="B675" s="38"/>
      <c r="C675" s="8"/>
      <c r="D675" s="8"/>
      <c r="E675" s="8"/>
      <c r="F675" s="8"/>
      <c r="G675" s="8"/>
      <c r="H675" s="8"/>
      <c r="I675" s="8"/>
      <c r="J675" s="8"/>
      <c r="K675" s="8"/>
      <c r="L675" s="8"/>
    </row>
    <row r="676" spans="1:12" ht="12.75" customHeight="1" x14ac:dyDescent="0.2">
      <c r="A676" s="38"/>
      <c r="B676" s="38"/>
      <c r="C676" s="8"/>
      <c r="D676" s="8"/>
      <c r="E676" s="8"/>
      <c r="F676" s="8"/>
      <c r="G676" s="8"/>
      <c r="H676" s="8"/>
      <c r="I676" s="8"/>
      <c r="J676" s="8"/>
      <c r="K676" s="8"/>
      <c r="L676" s="8"/>
    </row>
    <row r="677" spans="1:12" ht="12.75" customHeight="1" x14ac:dyDescent="0.2">
      <c r="A677" s="38"/>
      <c r="B677" s="38"/>
      <c r="C677" s="8"/>
      <c r="D677" s="8"/>
      <c r="E677" s="8"/>
      <c r="F677" s="8"/>
      <c r="G677" s="8"/>
      <c r="H677" s="8"/>
      <c r="I677" s="8"/>
      <c r="J677" s="8"/>
      <c r="K677" s="8"/>
      <c r="L677" s="8"/>
    </row>
    <row r="678" spans="1:12" ht="12.75" customHeight="1" x14ac:dyDescent="0.2">
      <c r="A678" s="38"/>
      <c r="B678" s="38"/>
      <c r="C678" s="8"/>
      <c r="D678" s="8"/>
      <c r="E678" s="8"/>
      <c r="F678" s="8"/>
      <c r="G678" s="8"/>
      <c r="H678" s="8"/>
      <c r="I678" s="8"/>
      <c r="J678" s="8"/>
      <c r="K678" s="8"/>
      <c r="L678" s="8"/>
    </row>
    <row r="679" spans="1:12" ht="12.75" customHeight="1" x14ac:dyDescent="0.2">
      <c r="A679" s="38"/>
      <c r="B679" s="38"/>
      <c r="C679" s="8"/>
      <c r="D679" s="8"/>
      <c r="E679" s="8"/>
      <c r="F679" s="8"/>
      <c r="G679" s="8"/>
      <c r="H679" s="8"/>
      <c r="I679" s="8"/>
      <c r="J679" s="8"/>
      <c r="K679" s="8"/>
      <c r="L679" s="8"/>
    </row>
    <row r="680" spans="1:12" ht="12.75" customHeight="1" x14ac:dyDescent="0.2">
      <c r="A680" s="38"/>
      <c r="B680" s="38"/>
      <c r="C680" s="8"/>
      <c r="D680" s="8"/>
      <c r="E680" s="8"/>
      <c r="F680" s="8"/>
      <c r="G680" s="8"/>
      <c r="H680" s="8"/>
      <c r="I680" s="8"/>
      <c r="J680" s="8"/>
      <c r="K680" s="8"/>
      <c r="L680" s="8"/>
    </row>
    <row r="681" spans="1:12" ht="12.75" customHeight="1" x14ac:dyDescent="0.2">
      <c r="A681" s="38"/>
      <c r="B681" s="38"/>
      <c r="C681" s="8"/>
      <c r="D681" s="8"/>
      <c r="E681" s="8"/>
      <c r="F681" s="8"/>
      <c r="G681" s="8"/>
      <c r="H681" s="8"/>
      <c r="I681" s="8"/>
      <c r="J681" s="8"/>
      <c r="K681" s="8"/>
      <c r="L681" s="8"/>
    </row>
    <row r="682" spans="1:12" ht="12.75" customHeight="1" x14ac:dyDescent="0.2">
      <c r="A682" s="38"/>
      <c r="B682" s="38"/>
      <c r="C682" s="8"/>
      <c r="D682" s="8"/>
      <c r="E682" s="8"/>
      <c r="F682" s="8"/>
      <c r="G682" s="8"/>
      <c r="H682" s="8"/>
      <c r="I682" s="8"/>
      <c r="J682" s="8"/>
      <c r="K682" s="8"/>
      <c r="L682" s="8"/>
    </row>
    <row r="683" spans="1:12" ht="12.75" customHeight="1" x14ac:dyDescent="0.2">
      <c r="A683" s="38"/>
      <c r="B683" s="38"/>
      <c r="C683" s="8"/>
      <c r="D683" s="8"/>
      <c r="E683" s="8"/>
      <c r="F683" s="8"/>
      <c r="G683" s="8"/>
      <c r="H683" s="8"/>
      <c r="I683" s="8"/>
      <c r="J683" s="8"/>
      <c r="K683" s="8"/>
      <c r="L683" s="8"/>
    </row>
    <row r="684" spans="1:12" ht="12.75" customHeight="1" x14ac:dyDescent="0.2">
      <c r="A684" s="38"/>
      <c r="B684" s="38"/>
      <c r="C684" s="8"/>
      <c r="D684" s="8"/>
      <c r="E684" s="8"/>
      <c r="F684" s="8"/>
      <c r="G684" s="8"/>
      <c r="H684" s="8"/>
      <c r="I684" s="8"/>
      <c r="J684" s="8"/>
      <c r="K684" s="8"/>
      <c r="L684" s="8"/>
    </row>
    <row r="685" spans="1:12" ht="12.75" customHeight="1" x14ac:dyDescent="0.2">
      <c r="A685" s="38"/>
      <c r="B685" s="38"/>
      <c r="C685" s="8"/>
      <c r="D685" s="8"/>
      <c r="E685" s="8"/>
      <c r="F685" s="8"/>
      <c r="G685" s="8"/>
      <c r="H685" s="8"/>
      <c r="I685" s="8"/>
      <c r="J685" s="8"/>
      <c r="K685" s="8"/>
      <c r="L685" s="8"/>
    </row>
    <row r="686" spans="1:12" ht="12.75" customHeight="1" x14ac:dyDescent="0.2">
      <c r="A686" s="38"/>
      <c r="B686" s="38"/>
      <c r="C686" s="8"/>
      <c r="D686" s="8"/>
      <c r="E686" s="8"/>
      <c r="F686" s="8"/>
      <c r="G686" s="8"/>
      <c r="H686" s="8"/>
      <c r="I686" s="8"/>
      <c r="J686" s="8"/>
      <c r="K686" s="8"/>
      <c r="L686" s="8"/>
    </row>
    <row r="687" spans="1:12" ht="12.75" customHeight="1" x14ac:dyDescent="0.2">
      <c r="A687" s="38"/>
      <c r="B687" s="38"/>
      <c r="C687" s="8"/>
      <c r="D687" s="8"/>
      <c r="E687" s="8"/>
      <c r="F687" s="8"/>
      <c r="G687" s="8"/>
      <c r="H687" s="8"/>
      <c r="I687" s="8"/>
      <c r="J687" s="8"/>
      <c r="K687" s="8"/>
      <c r="L687" s="8"/>
    </row>
    <row r="688" spans="1:12" ht="12.75" customHeight="1" x14ac:dyDescent="0.2">
      <c r="A688" s="38"/>
      <c r="B688" s="38"/>
      <c r="C688" s="8"/>
      <c r="D688" s="8"/>
      <c r="E688" s="8"/>
      <c r="F688" s="8"/>
      <c r="G688" s="8"/>
      <c r="H688" s="8"/>
      <c r="I688" s="8"/>
      <c r="J688" s="8"/>
      <c r="K688" s="8"/>
      <c r="L688" s="8"/>
    </row>
    <row r="689" spans="1:12" ht="12.75" customHeight="1" x14ac:dyDescent="0.2">
      <c r="A689" s="38"/>
      <c r="B689" s="38"/>
      <c r="C689" s="8"/>
      <c r="D689" s="8"/>
      <c r="E689" s="8"/>
      <c r="F689" s="8"/>
      <c r="G689" s="8"/>
      <c r="H689" s="8"/>
      <c r="I689" s="8"/>
      <c r="J689" s="8"/>
      <c r="K689" s="8"/>
      <c r="L689" s="8"/>
    </row>
    <row r="690" spans="1:12" ht="12.75" customHeight="1" x14ac:dyDescent="0.2">
      <c r="A690" s="38"/>
      <c r="B690" s="38"/>
      <c r="C690" s="8"/>
      <c r="D690" s="8"/>
      <c r="E690" s="8"/>
      <c r="F690" s="8"/>
      <c r="G690" s="8"/>
      <c r="H690" s="8"/>
      <c r="I690" s="8"/>
      <c r="J690" s="8"/>
      <c r="K690" s="8"/>
      <c r="L690" s="8"/>
    </row>
    <row r="691" spans="1:12" ht="12.75" customHeight="1" x14ac:dyDescent="0.2">
      <c r="A691" s="38"/>
      <c r="B691" s="38"/>
      <c r="C691" s="8"/>
      <c r="D691" s="8"/>
      <c r="E691" s="8"/>
      <c r="F691" s="8"/>
      <c r="G691" s="8"/>
      <c r="H691" s="8"/>
      <c r="I691" s="8"/>
      <c r="J691" s="8"/>
      <c r="K691" s="8"/>
      <c r="L691" s="8"/>
    </row>
    <row r="692" spans="1:12" ht="12.75" customHeight="1" x14ac:dyDescent="0.2">
      <c r="A692" s="38"/>
      <c r="B692" s="38"/>
      <c r="C692" s="8"/>
      <c r="D692" s="8"/>
      <c r="E692" s="8"/>
      <c r="F692" s="8"/>
      <c r="G692" s="8"/>
      <c r="H692" s="8"/>
      <c r="I692" s="8"/>
      <c r="J692" s="8"/>
      <c r="K692" s="8"/>
      <c r="L692" s="8"/>
    </row>
    <row r="693" spans="1:12" ht="12.75" customHeight="1" x14ac:dyDescent="0.2">
      <c r="A693" s="38"/>
      <c r="B693" s="38"/>
      <c r="C693" s="8"/>
      <c r="D693" s="8"/>
      <c r="E693" s="8"/>
      <c r="F693" s="8"/>
      <c r="G693" s="8"/>
      <c r="H693" s="8"/>
      <c r="I693" s="8"/>
      <c r="J693" s="8"/>
      <c r="K693" s="8"/>
      <c r="L693" s="8"/>
    </row>
    <row r="694" spans="1:12" ht="12.75" customHeight="1" x14ac:dyDescent="0.2">
      <c r="A694" s="38"/>
      <c r="B694" s="38"/>
      <c r="C694" s="8"/>
      <c r="D694" s="8"/>
      <c r="E694" s="8"/>
      <c r="F694" s="8"/>
      <c r="G694" s="8"/>
      <c r="H694" s="8"/>
      <c r="I694" s="8"/>
      <c r="J694" s="8"/>
      <c r="K694" s="8"/>
      <c r="L694" s="8"/>
    </row>
    <row r="695" spans="1:12" ht="12.75" customHeight="1" x14ac:dyDescent="0.2">
      <c r="A695" s="38"/>
      <c r="B695" s="38"/>
      <c r="C695" s="8"/>
      <c r="D695" s="8"/>
      <c r="E695" s="8"/>
      <c r="F695" s="8"/>
      <c r="G695" s="8"/>
      <c r="H695" s="8"/>
      <c r="I695" s="8"/>
      <c r="J695" s="8"/>
      <c r="K695" s="8"/>
      <c r="L695" s="8"/>
    </row>
    <row r="696" spans="1:12" ht="12.75" customHeight="1" x14ac:dyDescent="0.2">
      <c r="A696" s="38"/>
      <c r="B696" s="38"/>
      <c r="C696" s="8"/>
      <c r="D696" s="8"/>
      <c r="E696" s="8"/>
      <c r="F696" s="8"/>
      <c r="G696" s="8"/>
      <c r="H696" s="8"/>
      <c r="I696" s="8"/>
      <c r="J696" s="8"/>
      <c r="K696" s="8"/>
      <c r="L696" s="8"/>
    </row>
    <row r="697" spans="1:12" ht="12.75" customHeight="1" x14ac:dyDescent="0.2">
      <c r="A697" s="38"/>
      <c r="B697" s="38"/>
      <c r="C697" s="8"/>
      <c r="D697" s="8"/>
      <c r="E697" s="8"/>
      <c r="F697" s="8"/>
      <c r="G697" s="8"/>
      <c r="H697" s="8"/>
      <c r="I697" s="8"/>
      <c r="J697" s="8"/>
      <c r="K697" s="8"/>
      <c r="L697" s="8"/>
    </row>
    <row r="698" spans="1:12" ht="12.75" customHeight="1" x14ac:dyDescent="0.2">
      <c r="A698" s="38"/>
      <c r="B698" s="38"/>
      <c r="C698" s="8"/>
      <c r="D698" s="8"/>
      <c r="E698" s="8"/>
      <c r="F698" s="8"/>
      <c r="G698" s="8"/>
      <c r="H698" s="8"/>
      <c r="I698" s="8"/>
      <c r="J698" s="8"/>
      <c r="K698" s="8"/>
      <c r="L698" s="8"/>
    </row>
    <row r="699" spans="1:12" ht="12.75" customHeight="1" x14ac:dyDescent="0.2">
      <c r="A699" s="38"/>
      <c r="B699" s="38"/>
      <c r="C699" s="8"/>
      <c r="D699" s="8"/>
      <c r="E699" s="8"/>
      <c r="F699" s="8"/>
      <c r="G699" s="8"/>
      <c r="H699" s="8"/>
      <c r="I699" s="8"/>
      <c r="J699" s="8"/>
      <c r="K699" s="8"/>
      <c r="L699" s="8"/>
    </row>
    <row r="700" spans="1:12" ht="12.75" customHeight="1" x14ac:dyDescent="0.2">
      <c r="A700" s="38"/>
      <c r="B700" s="38"/>
      <c r="C700" s="8"/>
      <c r="D700" s="8"/>
      <c r="E700" s="8"/>
      <c r="F700" s="8"/>
      <c r="G700" s="8"/>
      <c r="H700" s="8"/>
      <c r="I700" s="8"/>
      <c r="J700" s="8"/>
      <c r="K700" s="8"/>
      <c r="L700" s="8"/>
    </row>
    <row r="701" spans="1:12" ht="12.75" customHeight="1" x14ac:dyDescent="0.2">
      <c r="A701" s="38"/>
      <c r="B701" s="38"/>
      <c r="C701" s="8"/>
      <c r="D701" s="8"/>
      <c r="E701" s="8"/>
      <c r="F701" s="8"/>
      <c r="G701" s="8"/>
      <c r="H701" s="8"/>
      <c r="I701" s="8"/>
      <c r="J701" s="8"/>
      <c r="K701" s="8"/>
      <c r="L701" s="8"/>
    </row>
    <row r="702" spans="1:12" ht="12.75" customHeight="1" x14ac:dyDescent="0.2">
      <c r="A702" s="38"/>
      <c r="B702" s="38"/>
      <c r="C702" s="8"/>
      <c r="D702" s="8"/>
      <c r="E702" s="8"/>
      <c r="F702" s="8"/>
      <c r="G702" s="8"/>
      <c r="H702" s="8"/>
      <c r="I702" s="8"/>
      <c r="J702" s="8"/>
      <c r="K702" s="8"/>
      <c r="L702" s="8"/>
    </row>
    <row r="703" spans="1:12" ht="12.75" customHeight="1" x14ac:dyDescent="0.2">
      <c r="A703" s="38"/>
      <c r="B703" s="38"/>
      <c r="C703" s="8"/>
      <c r="D703" s="8"/>
      <c r="E703" s="8"/>
      <c r="F703" s="8"/>
      <c r="G703" s="8"/>
      <c r="H703" s="8"/>
      <c r="I703" s="8"/>
      <c r="J703" s="8"/>
      <c r="K703" s="8"/>
      <c r="L703" s="8"/>
    </row>
    <row r="704" spans="1:12" ht="12.75" customHeight="1" x14ac:dyDescent="0.2">
      <c r="A704" s="38"/>
      <c r="B704" s="38"/>
      <c r="C704" s="8"/>
      <c r="D704" s="8"/>
      <c r="E704" s="8"/>
      <c r="F704" s="8"/>
      <c r="G704" s="8"/>
      <c r="H704" s="8"/>
      <c r="I704" s="8"/>
      <c r="J704" s="8"/>
      <c r="K704" s="8"/>
      <c r="L704" s="8"/>
    </row>
    <row r="705" spans="1:12" ht="12.75" customHeight="1" x14ac:dyDescent="0.2">
      <c r="A705" s="38"/>
      <c r="B705" s="38"/>
      <c r="C705" s="8"/>
      <c r="D705" s="8"/>
      <c r="E705" s="8"/>
      <c r="F705" s="8"/>
      <c r="G705" s="8"/>
      <c r="H705" s="8"/>
      <c r="I705" s="8"/>
      <c r="J705" s="8"/>
      <c r="K705" s="8"/>
      <c r="L705" s="8"/>
    </row>
    <row r="706" spans="1:12" ht="12.75" customHeight="1" x14ac:dyDescent="0.2">
      <c r="A706" s="38"/>
      <c r="B706" s="38"/>
      <c r="C706" s="8"/>
      <c r="D706" s="8"/>
      <c r="E706" s="8"/>
      <c r="F706" s="8"/>
      <c r="G706" s="8"/>
      <c r="H706" s="8"/>
      <c r="I706" s="8"/>
      <c r="J706" s="8"/>
      <c r="K706" s="8"/>
      <c r="L706" s="8"/>
    </row>
    <row r="707" spans="1:12" ht="12.75" customHeight="1" x14ac:dyDescent="0.2">
      <c r="A707" s="38"/>
      <c r="B707" s="38"/>
      <c r="C707" s="8"/>
      <c r="D707" s="8"/>
      <c r="E707" s="8"/>
      <c r="F707" s="8"/>
      <c r="G707" s="8"/>
      <c r="H707" s="8"/>
      <c r="I707" s="8"/>
      <c r="J707" s="8"/>
      <c r="K707" s="8"/>
      <c r="L707" s="8"/>
    </row>
    <row r="708" spans="1:12" ht="12.75" customHeight="1" x14ac:dyDescent="0.2">
      <c r="A708" s="38"/>
      <c r="B708" s="38"/>
      <c r="C708" s="8"/>
      <c r="D708" s="8"/>
      <c r="E708" s="8"/>
      <c r="F708" s="8"/>
      <c r="G708" s="8"/>
      <c r="H708" s="8"/>
      <c r="I708" s="8"/>
      <c r="J708" s="8"/>
      <c r="K708" s="8"/>
      <c r="L708" s="8"/>
    </row>
    <row r="709" spans="1:12" ht="12.75" customHeight="1" x14ac:dyDescent="0.2">
      <c r="A709" s="38"/>
      <c r="B709" s="38"/>
      <c r="C709" s="8"/>
      <c r="D709" s="8"/>
      <c r="E709" s="8"/>
      <c r="F709" s="8"/>
      <c r="G709" s="8"/>
      <c r="H709" s="8"/>
      <c r="I709" s="8"/>
      <c r="J709" s="8"/>
      <c r="K709" s="8"/>
      <c r="L709" s="8"/>
    </row>
    <row r="710" spans="1:12" ht="12.75" customHeight="1" x14ac:dyDescent="0.2">
      <c r="A710" s="38"/>
      <c r="B710" s="38"/>
      <c r="C710" s="8"/>
      <c r="D710" s="8"/>
      <c r="E710" s="8"/>
      <c r="F710" s="8"/>
      <c r="G710" s="8"/>
      <c r="H710" s="8"/>
      <c r="I710" s="8"/>
      <c r="J710" s="8"/>
      <c r="K710" s="8"/>
      <c r="L710" s="8"/>
    </row>
    <row r="711" spans="1:12" ht="12.75" customHeight="1" x14ac:dyDescent="0.2">
      <c r="A711" s="38"/>
      <c r="B711" s="38"/>
      <c r="C711" s="8"/>
      <c r="D711" s="8"/>
      <c r="E711" s="8"/>
      <c r="F711" s="8"/>
      <c r="G711" s="8"/>
      <c r="H711" s="8"/>
      <c r="I711" s="8"/>
      <c r="J711" s="8"/>
      <c r="K711" s="8"/>
      <c r="L711" s="8"/>
    </row>
    <row r="712" spans="1:12" ht="12.75" customHeight="1" x14ac:dyDescent="0.2">
      <c r="A712" s="38"/>
      <c r="B712" s="38"/>
      <c r="C712" s="8"/>
      <c r="D712" s="8"/>
      <c r="E712" s="8"/>
      <c r="F712" s="8"/>
      <c r="G712" s="8"/>
      <c r="H712" s="8"/>
      <c r="I712" s="8"/>
      <c r="J712" s="8"/>
      <c r="K712" s="8"/>
      <c r="L712" s="8"/>
    </row>
    <row r="713" spans="1:12" ht="12.75" customHeight="1" x14ac:dyDescent="0.2">
      <c r="A713" s="38"/>
      <c r="B713" s="38"/>
      <c r="C713" s="8"/>
      <c r="D713" s="8"/>
      <c r="E713" s="8"/>
      <c r="F713" s="8"/>
      <c r="G713" s="8"/>
      <c r="H713" s="8"/>
      <c r="I713" s="8"/>
      <c r="J713" s="8"/>
      <c r="K713" s="8"/>
      <c r="L713" s="8"/>
    </row>
    <row r="714" spans="1:12" ht="12.75" customHeight="1" x14ac:dyDescent="0.2">
      <c r="A714" s="38"/>
      <c r="B714" s="38"/>
      <c r="C714" s="8"/>
      <c r="D714" s="8"/>
      <c r="E714" s="8"/>
      <c r="F714" s="8"/>
      <c r="G714" s="8"/>
      <c r="H714" s="8"/>
      <c r="I714" s="8"/>
      <c r="J714" s="8"/>
      <c r="K714" s="8"/>
      <c r="L714" s="8"/>
    </row>
    <row r="715" spans="1:12" ht="12.75" customHeight="1" x14ac:dyDescent="0.2">
      <c r="A715" s="38"/>
      <c r="B715" s="38"/>
      <c r="C715" s="8"/>
      <c r="D715" s="8"/>
      <c r="E715" s="8"/>
      <c r="F715" s="8"/>
      <c r="G715" s="8"/>
      <c r="H715" s="8"/>
      <c r="I715" s="8"/>
      <c r="J715" s="8"/>
      <c r="K715" s="8"/>
      <c r="L715" s="8"/>
    </row>
    <row r="716" spans="1:12" ht="12.75" customHeight="1" x14ac:dyDescent="0.2">
      <c r="A716" s="38"/>
      <c r="B716" s="38"/>
      <c r="C716" s="8"/>
      <c r="D716" s="8"/>
      <c r="E716" s="8"/>
      <c r="F716" s="8"/>
      <c r="G716" s="8"/>
      <c r="H716" s="8"/>
      <c r="I716" s="8"/>
      <c r="J716" s="8"/>
      <c r="K716" s="8"/>
      <c r="L716" s="8"/>
    </row>
    <row r="717" spans="1:12" ht="12.75" customHeight="1" x14ac:dyDescent="0.2">
      <c r="A717" s="38"/>
      <c r="B717" s="38"/>
      <c r="C717" s="8"/>
      <c r="D717" s="8"/>
      <c r="E717" s="8"/>
      <c r="F717" s="8"/>
      <c r="G717" s="8"/>
      <c r="H717" s="8"/>
      <c r="I717" s="8"/>
      <c r="J717" s="8"/>
      <c r="K717" s="8"/>
      <c r="L717" s="8"/>
    </row>
    <row r="718" spans="1:12" ht="12.75" customHeight="1" x14ac:dyDescent="0.2">
      <c r="A718" s="38"/>
      <c r="B718" s="38"/>
      <c r="C718" s="8"/>
      <c r="D718" s="8"/>
      <c r="E718" s="8"/>
      <c r="F718" s="8"/>
      <c r="G718" s="8"/>
      <c r="H718" s="8"/>
      <c r="I718" s="8"/>
      <c r="J718" s="8"/>
      <c r="K718" s="8"/>
      <c r="L718" s="8"/>
    </row>
    <row r="719" spans="1:12" ht="12.75" customHeight="1" x14ac:dyDescent="0.2">
      <c r="A719" s="38"/>
      <c r="B719" s="38"/>
      <c r="C719" s="8"/>
      <c r="D719" s="8"/>
      <c r="E719" s="8"/>
      <c r="F719" s="8"/>
      <c r="G719" s="8"/>
      <c r="H719" s="8"/>
      <c r="I719" s="8"/>
      <c r="J719" s="8"/>
      <c r="K719" s="8"/>
      <c r="L719" s="8"/>
    </row>
    <row r="720" spans="1:12" ht="12.75" customHeight="1" x14ac:dyDescent="0.2">
      <c r="A720" s="38"/>
      <c r="B720" s="38"/>
      <c r="C720" s="8"/>
      <c r="D720" s="8"/>
      <c r="E720" s="8"/>
      <c r="F720" s="8"/>
      <c r="G720" s="8"/>
      <c r="H720" s="8"/>
      <c r="I720" s="8"/>
      <c r="J720" s="8"/>
      <c r="K720" s="8"/>
      <c r="L720" s="8"/>
    </row>
    <row r="721" spans="1:12" ht="12.75" customHeight="1" x14ac:dyDescent="0.2">
      <c r="A721" s="38"/>
      <c r="B721" s="38"/>
      <c r="C721" s="8"/>
      <c r="D721" s="8"/>
      <c r="E721" s="8"/>
      <c r="F721" s="8"/>
      <c r="G721" s="8"/>
      <c r="H721" s="8"/>
      <c r="I721" s="8"/>
      <c r="J721" s="8"/>
      <c r="K721" s="8"/>
      <c r="L721" s="8"/>
    </row>
    <row r="722" spans="1:12" ht="12.75" customHeight="1" x14ac:dyDescent="0.2">
      <c r="A722" s="38"/>
      <c r="B722" s="38"/>
      <c r="C722" s="8"/>
      <c r="D722" s="8"/>
      <c r="E722" s="8"/>
      <c r="F722" s="8"/>
      <c r="G722" s="8"/>
      <c r="H722" s="8"/>
      <c r="I722" s="8"/>
      <c r="J722" s="8"/>
      <c r="K722" s="8"/>
      <c r="L722" s="8"/>
    </row>
    <row r="723" spans="1:12" ht="12.75" customHeight="1" x14ac:dyDescent="0.2">
      <c r="A723" s="38"/>
      <c r="B723" s="38"/>
      <c r="C723" s="8"/>
      <c r="D723" s="8"/>
      <c r="E723" s="8"/>
      <c r="F723" s="8"/>
      <c r="G723" s="8"/>
      <c r="H723" s="8"/>
      <c r="I723" s="8"/>
      <c r="J723" s="8"/>
      <c r="K723" s="8"/>
      <c r="L723" s="8"/>
    </row>
    <row r="724" spans="1:12" ht="12.75" customHeight="1" x14ac:dyDescent="0.2">
      <c r="A724" s="38"/>
      <c r="B724" s="38"/>
      <c r="C724" s="8"/>
      <c r="D724" s="8"/>
      <c r="E724" s="8"/>
      <c r="F724" s="8"/>
      <c r="G724" s="8"/>
      <c r="H724" s="8"/>
      <c r="I724" s="8"/>
      <c r="J724" s="8"/>
      <c r="K724" s="8"/>
      <c r="L724" s="8"/>
    </row>
    <row r="725" spans="1:12" ht="12.75" customHeight="1" x14ac:dyDescent="0.2">
      <c r="A725" s="38"/>
      <c r="B725" s="38"/>
      <c r="C725" s="8"/>
      <c r="D725" s="8"/>
      <c r="E725" s="8"/>
      <c r="F725" s="8"/>
      <c r="G725" s="8"/>
      <c r="H725" s="8"/>
      <c r="I725" s="8"/>
      <c r="J725" s="8"/>
      <c r="K725" s="8"/>
      <c r="L725" s="8"/>
    </row>
    <row r="726" spans="1:12" ht="12.75" customHeight="1" x14ac:dyDescent="0.2">
      <c r="A726" s="38"/>
      <c r="B726" s="38"/>
      <c r="C726" s="8"/>
      <c r="D726" s="8"/>
      <c r="E726" s="8"/>
      <c r="F726" s="8"/>
      <c r="G726" s="8"/>
      <c r="H726" s="8"/>
      <c r="I726" s="8"/>
      <c r="J726" s="8"/>
      <c r="K726" s="8"/>
      <c r="L726" s="8"/>
    </row>
    <row r="727" spans="1:12" ht="12.75" customHeight="1" x14ac:dyDescent="0.2">
      <c r="A727" s="38"/>
      <c r="B727" s="38"/>
      <c r="C727" s="8"/>
      <c r="D727" s="8"/>
      <c r="E727" s="8"/>
      <c r="F727" s="8"/>
      <c r="G727" s="8"/>
      <c r="H727" s="8"/>
      <c r="I727" s="8"/>
      <c r="J727" s="8"/>
      <c r="K727" s="8"/>
      <c r="L727" s="8"/>
    </row>
    <row r="728" spans="1:12" ht="12.75" customHeight="1" x14ac:dyDescent="0.2">
      <c r="A728" s="38"/>
      <c r="B728" s="38"/>
      <c r="C728" s="8"/>
      <c r="D728" s="8"/>
      <c r="E728" s="8"/>
      <c r="F728" s="8"/>
      <c r="G728" s="8"/>
      <c r="H728" s="8"/>
      <c r="I728" s="8"/>
      <c r="J728" s="8"/>
      <c r="K728" s="8"/>
      <c r="L728" s="8"/>
    </row>
    <row r="729" spans="1:12" ht="12.75" customHeight="1" x14ac:dyDescent="0.2">
      <c r="A729" s="38"/>
      <c r="B729" s="38"/>
      <c r="C729" s="8"/>
      <c r="D729" s="8"/>
      <c r="E729" s="8"/>
      <c r="F729" s="8"/>
      <c r="G729" s="8"/>
      <c r="H729" s="8"/>
      <c r="I729" s="8"/>
      <c r="J729" s="8"/>
      <c r="K729" s="8"/>
      <c r="L729" s="8"/>
    </row>
    <row r="730" spans="1:12" ht="12.75" customHeight="1" x14ac:dyDescent="0.2">
      <c r="A730" s="38"/>
      <c r="B730" s="38"/>
      <c r="C730" s="8"/>
      <c r="D730" s="8"/>
      <c r="E730" s="8"/>
      <c r="F730" s="8"/>
      <c r="G730" s="8"/>
      <c r="H730" s="8"/>
      <c r="I730" s="8"/>
      <c r="J730" s="8"/>
      <c r="K730" s="8"/>
      <c r="L730" s="8"/>
    </row>
    <row r="731" spans="1:12" ht="12.75" customHeight="1" x14ac:dyDescent="0.2">
      <c r="A731" s="38"/>
      <c r="B731" s="38"/>
      <c r="C731" s="8"/>
      <c r="D731" s="8"/>
      <c r="E731" s="8"/>
      <c r="F731" s="8"/>
      <c r="G731" s="8"/>
      <c r="H731" s="8"/>
      <c r="I731" s="8"/>
      <c r="J731" s="8"/>
      <c r="K731" s="8"/>
      <c r="L731" s="8"/>
    </row>
    <row r="732" spans="1:12" ht="12.75" customHeight="1" x14ac:dyDescent="0.2">
      <c r="A732" s="38"/>
      <c r="B732" s="38"/>
      <c r="C732" s="8"/>
      <c r="D732" s="8"/>
      <c r="E732" s="8"/>
      <c r="F732" s="8"/>
      <c r="G732" s="8"/>
      <c r="H732" s="8"/>
      <c r="I732" s="8"/>
      <c r="J732" s="8"/>
      <c r="K732" s="8"/>
      <c r="L732" s="8"/>
    </row>
    <row r="733" spans="1:12" ht="12.75" customHeight="1" x14ac:dyDescent="0.2">
      <c r="A733" s="38"/>
      <c r="B733" s="38"/>
      <c r="C733" s="8"/>
      <c r="D733" s="8"/>
      <c r="E733" s="8"/>
      <c r="F733" s="8"/>
      <c r="G733" s="8"/>
      <c r="H733" s="8"/>
      <c r="I733" s="8"/>
      <c r="J733" s="8"/>
      <c r="K733" s="8"/>
      <c r="L733" s="8"/>
    </row>
    <row r="734" spans="1:12" ht="12.75" customHeight="1" x14ac:dyDescent="0.2">
      <c r="A734" s="38"/>
      <c r="B734" s="38"/>
      <c r="C734" s="8"/>
      <c r="D734" s="8"/>
      <c r="E734" s="8"/>
      <c r="F734" s="8"/>
      <c r="G734" s="8"/>
      <c r="H734" s="8"/>
      <c r="I734" s="8"/>
      <c r="J734" s="8"/>
      <c r="K734" s="8"/>
      <c r="L734" s="8"/>
    </row>
    <row r="735" spans="1:12" ht="12.75" customHeight="1" x14ac:dyDescent="0.2">
      <c r="A735" s="38"/>
      <c r="B735" s="38"/>
      <c r="C735" s="8"/>
      <c r="D735" s="8"/>
      <c r="E735" s="8"/>
      <c r="F735" s="8"/>
      <c r="G735" s="8"/>
      <c r="H735" s="8"/>
      <c r="I735" s="8"/>
      <c r="J735" s="8"/>
      <c r="K735" s="8"/>
      <c r="L735" s="8"/>
    </row>
    <row r="736" spans="1:12" ht="12.75" customHeight="1" x14ac:dyDescent="0.2">
      <c r="A736" s="38"/>
      <c r="B736" s="38"/>
      <c r="C736" s="8"/>
      <c r="D736" s="8"/>
      <c r="E736" s="8"/>
      <c r="F736" s="8"/>
      <c r="G736" s="8"/>
      <c r="H736" s="8"/>
      <c r="I736" s="8"/>
      <c r="J736" s="8"/>
      <c r="K736" s="8"/>
      <c r="L736" s="8"/>
    </row>
    <row r="737" spans="1:12" ht="12.75" customHeight="1" x14ac:dyDescent="0.2">
      <c r="A737" s="38"/>
      <c r="B737" s="38"/>
      <c r="C737" s="8"/>
      <c r="D737" s="8"/>
      <c r="E737" s="8"/>
      <c r="F737" s="8"/>
      <c r="G737" s="8"/>
      <c r="H737" s="8"/>
      <c r="I737" s="8"/>
      <c r="J737" s="8"/>
      <c r="K737" s="8"/>
      <c r="L737" s="8"/>
    </row>
    <row r="738" spans="1:12" ht="12.75" customHeight="1" x14ac:dyDescent="0.2">
      <c r="A738" s="38"/>
      <c r="B738" s="38"/>
      <c r="C738" s="8"/>
      <c r="D738" s="8"/>
      <c r="E738" s="8"/>
      <c r="F738" s="8"/>
      <c r="G738" s="8"/>
      <c r="H738" s="8"/>
      <c r="I738" s="8"/>
      <c r="J738" s="8"/>
      <c r="K738" s="8"/>
      <c r="L738" s="8"/>
    </row>
    <row r="739" spans="1:12" ht="12.75" customHeight="1" x14ac:dyDescent="0.2">
      <c r="A739" s="38"/>
      <c r="B739" s="38"/>
      <c r="C739" s="8"/>
      <c r="D739" s="8"/>
      <c r="E739" s="8"/>
      <c r="F739" s="8"/>
      <c r="G739" s="8"/>
      <c r="H739" s="8"/>
      <c r="I739" s="8"/>
      <c r="J739" s="8"/>
      <c r="K739" s="8"/>
      <c r="L739" s="8"/>
    </row>
    <row r="740" spans="1:12" ht="12.75" customHeight="1" x14ac:dyDescent="0.2">
      <c r="A740" s="38"/>
      <c r="B740" s="38"/>
      <c r="C740" s="8"/>
      <c r="D740" s="8"/>
      <c r="E740" s="8"/>
      <c r="F740" s="8"/>
      <c r="G740" s="8"/>
      <c r="H740" s="8"/>
      <c r="I740" s="8"/>
      <c r="J740" s="8"/>
      <c r="K740" s="8"/>
      <c r="L740" s="8"/>
    </row>
    <row r="741" spans="1:12" ht="12.75" customHeight="1" x14ac:dyDescent="0.2">
      <c r="A741" s="38"/>
      <c r="B741" s="38"/>
      <c r="C741" s="8"/>
      <c r="D741" s="8"/>
      <c r="E741" s="8"/>
      <c r="F741" s="8"/>
      <c r="G741" s="8"/>
      <c r="H741" s="8"/>
      <c r="I741" s="8"/>
      <c r="J741" s="8"/>
      <c r="K741" s="8"/>
      <c r="L741" s="8"/>
    </row>
    <row r="742" spans="1:12" ht="12.75" customHeight="1" x14ac:dyDescent="0.2">
      <c r="A742" s="38"/>
      <c r="B742" s="38"/>
      <c r="C742" s="8"/>
      <c r="D742" s="8"/>
      <c r="E742" s="8"/>
      <c r="F742" s="8"/>
      <c r="G742" s="8"/>
      <c r="H742" s="8"/>
      <c r="I742" s="8"/>
      <c r="J742" s="8"/>
      <c r="K742" s="8"/>
      <c r="L742" s="8"/>
    </row>
    <row r="743" spans="1:12" ht="12.75" customHeight="1" x14ac:dyDescent="0.2">
      <c r="A743" s="38"/>
      <c r="B743" s="38"/>
      <c r="C743" s="8"/>
      <c r="D743" s="8"/>
      <c r="E743" s="8"/>
      <c r="F743" s="8"/>
      <c r="G743" s="8"/>
      <c r="H743" s="8"/>
      <c r="I743" s="8"/>
      <c r="J743" s="8"/>
      <c r="K743" s="8"/>
      <c r="L743" s="8"/>
    </row>
    <row r="744" spans="1:12" ht="12.75" customHeight="1" x14ac:dyDescent="0.2">
      <c r="A744" s="38"/>
      <c r="B744" s="38"/>
      <c r="C744" s="8"/>
      <c r="D744" s="8"/>
      <c r="E744" s="8"/>
      <c r="F744" s="8"/>
      <c r="G744" s="8"/>
      <c r="H744" s="8"/>
      <c r="I744" s="8"/>
      <c r="J744" s="8"/>
      <c r="K744" s="8"/>
      <c r="L744" s="8"/>
    </row>
    <row r="745" spans="1:12" ht="12.75" customHeight="1" x14ac:dyDescent="0.2">
      <c r="A745" s="38"/>
      <c r="B745" s="38"/>
      <c r="C745" s="8"/>
      <c r="D745" s="8"/>
      <c r="E745" s="8"/>
      <c r="F745" s="8"/>
      <c r="G745" s="8"/>
      <c r="H745" s="8"/>
      <c r="I745" s="8"/>
      <c r="J745" s="8"/>
      <c r="K745" s="8"/>
      <c r="L745" s="8"/>
    </row>
    <row r="746" spans="1:12" ht="12.75" customHeight="1" x14ac:dyDescent="0.2">
      <c r="A746" s="38"/>
      <c r="B746" s="38"/>
      <c r="C746" s="8"/>
      <c r="D746" s="8"/>
      <c r="E746" s="8"/>
      <c r="F746" s="8"/>
      <c r="G746" s="8"/>
      <c r="H746" s="8"/>
      <c r="I746" s="8"/>
      <c r="J746" s="8"/>
      <c r="K746" s="8"/>
      <c r="L746" s="8"/>
    </row>
    <row r="747" spans="1:12" ht="12.75" customHeight="1" x14ac:dyDescent="0.2">
      <c r="A747" s="38"/>
      <c r="B747" s="38"/>
      <c r="C747" s="8"/>
      <c r="D747" s="8"/>
      <c r="E747" s="8"/>
      <c r="F747" s="8"/>
      <c r="G747" s="8"/>
      <c r="H747" s="8"/>
      <c r="I747" s="8"/>
      <c r="J747" s="8"/>
      <c r="K747" s="8"/>
      <c r="L747" s="8"/>
    </row>
    <row r="748" spans="1:12" ht="12.75" customHeight="1" x14ac:dyDescent="0.2">
      <c r="A748" s="38"/>
      <c r="B748" s="38"/>
      <c r="C748" s="8"/>
      <c r="D748" s="8"/>
      <c r="E748" s="8"/>
      <c r="F748" s="8"/>
      <c r="G748" s="8"/>
      <c r="H748" s="8"/>
      <c r="I748" s="8"/>
      <c r="J748" s="8"/>
      <c r="K748" s="8"/>
      <c r="L748" s="8"/>
    </row>
    <row r="749" spans="1:12" ht="12.75" customHeight="1" x14ac:dyDescent="0.2">
      <c r="A749" s="38"/>
      <c r="B749" s="38"/>
      <c r="C749" s="8"/>
      <c r="D749" s="8"/>
      <c r="E749" s="8"/>
      <c r="F749" s="8"/>
      <c r="G749" s="8"/>
      <c r="H749" s="8"/>
      <c r="I749" s="8"/>
      <c r="J749" s="8"/>
      <c r="K749" s="8"/>
      <c r="L749" s="8"/>
    </row>
    <row r="750" spans="1:12" ht="12.75" customHeight="1" x14ac:dyDescent="0.2">
      <c r="A750" s="38"/>
      <c r="B750" s="38"/>
      <c r="C750" s="8"/>
      <c r="D750" s="8"/>
      <c r="E750" s="8"/>
      <c r="F750" s="8"/>
      <c r="G750" s="8"/>
      <c r="H750" s="8"/>
      <c r="I750" s="8"/>
      <c r="J750" s="8"/>
      <c r="K750" s="8"/>
      <c r="L750" s="8"/>
    </row>
    <row r="751" spans="1:12" ht="12.75" customHeight="1" x14ac:dyDescent="0.2">
      <c r="A751" s="38"/>
      <c r="B751" s="38"/>
      <c r="C751" s="8"/>
      <c r="D751" s="8"/>
      <c r="E751" s="8"/>
      <c r="F751" s="8"/>
      <c r="G751" s="8"/>
      <c r="H751" s="8"/>
      <c r="I751" s="8"/>
      <c r="J751" s="8"/>
      <c r="K751" s="8"/>
      <c r="L751" s="8"/>
    </row>
    <row r="752" spans="1:12" ht="12.75" customHeight="1" x14ac:dyDescent="0.2">
      <c r="A752" s="38"/>
      <c r="B752" s="38"/>
      <c r="C752" s="8"/>
      <c r="D752" s="8"/>
      <c r="E752" s="8"/>
      <c r="F752" s="8"/>
      <c r="G752" s="8"/>
      <c r="H752" s="8"/>
      <c r="I752" s="8"/>
      <c r="J752" s="8"/>
      <c r="K752" s="8"/>
      <c r="L752" s="8"/>
    </row>
    <row r="753" spans="1:12" ht="12.75" customHeight="1" x14ac:dyDescent="0.2">
      <c r="A753" s="38"/>
      <c r="B753" s="38"/>
      <c r="C753" s="8"/>
      <c r="D753" s="8"/>
      <c r="E753" s="8"/>
      <c r="F753" s="8"/>
      <c r="G753" s="8"/>
      <c r="H753" s="8"/>
      <c r="I753" s="8"/>
      <c r="J753" s="8"/>
      <c r="K753" s="8"/>
      <c r="L753" s="8"/>
    </row>
    <row r="754" spans="1:12" ht="12.75" customHeight="1" x14ac:dyDescent="0.2">
      <c r="A754" s="38"/>
      <c r="B754" s="38"/>
      <c r="C754" s="8"/>
      <c r="D754" s="8"/>
      <c r="E754" s="8"/>
      <c r="F754" s="8"/>
      <c r="G754" s="8"/>
      <c r="H754" s="8"/>
      <c r="I754" s="8"/>
      <c r="J754" s="8"/>
      <c r="K754" s="8"/>
      <c r="L754" s="8"/>
    </row>
    <row r="755" spans="1:12" ht="12.75" customHeight="1" x14ac:dyDescent="0.2">
      <c r="A755" s="38"/>
      <c r="B755" s="38"/>
      <c r="C755" s="8"/>
      <c r="D755" s="8"/>
      <c r="E755" s="8"/>
      <c r="F755" s="8"/>
      <c r="G755" s="8"/>
      <c r="H755" s="8"/>
      <c r="I755" s="8"/>
      <c r="J755" s="8"/>
      <c r="K755" s="8"/>
      <c r="L755" s="8"/>
    </row>
    <row r="756" spans="1:12" ht="12.75" customHeight="1" x14ac:dyDescent="0.2">
      <c r="A756" s="38"/>
      <c r="B756" s="38"/>
      <c r="C756" s="8"/>
      <c r="D756" s="8"/>
      <c r="E756" s="8"/>
      <c r="F756" s="8"/>
      <c r="G756" s="8"/>
      <c r="H756" s="8"/>
      <c r="I756" s="8"/>
      <c r="J756" s="8"/>
      <c r="K756" s="8"/>
      <c r="L756" s="8"/>
    </row>
    <row r="757" spans="1:12" ht="12.75" customHeight="1" x14ac:dyDescent="0.2">
      <c r="A757" s="38"/>
      <c r="B757" s="38"/>
      <c r="C757" s="8"/>
      <c r="D757" s="8"/>
      <c r="E757" s="8"/>
      <c r="F757" s="8"/>
      <c r="G757" s="8"/>
      <c r="H757" s="8"/>
      <c r="I757" s="8"/>
      <c r="J757" s="8"/>
      <c r="K757" s="8"/>
      <c r="L757" s="8"/>
    </row>
    <row r="758" spans="1:12" ht="12.75" customHeight="1" x14ac:dyDescent="0.2">
      <c r="A758" s="38"/>
      <c r="B758" s="38"/>
      <c r="C758" s="8"/>
      <c r="D758" s="8"/>
      <c r="E758" s="8"/>
      <c r="F758" s="8"/>
      <c r="G758" s="8"/>
      <c r="H758" s="8"/>
      <c r="I758" s="8"/>
      <c r="J758" s="8"/>
      <c r="K758" s="8"/>
      <c r="L758" s="8"/>
    </row>
    <row r="759" spans="1:12" ht="12.75" customHeight="1" x14ac:dyDescent="0.2">
      <c r="A759" s="38"/>
      <c r="B759" s="38"/>
      <c r="C759" s="8"/>
      <c r="D759" s="8"/>
      <c r="E759" s="8"/>
      <c r="F759" s="8"/>
      <c r="G759" s="8"/>
      <c r="H759" s="8"/>
      <c r="I759" s="8"/>
      <c r="J759" s="8"/>
      <c r="K759" s="8"/>
      <c r="L759" s="8"/>
    </row>
    <row r="760" spans="1:12" ht="12.75" customHeight="1" x14ac:dyDescent="0.2">
      <c r="A760" s="38"/>
      <c r="B760" s="38"/>
      <c r="C760" s="8"/>
      <c r="D760" s="8"/>
      <c r="E760" s="8"/>
      <c r="F760" s="8"/>
      <c r="G760" s="8"/>
      <c r="H760" s="8"/>
      <c r="I760" s="8"/>
      <c r="J760" s="8"/>
      <c r="K760" s="8"/>
      <c r="L760" s="8"/>
    </row>
    <row r="761" spans="1:12" ht="12.75" customHeight="1" x14ac:dyDescent="0.2">
      <c r="A761" s="38"/>
      <c r="B761" s="38"/>
      <c r="C761" s="8"/>
      <c r="D761" s="8"/>
      <c r="E761" s="8"/>
      <c r="F761" s="8"/>
      <c r="G761" s="8"/>
      <c r="H761" s="8"/>
      <c r="I761" s="8"/>
      <c r="J761" s="8"/>
      <c r="K761" s="8"/>
      <c r="L761" s="8"/>
    </row>
    <row r="762" spans="1:12" ht="12.75" customHeight="1" x14ac:dyDescent="0.2">
      <c r="A762" s="38"/>
      <c r="B762" s="38"/>
      <c r="C762" s="8"/>
      <c r="D762" s="8"/>
      <c r="E762" s="8"/>
      <c r="F762" s="8"/>
      <c r="G762" s="8"/>
      <c r="H762" s="8"/>
      <c r="I762" s="8"/>
      <c r="J762" s="8"/>
      <c r="K762" s="8"/>
      <c r="L762" s="8"/>
    </row>
    <row r="763" spans="1:12" ht="12.75" customHeight="1" x14ac:dyDescent="0.2">
      <c r="A763" s="38"/>
      <c r="B763" s="38"/>
      <c r="C763" s="8"/>
      <c r="D763" s="8"/>
      <c r="E763" s="8"/>
      <c r="F763" s="8"/>
      <c r="G763" s="8"/>
      <c r="H763" s="8"/>
      <c r="I763" s="8"/>
      <c r="J763" s="8"/>
      <c r="K763" s="8"/>
      <c r="L763" s="8"/>
    </row>
    <row r="764" spans="1:12" ht="12.75" customHeight="1" x14ac:dyDescent="0.2">
      <c r="A764" s="38"/>
      <c r="B764" s="38"/>
      <c r="C764" s="8"/>
      <c r="D764" s="8"/>
      <c r="E764" s="8"/>
      <c r="F764" s="8"/>
      <c r="G764" s="8"/>
      <c r="H764" s="8"/>
      <c r="I764" s="8"/>
      <c r="J764" s="8"/>
      <c r="K764" s="8"/>
      <c r="L764" s="8"/>
    </row>
    <row r="765" spans="1:12" ht="12.75" customHeight="1" x14ac:dyDescent="0.2">
      <c r="A765" s="38"/>
      <c r="B765" s="38"/>
      <c r="C765" s="8"/>
      <c r="D765" s="8"/>
      <c r="E765" s="8"/>
      <c r="F765" s="8"/>
      <c r="G765" s="8"/>
      <c r="H765" s="8"/>
      <c r="I765" s="8"/>
      <c r="J765" s="8"/>
      <c r="K765" s="8"/>
      <c r="L765" s="8"/>
    </row>
    <row r="766" spans="1:12" ht="12.75" customHeight="1" x14ac:dyDescent="0.2">
      <c r="A766" s="38"/>
      <c r="B766" s="38"/>
      <c r="C766" s="8"/>
      <c r="D766" s="8"/>
      <c r="E766" s="8"/>
      <c r="F766" s="8"/>
      <c r="G766" s="8"/>
      <c r="H766" s="8"/>
      <c r="I766" s="8"/>
      <c r="J766" s="8"/>
      <c r="K766" s="8"/>
      <c r="L766" s="8"/>
    </row>
    <row r="767" spans="1:12" ht="12.75" customHeight="1" x14ac:dyDescent="0.2">
      <c r="A767" s="38"/>
      <c r="B767" s="38"/>
      <c r="C767" s="8"/>
      <c r="D767" s="8"/>
      <c r="E767" s="8"/>
      <c r="F767" s="8"/>
      <c r="G767" s="8"/>
      <c r="H767" s="8"/>
      <c r="I767" s="8"/>
      <c r="J767" s="8"/>
      <c r="K767" s="8"/>
      <c r="L767" s="8"/>
    </row>
    <row r="768" spans="1:12" ht="12.75" customHeight="1" x14ac:dyDescent="0.2">
      <c r="A768" s="38"/>
      <c r="B768" s="38"/>
      <c r="C768" s="8"/>
      <c r="D768" s="8"/>
      <c r="E768" s="8"/>
      <c r="F768" s="8"/>
      <c r="G768" s="8"/>
      <c r="H768" s="8"/>
      <c r="I768" s="8"/>
      <c r="J768" s="8"/>
      <c r="K768" s="8"/>
      <c r="L768" s="8"/>
    </row>
    <row r="769" spans="1:12" ht="12.75" customHeight="1" x14ac:dyDescent="0.2">
      <c r="A769" s="38"/>
      <c r="B769" s="38"/>
      <c r="C769" s="8"/>
      <c r="D769" s="8"/>
      <c r="E769" s="8"/>
      <c r="F769" s="8"/>
      <c r="G769" s="8"/>
      <c r="H769" s="8"/>
      <c r="I769" s="8"/>
      <c r="J769" s="8"/>
      <c r="K769" s="8"/>
      <c r="L769" s="8"/>
    </row>
    <row r="770" spans="1:12" ht="12.75" customHeight="1" x14ac:dyDescent="0.2">
      <c r="A770" s="38"/>
      <c r="B770" s="38"/>
      <c r="C770" s="8"/>
      <c r="D770" s="8"/>
      <c r="E770" s="8"/>
      <c r="F770" s="8"/>
      <c r="G770" s="8"/>
      <c r="H770" s="8"/>
      <c r="I770" s="8"/>
      <c r="J770" s="8"/>
      <c r="K770" s="8"/>
      <c r="L770" s="8"/>
    </row>
    <row r="771" spans="1:12" ht="12.75" customHeight="1" x14ac:dyDescent="0.2">
      <c r="A771" s="38"/>
      <c r="B771" s="38"/>
      <c r="C771" s="8"/>
      <c r="D771" s="8"/>
      <c r="E771" s="8"/>
      <c r="F771" s="8"/>
      <c r="G771" s="8"/>
      <c r="H771" s="8"/>
      <c r="I771" s="8"/>
      <c r="J771" s="8"/>
      <c r="K771" s="8"/>
      <c r="L771" s="8"/>
    </row>
    <row r="772" spans="1:12" ht="12.75" customHeight="1" x14ac:dyDescent="0.2">
      <c r="A772" s="38"/>
      <c r="B772" s="38"/>
      <c r="C772" s="8"/>
      <c r="D772" s="8"/>
      <c r="E772" s="8"/>
      <c r="F772" s="8"/>
      <c r="G772" s="8"/>
      <c r="H772" s="8"/>
      <c r="I772" s="8"/>
      <c r="J772" s="8"/>
      <c r="K772" s="8"/>
      <c r="L772" s="8"/>
    </row>
    <row r="773" spans="1:12" ht="12.75" customHeight="1" x14ac:dyDescent="0.2">
      <c r="A773" s="38"/>
      <c r="B773" s="38"/>
      <c r="C773" s="8"/>
      <c r="D773" s="8"/>
      <c r="E773" s="8"/>
      <c r="F773" s="8"/>
      <c r="G773" s="8"/>
      <c r="H773" s="8"/>
      <c r="I773" s="8"/>
      <c r="J773" s="8"/>
      <c r="K773" s="8"/>
      <c r="L773" s="8"/>
    </row>
    <row r="774" spans="1:12" ht="12.75" customHeight="1" x14ac:dyDescent="0.2">
      <c r="A774" s="38"/>
      <c r="B774" s="38"/>
      <c r="C774" s="8"/>
      <c r="D774" s="8"/>
      <c r="E774" s="8"/>
      <c r="F774" s="8"/>
      <c r="G774" s="8"/>
      <c r="H774" s="8"/>
      <c r="I774" s="8"/>
      <c r="J774" s="8"/>
      <c r="K774" s="8"/>
      <c r="L774" s="8"/>
    </row>
    <row r="775" spans="1:12" ht="12.75" customHeight="1" x14ac:dyDescent="0.2">
      <c r="A775" s="38"/>
      <c r="B775" s="38"/>
      <c r="C775" s="8"/>
      <c r="D775" s="8"/>
      <c r="E775" s="8"/>
      <c r="F775" s="8"/>
      <c r="G775" s="8"/>
      <c r="H775" s="8"/>
      <c r="I775" s="8"/>
      <c r="J775" s="8"/>
      <c r="K775" s="8"/>
      <c r="L775" s="8"/>
    </row>
    <row r="776" spans="1:12" ht="12.75" customHeight="1" x14ac:dyDescent="0.2">
      <c r="A776" s="38"/>
      <c r="B776" s="38"/>
      <c r="C776" s="8"/>
      <c r="D776" s="8"/>
      <c r="E776" s="8"/>
      <c r="F776" s="8"/>
      <c r="G776" s="8"/>
      <c r="H776" s="8"/>
      <c r="I776" s="8"/>
      <c r="J776" s="8"/>
      <c r="K776" s="8"/>
      <c r="L776" s="8"/>
    </row>
    <row r="777" spans="1:12" ht="12.75" customHeight="1" x14ac:dyDescent="0.2">
      <c r="A777" s="38"/>
      <c r="B777" s="38"/>
      <c r="C777" s="8"/>
      <c r="D777" s="8"/>
      <c r="E777" s="8"/>
      <c r="F777" s="8"/>
      <c r="G777" s="8"/>
      <c r="H777" s="8"/>
      <c r="I777" s="8"/>
      <c r="J777" s="8"/>
      <c r="K777" s="8"/>
      <c r="L777" s="8"/>
    </row>
    <row r="778" spans="1:12" ht="12.75" customHeight="1" x14ac:dyDescent="0.2">
      <c r="A778" s="38"/>
      <c r="B778" s="38"/>
      <c r="C778" s="8"/>
      <c r="D778" s="8"/>
      <c r="E778" s="8"/>
      <c r="F778" s="8"/>
      <c r="G778" s="8"/>
      <c r="H778" s="8"/>
      <c r="I778" s="8"/>
      <c r="J778" s="8"/>
      <c r="K778" s="8"/>
      <c r="L778" s="8"/>
    </row>
    <row r="779" spans="1:12" ht="12.75" customHeight="1" x14ac:dyDescent="0.2">
      <c r="A779" s="38"/>
      <c r="B779" s="38"/>
      <c r="C779" s="8"/>
      <c r="D779" s="8"/>
      <c r="E779" s="8"/>
      <c r="F779" s="8"/>
      <c r="G779" s="8"/>
      <c r="H779" s="8"/>
      <c r="I779" s="8"/>
      <c r="J779" s="8"/>
      <c r="K779" s="8"/>
      <c r="L779" s="8"/>
    </row>
    <row r="780" spans="1:12" ht="12.75" customHeight="1" x14ac:dyDescent="0.2">
      <c r="A780" s="38"/>
      <c r="B780" s="38"/>
      <c r="C780" s="8"/>
      <c r="D780" s="8"/>
      <c r="E780" s="8"/>
      <c r="F780" s="8"/>
      <c r="G780" s="8"/>
      <c r="H780" s="8"/>
      <c r="I780" s="8"/>
      <c r="J780" s="8"/>
      <c r="K780" s="8"/>
      <c r="L780" s="8"/>
    </row>
    <row r="781" spans="1:12" ht="12.75" customHeight="1" x14ac:dyDescent="0.2">
      <c r="A781" s="38"/>
      <c r="B781" s="38"/>
      <c r="C781" s="8"/>
      <c r="D781" s="8"/>
      <c r="E781" s="8"/>
      <c r="F781" s="8"/>
      <c r="G781" s="8"/>
      <c r="H781" s="8"/>
      <c r="I781" s="8"/>
      <c r="J781" s="8"/>
      <c r="K781" s="8"/>
      <c r="L781" s="8"/>
    </row>
    <row r="782" spans="1:12" ht="12.75" customHeight="1" x14ac:dyDescent="0.2">
      <c r="A782" s="38"/>
      <c r="B782" s="38"/>
      <c r="C782" s="8"/>
      <c r="D782" s="8"/>
      <c r="E782" s="8"/>
      <c r="F782" s="8"/>
      <c r="G782" s="8"/>
      <c r="H782" s="8"/>
      <c r="I782" s="8"/>
      <c r="J782" s="8"/>
      <c r="K782" s="8"/>
      <c r="L782" s="8"/>
    </row>
    <row r="783" spans="1:12" ht="12.75" customHeight="1" x14ac:dyDescent="0.2">
      <c r="A783" s="38"/>
      <c r="B783" s="38"/>
      <c r="C783" s="8"/>
      <c r="D783" s="8"/>
      <c r="E783" s="8"/>
      <c r="F783" s="8"/>
      <c r="G783" s="8"/>
      <c r="H783" s="8"/>
      <c r="I783" s="8"/>
      <c r="J783" s="8"/>
      <c r="K783" s="8"/>
      <c r="L783" s="8"/>
    </row>
    <row r="784" spans="1:12" ht="12.75" customHeight="1" x14ac:dyDescent="0.2">
      <c r="A784" s="38"/>
      <c r="B784" s="38"/>
      <c r="C784" s="8"/>
      <c r="D784" s="8"/>
      <c r="E784" s="8"/>
      <c r="F784" s="8"/>
      <c r="G784" s="8"/>
      <c r="H784" s="8"/>
      <c r="I784" s="8"/>
      <c r="J784" s="8"/>
      <c r="K784" s="8"/>
      <c r="L784" s="8"/>
    </row>
    <row r="785" spans="1:12" ht="12.75" customHeight="1" x14ac:dyDescent="0.2">
      <c r="A785" s="38"/>
      <c r="B785" s="38"/>
      <c r="C785" s="8"/>
      <c r="D785" s="8"/>
      <c r="E785" s="8"/>
      <c r="F785" s="8"/>
      <c r="G785" s="8"/>
      <c r="H785" s="8"/>
      <c r="I785" s="8"/>
      <c r="J785" s="8"/>
      <c r="K785" s="8"/>
      <c r="L785" s="8"/>
    </row>
    <row r="786" spans="1:12" ht="12.75" customHeight="1" x14ac:dyDescent="0.2">
      <c r="A786" s="38"/>
      <c r="B786" s="38"/>
      <c r="C786" s="8"/>
      <c r="D786" s="8"/>
      <c r="E786" s="8"/>
      <c r="F786" s="8"/>
      <c r="G786" s="8"/>
      <c r="H786" s="8"/>
      <c r="I786" s="8"/>
      <c r="J786" s="8"/>
      <c r="K786" s="8"/>
      <c r="L786" s="8"/>
    </row>
    <row r="787" spans="1:12" ht="12.75" customHeight="1" x14ac:dyDescent="0.2">
      <c r="A787" s="38"/>
      <c r="B787" s="38"/>
      <c r="C787" s="8"/>
      <c r="D787" s="8"/>
      <c r="E787" s="8"/>
      <c r="F787" s="8"/>
      <c r="G787" s="8"/>
      <c r="H787" s="8"/>
      <c r="I787" s="8"/>
      <c r="J787" s="8"/>
      <c r="K787" s="8"/>
      <c r="L787" s="8"/>
    </row>
    <row r="788" spans="1:12" ht="12.75" customHeight="1" x14ac:dyDescent="0.2">
      <c r="A788" s="38"/>
      <c r="B788" s="38"/>
      <c r="C788" s="8"/>
      <c r="D788" s="8"/>
      <c r="E788" s="8"/>
      <c r="F788" s="8"/>
      <c r="G788" s="8"/>
      <c r="H788" s="8"/>
      <c r="I788" s="8"/>
      <c r="J788" s="8"/>
      <c r="K788" s="8"/>
      <c r="L788" s="8"/>
    </row>
    <row r="789" spans="1:12" ht="12.75" customHeight="1" x14ac:dyDescent="0.2">
      <c r="A789" s="38"/>
      <c r="B789" s="38"/>
      <c r="C789" s="8"/>
      <c r="D789" s="8"/>
      <c r="E789" s="8"/>
      <c r="F789" s="8"/>
      <c r="G789" s="8"/>
      <c r="H789" s="8"/>
      <c r="I789" s="8"/>
      <c r="J789" s="8"/>
      <c r="K789" s="8"/>
      <c r="L789" s="8"/>
    </row>
    <row r="790" spans="1:12" ht="12.75" customHeight="1" x14ac:dyDescent="0.2">
      <c r="A790" s="38"/>
      <c r="B790" s="38"/>
      <c r="C790" s="8"/>
      <c r="D790" s="8"/>
      <c r="E790" s="8"/>
      <c r="F790" s="8"/>
      <c r="G790" s="8"/>
      <c r="H790" s="8"/>
      <c r="I790" s="8"/>
      <c r="J790" s="8"/>
      <c r="K790" s="8"/>
      <c r="L790" s="8"/>
    </row>
    <row r="791" spans="1:12" ht="12.75" customHeight="1" x14ac:dyDescent="0.2">
      <c r="A791" s="38"/>
      <c r="B791" s="38"/>
      <c r="C791" s="8"/>
      <c r="D791" s="8"/>
      <c r="E791" s="8"/>
      <c r="F791" s="8"/>
      <c r="G791" s="8"/>
      <c r="H791" s="8"/>
      <c r="I791" s="8"/>
      <c r="J791" s="8"/>
      <c r="K791" s="8"/>
      <c r="L791" s="8"/>
    </row>
    <row r="792" spans="1:12" ht="12.75" customHeight="1" x14ac:dyDescent="0.2">
      <c r="A792" s="38"/>
      <c r="B792" s="38"/>
      <c r="C792" s="8"/>
      <c r="D792" s="8"/>
      <c r="E792" s="8"/>
      <c r="F792" s="8"/>
      <c r="G792" s="8"/>
      <c r="H792" s="8"/>
      <c r="I792" s="8"/>
      <c r="J792" s="8"/>
      <c r="K792" s="8"/>
      <c r="L792" s="8"/>
    </row>
    <row r="793" spans="1:12" ht="12.75" customHeight="1" x14ac:dyDescent="0.2">
      <c r="A793" s="38"/>
      <c r="B793" s="38"/>
      <c r="C793" s="8"/>
      <c r="D793" s="8"/>
      <c r="E793" s="8"/>
      <c r="F793" s="8"/>
      <c r="G793" s="8"/>
      <c r="H793" s="8"/>
      <c r="I793" s="8"/>
      <c r="J793" s="8"/>
      <c r="K793" s="8"/>
      <c r="L793" s="8"/>
    </row>
    <row r="794" spans="1:12" ht="12.75" customHeight="1" x14ac:dyDescent="0.2">
      <c r="A794" s="38"/>
      <c r="B794" s="38"/>
      <c r="C794" s="8"/>
      <c r="D794" s="8"/>
      <c r="E794" s="8"/>
      <c r="F794" s="8"/>
      <c r="G794" s="8"/>
      <c r="H794" s="8"/>
      <c r="I794" s="8"/>
      <c r="J794" s="8"/>
      <c r="K794" s="8"/>
      <c r="L794" s="8"/>
    </row>
    <row r="795" spans="1:12" ht="12.75" customHeight="1" x14ac:dyDescent="0.2">
      <c r="A795" s="38"/>
      <c r="B795" s="38"/>
      <c r="C795" s="8"/>
      <c r="D795" s="8"/>
      <c r="E795" s="8"/>
      <c r="F795" s="8"/>
      <c r="G795" s="8"/>
      <c r="H795" s="8"/>
      <c r="I795" s="8"/>
      <c r="J795" s="8"/>
      <c r="K795" s="8"/>
      <c r="L795" s="8"/>
    </row>
    <row r="796" spans="1:12" ht="12.75" customHeight="1" x14ac:dyDescent="0.2">
      <c r="A796" s="38"/>
      <c r="B796" s="38"/>
      <c r="C796" s="8"/>
      <c r="D796" s="8"/>
      <c r="E796" s="8"/>
      <c r="F796" s="8"/>
      <c r="G796" s="8"/>
      <c r="H796" s="8"/>
      <c r="I796" s="8"/>
      <c r="J796" s="8"/>
      <c r="K796" s="8"/>
      <c r="L796" s="8"/>
    </row>
    <row r="797" spans="1:12" ht="12.75" customHeight="1" x14ac:dyDescent="0.2">
      <c r="A797" s="38"/>
      <c r="B797" s="38"/>
      <c r="C797" s="8"/>
      <c r="D797" s="8"/>
      <c r="E797" s="8"/>
      <c r="F797" s="8"/>
      <c r="G797" s="8"/>
      <c r="H797" s="8"/>
      <c r="I797" s="8"/>
      <c r="J797" s="8"/>
      <c r="K797" s="8"/>
      <c r="L797" s="8"/>
    </row>
    <row r="798" spans="1:12" ht="12.75" customHeight="1" x14ac:dyDescent="0.2">
      <c r="A798" s="38"/>
      <c r="B798" s="38"/>
      <c r="C798" s="8"/>
      <c r="D798" s="8"/>
      <c r="E798" s="8"/>
      <c r="F798" s="8"/>
      <c r="G798" s="8"/>
      <c r="H798" s="8"/>
      <c r="I798" s="8"/>
      <c r="J798" s="8"/>
      <c r="K798" s="8"/>
      <c r="L798" s="8"/>
    </row>
    <row r="799" spans="1:12" ht="12.75" customHeight="1" x14ac:dyDescent="0.2">
      <c r="A799" s="38"/>
      <c r="B799" s="38"/>
      <c r="C799" s="8"/>
      <c r="D799" s="8"/>
      <c r="E799" s="8"/>
      <c r="F799" s="8"/>
      <c r="G799" s="8"/>
      <c r="H799" s="8"/>
      <c r="I799" s="8"/>
      <c r="J799" s="8"/>
      <c r="K799" s="8"/>
      <c r="L799" s="8"/>
    </row>
    <row r="800" spans="1:12" ht="12.75" customHeight="1" x14ac:dyDescent="0.2">
      <c r="A800" s="38"/>
      <c r="B800" s="38"/>
      <c r="C800" s="8"/>
      <c r="D800" s="8"/>
      <c r="E800" s="8"/>
      <c r="F800" s="8"/>
      <c r="G800" s="8"/>
      <c r="H800" s="8"/>
      <c r="I800" s="8"/>
      <c r="J800" s="8"/>
      <c r="K800" s="8"/>
      <c r="L800" s="8"/>
    </row>
    <row r="801" spans="1:12" ht="12.75" customHeight="1" x14ac:dyDescent="0.2">
      <c r="A801" s="38"/>
      <c r="B801" s="38"/>
      <c r="C801" s="8"/>
      <c r="D801" s="8"/>
      <c r="E801" s="8"/>
      <c r="F801" s="8"/>
      <c r="G801" s="8"/>
      <c r="H801" s="8"/>
      <c r="I801" s="8"/>
      <c r="J801" s="8"/>
      <c r="K801" s="8"/>
      <c r="L801" s="8"/>
    </row>
    <row r="802" spans="1:12" ht="12.75" customHeight="1" x14ac:dyDescent="0.2">
      <c r="A802" s="38"/>
      <c r="B802" s="38"/>
      <c r="C802" s="8"/>
      <c r="D802" s="8"/>
      <c r="E802" s="8"/>
      <c r="F802" s="8"/>
      <c r="G802" s="8"/>
      <c r="H802" s="8"/>
      <c r="I802" s="8"/>
      <c r="J802" s="8"/>
      <c r="K802" s="8"/>
      <c r="L802" s="8"/>
    </row>
    <row r="803" spans="1:12" ht="12.75" customHeight="1" x14ac:dyDescent="0.2">
      <c r="A803" s="38"/>
      <c r="B803" s="38"/>
      <c r="C803" s="8"/>
      <c r="D803" s="8"/>
      <c r="E803" s="8"/>
      <c r="F803" s="8"/>
      <c r="G803" s="8"/>
      <c r="H803" s="8"/>
      <c r="I803" s="8"/>
      <c r="J803" s="8"/>
      <c r="K803" s="8"/>
      <c r="L803" s="8"/>
    </row>
    <row r="804" spans="1:12" ht="12.75" customHeight="1" x14ac:dyDescent="0.2">
      <c r="A804" s="38"/>
      <c r="B804" s="38"/>
      <c r="C804" s="8"/>
      <c r="D804" s="8"/>
      <c r="E804" s="8"/>
      <c r="F804" s="8"/>
      <c r="G804" s="8"/>
      <c r="H804" s="8"/>
      <c r="I804" s="8"/>
      <c r="J804" s="8"/>
      <c r="K804" s="8"/>
      <c r="L804" s="8"/>
    </row>
    <row r="805" spans="1:12" ht="12.75" customHeight="1" x14ac:dyDescent="0.2">
      <c r="A805" s="38"/>
      <c r="B805" s="38"/>
      <c r="C805" s="8"/>
      <c r="D805" s="8"/>
      <c r="E805" s="8"/>
      <c r="F805" s="8"/>
      <c r="G805" s="8"/>
      <c r="H805" s="8"/>
      <c r="I805" s="8"/>
      <c r="J805" s="8"/>
      <c r="K805" s="8"/>
      <c r="L805" s="8"/>
    </row>
    <row r="806" spans="1:12" ht="12.75" customHeight="1" x14ac:dyDescent="0.2">
      <c r="A806" s="38"/>
      <c r="B806" s="38"/>
      <c r="C806" s="8"/>
      <c r="D806" s="8"/>
      <c r="E806" s="8"/>
      <c r="F806" s="8"/>
      <c r="G806" s="8"/>
      <c r="H806" s="8"/>
      <c r="I806" s="8"/>
      <c r="J806" s="8"/>
      <c r="K806" s="8"/>
      <c r="L806" s="8"/>
    </row>
    <row r="807" spans="1:12" ht="12.75" customHeight="1" x14ac:dyDescent="0.2">
      <c r="A807" s="38"/>
      <c r="B807" s="38"/>
      <c r="C807" s="8"/>
      <c r="D807" s="8"/>
      <c r="E807" s="8"/>
      <c r="F807" s="8"/>
      <c r="G807" s="8"/>
      <c r="H807" s="8"/>
      <c r="I807" s="8"/>
      <c r="J807" s="8"/>
      <c r="K807" s="8"/>
      <c r="L807" s="8"/>
    </row>
    <row r="808" spans="1:12" ht="12.75" customHeight="1" x14ac:dyDescent="0.2">
      <c r="A808" s="38"/>
      <c r="B808" s="38"/>
      <c r="C808" s="8"/>
      <c r="D808" s="8"/>
      <c r="E808" s="8"/>
      <c r="F808" s="8"/>
      <c r="G808" s="8"/>
      <c r="H808" s="8"/>
      <c r="I808" s="8"/>
      <c r="J808" s="8"/>
      <c r="K808" s="8"/>
      <c r="L808" s="8"/>
    </row>
    <row r="809" spans="1:12" ht="12.75" customHeight="1" x14ac:dyDescent="0.2">
      <c r="A809" s="38"/>
      <c r="B809" s="38"/>
      <c r="C809" s="8"/>
      <c r="D809" s="8"/>
      <c r="E809" s="8"/>
      <c r="F809" s="8"/>
      <c r="G809" s="8"/>
      <c r="H809" s="8"/>
      <c r="I809" s="8"/>
      <c r="J809" s="8"/>
      <c r="K809" s="8"/>
      <c r="L809" s="8"/>
    </row>
    <row r="810" spans="1:12" ht="12.75" customHeight="1" x14ac:dyDescent="0.2">
      <c r="A810" s="38"/>
      <c r="B810" s="38"/>
      <c r="C810" s="8"/>
      <c r="D810" s="8"/>
      <c r="E810" s="8"/>
      <c r="F810" s="8"/>
      <c r="G810" s="8"/>
      <c r="H810" s="8"/>
      <c r="I810" s="8"/>
      <c r="J810" s="8"/>
      <c r="K810" s="8"/>
      <c r="L810" s="8"/>
    </row>
    <row r="811" spans="1:12" ht="12.75" customHeight="1" x14ac:dyDescent="0.2">
      <c r="A811" s="38"/>
      <c r="B811" s="38"/>
      <c r="C811" s="8"/>
      <c r="D811" s="8"/>
      <c r="E811" s="8"/>
      <c r="F811" s="8"/>
      <c r="G811" s="8"/>
      <c r="H811" s="8"/>
      <c r="I811" s="8"/>
      <c r="J811" s="8"/>
      <c r="K811" s="8"/>
      <c r="L811" s="8"/>
    </row>
    <row r="812" spans="1:12" ht="12.75" customHeight="1" x14ac:dyDescent="0.2">
      <c r="A812" s="38"/>
      <c r="B812" s="38"/>
      <c r="C812" s="8"/>
      <c r="D812" s="8"/>
      <c r="E812" s="8"/>
      <c r="F812" s="8"/>
      <c r="G812" s="8"/>
      <c r="H812" s="8"/>
      <c r="I812" s="8"/>
      <c r="J812" s="8"/>
      <c r="K812" s="8"/>
      <c r="L812" s="8"/>
    </row>
    <row r="813" spans="1:12" ht="15" customHeight="1" x14ac:dyDescent="0.2">
      <c r="A813" s="38"/>
      <c r="B813" s="38"/>
      <c r="C813" s="8"/>
      <c r="D813" s="8"/>
      <c r="E813" s="8"/>
      <c r="F813" s="8"/>
      <c r="G813" s="8"/>
      <c r="H813" s="8"/>
      <c r="I813" s="8"/>
      <c r="J813" s="8"/>
      <c r="K813" s="8"/>
      <c r="L813" s="8"/>
    </row>
    <row r="814" spans="1:12" ht="15" customHeight="1" x14ac:dyDescent="0.2">
      <c r="A814" s="38"/>
      <c r="B814" s="38"/>
      <c r="C814" s="8"/>
      <c r="D814" s="8"/>
      <c r="E814" s="8"/>
      <c r="F814" s="8"/>
      <c r="G814" s="8"/>
      <c r="H814" s="8"/>
      <c r="I814" s="8"/>
      <c r="J814" s="8"/>
      <c r="K814" s="8"/>
      <c r="L814" s="8"/>
    </row>
    <row r="815" spans="1:12" ht="15" customHeight="1" x14ac:dyDescent="0.2">
      <c r="A815" s="38"/>
      <c r="B815" s="38"/>
      <c r="C815" s="8"/>
      <c r="D815" s="8"/>
      <c r="E815" s="8"/>
      <c r="F815" s="8"/>
      <c r="G815" s="8"/>
      <c r="H815" s="8"/>
      <c r="I815" s="8"/>
      <c r="J815" s="8"/>
      <c r="K815" s="8"/>
      <c r="L815" s="8"/>
    </row>
    <row r="816" spans="1:12" ht="15" customHeight="1" x14ac:dyDescent="0.2">
      <c r="A816" s="38"/>
      <c r="B816" s="38"/>
      <c r="C816" s="8"/>
      <c r="D816" s="8"/>
      <c r="E816" s="8"/>
      <c r="F816" s="8"/>
      <c r="G816" s="8"/>
      <c r="H816" s="8"/>
      <c r="I816" s="8"/>
      <c r="J816" s="8"/>
      <c r="K816" s="8"/>
      <c r="L816" s="8"/>
    </row>
    <row r="817" spans="1:12" ht="15" customHeight="1" x14ac:dyDescent="0.2">
      <c r="A817" s="38"/>
      <c r="B817" s="38"/>
      <c r="C817" s="8"/>
      <c r="D817" s="8"/>
      <c r="E817" s="8"/>
      <c r="F817" s="8"/>
      <c r="G817" s="8"/>
      <c r="H817" s="8"/>
      <c r="I817" s="8"/>
      <c r="J817" s="8"/>
      <c r="K817" s="8"/>
      <c r="L817" s="8"/>
    </row>
    <row r="818" spans="1:12" ht="15" customHeight="1" x14ac:dyDescent="0.2">
      <c r="A818" s="38"/>
      <c r="B818" s="38"/>
      <c r="C818" s="8"/>
      <c r="D818" s="8"/>
      <c r="E818" s="8"/>
      <c r="F818" s="8"/>
      <c r="G818" s="8"/>
      <c r="H818" s="8"/>
      <c r="I818" s="8"/>
      <c r="J818" s="8"/>
      <c r="K818" s="8"/>
      <c r="L818" s="8"/>
    </row>
    <row r="819" spans="1:12" ht="15" customHeight="1" x14ac:dyDescent="0.2">
      <c r="A819" s="38"/>
      <c r="B819" s="38"/>
      <c r="C819" s="8"/>
      <c r="D819" s="8"/>
      <c r="E819" s="8"/>
      <c r="F819" s="8"/>
      <c r="G819" s="8"/>
      <c r="H819" s="8"/>
      <c r="I819" s="8"/>
      <c r="J819" s="8"/>
      <c r="K819" s="8"/>
      <c r="L819" s="8"/>
    </row>
    <row r="820" spans="1:12" ht="15" customHeight="1" x14ac:dyDescent="0.2">
      <c r="A820" s="38"/>
      <c r="B820" s="38"/>
      <c r="C820" s="8"/>
      <c r="D820" s="8"/>
      <c r="E820" s="8"/>
      <c r="F820" s="8"/>
      <c r="G820" s="8"/>
      <c r="H820" s="8"/>
      <c r="I820" s="8"/>
      <c r="J820" s="8"/>
      <c r="K820" s="8"/>
      <c r="L820" s="8"/>
    </row>
    <row r="821" spans="1:12" ht="15" customHeight="1" x14ac:dyDescent="0.2">
      <c r="A821" s="38"/>
      <c r="B821" s="38"/>
      <c r="C821" s="8"/>
      <c r="D821" s="8"/>
      <c r="E821" s="8"/>
      <c r="F821" s="8"/>
      <c r="G821" s="8"/>
      <c r="H821" s="8"/>
      <c r="I821" s="8"/>
      <c r="J821" s="8"/>
      <c r="K821" s="8"/>
      <c r="L821" s="8"/>
    </row>
    <row r="822" spans="1:12" ht="15" customHeight="1" x14ac:dyDescent="0.2">
      <c r="A822" s="38"/>
      <c r="B822" s="38"/>
      <c r="C822" s="8"/>
      <c r="D822" s="8"/>
      <c r="E822" s="8"/>
      <c r="F822" s="8"/>
      <c r="G822" s="8"/>
      <c r="H822" s="8"/>
      <c r="I822" s="8"/>
      <c r="J822" s="8"/>
      <c r="K822" s="8"/>
      <c r="L822" s="8"/>
    </row>
    <row r="823" spans="1:12" ht="15" customHeight="1" x14ac:dyDescent="0.2">
      <c r="A823" s="38"/>
      <c r="B823" s="38"/>
      <c r="C823" s="8"/>
      <c r="D823" s="8"/>
      <c r="E823" s="8"/>
      <c r="F823" s="8"/>
      <c r="G823" s="8"/>
      <c r="H823" s="8"/>
      <c r="I823" s="8"/>
      <c r="J823" s="8"/>
      <c r="K823" s="8"/>
      <c r="L823" s="8"/>
    </row>
    <row r="824" spans="1:12" ht="15" customHeight="1" x14ac:dyDescent="0.2">
      <c r="A824" s="38"/>
      <c r="B824" s="38"/>
      <c r="C824" s="8"/>
      <c r="D824" s="8"/>
      <c r="E824" s="8"/>
      <c r="F824" s="8"/>
      <c r="G824" s="8"/>
      <c r="H824" s="8"/>
      <c r="I824" s="8"/>
      <c r="J824" s="8"/>
      <c r="K824" s="8"/>
      <c r="L824" s="8"/>
    </row>
    <row r="825" spans="1:12" ht="15" customHeight="1" x14ac:dyDescent="0.2">
      <c r="A825" s="38"/>
      <c r="B825" s="38"/>
      <c r="C825" s="8"/>
      <c r="D825" s="8"/>
      <c r="E825" s="8"/>
      <c r="F825" s="8"/>
      <c r="G825" s="8"/>
      <c r="H825" s="8"/>
      <c r="I825" s="8"/>
      <c r="J825" s="8"/>
      <c r="K825" s="8"/>
      <c r="L825" s="8"/>
    </row>
    <row r="826" spans="1:12" ht="15" customHeight="1" x14ac:dyDescent="0.2">
      <c r="A826" s="38"/>
      <c r="B826" s="38"/>
      <c r="C826" s="8"/>
      <c r="D826" s="8"/>
      <c r="E826" s="8"/>
      <c r="F826" s="8"/>
      <c r="G826" s="8"/>
      <c r="H826" s="8"/>
      <c r="I826" s="8"/>
      <c r="J826" s="8"/>
      <c r="K826" s="8"/>
      <c r="L826" s="8"/>
    </row>
    <row r="827" spans="1:12" ht="15" customHeight="1" x14ac:dyDescent="0.2">
      <c r="A827" s="38"/>
      <c r="B827" s="38"/>
      <c r="C827" s="8"/>
      <c r="D827" s="8"/>
      <c r="E827" s="8"/>
      <c r="F827" s="8"/>
      <c r="G827" s="8"/>
      <c r="H827" s="8"/>
      <c r="I827" s="8"/>
      <c r="J827" s="8"/>
      <c r="K827" s="8"/>
      <c r="L827" s="8"/>
    </row>
    <row r="828" spans="1:12" ht="15" customHeight="1" x14ac:dyDescent="0.2">
      <c r="A828" s="38"/>
      <c r="B828" s="38"/>
      <c r="C828" s="8"/>
      <c r="D828" s="8"/>
      <c r="E828" s="8"/>
      <c r="F828" s="8"/>
      <c r="G828" s="8"/>
      <c r="H828" s="8"/>
      <c r="I828" s="8"/>
      <c r="J828" s="8"/>
      <c r="K828" s="8"/>
      <c r="L828" s="8"/>
    </row>
    <row r="829" spans="1:12" ht="15" customHeight="1" x14ac:dyDescent="0.2">
      <c r="A829" s="38"/>
      <c r="B829" s="38"/>
      <c r="C829" s="8"/>
      <c r="D829" s="8"/>
      <c r="E829" s="8"/>
      <c r="F829" s="8"/>
      <c r="G829" s="8"/>
      <c r="H829" s="8"/>
      <c r="I829" s="8"/>
      <c r="J829" s="8"/>
      <c r="K829" s="8"/>
      <c r="L829" s="8"/>
    </row>
    <row r="830" spans="1:12" ht="15" customHeight="1" x14ac:dyDescent="0.2">
      <c r="A830" s="38"/>
      <c r="B830" s="38"/>
      <c r="C830" s="8"/>
      <c r="D830" s="8"/>
      <c r="E830" s="8"/>
      <c r="F830" s="8"/>
      <c r="G830" s="8"/>
      <c r="H830" s="8"/>
      <c r="I830" s="8"/>
      <c r="J830" s="8"/>
      <c r="K830" s="8"/>
      <c r="L830" s="8"/>
    </row>
    <row r="831" spans="1:12" ht="15" customHeight="1" x14ac:dyDescent="0.2">
      <c r="A831" s="38"/>
      <c r="B831" s="38"/>
      <c r="C831" s="8"/>
      <c r="D831" s="8"/>
      <c r="E831" s="8"/>
      <c r="F831" s="8"/>
      <c r="G831" s="8"/>
      <c r="H831" s="8"/>
      <c r="I831" s="8"/>
      <c r="J831" s="8"/>
      <c r="K831" s="8"/>
      <c r="L831" s="8"/>
    </row>
    <row r="832" spans="1:12" ht="15" customHeight="1" x14ac:dyDescent="0.2">
      <c r="A832" s="38"/>
      <c r="B832" s="38"/>
      <c r="C832" s="8"/>
      <c r="D832" s="8"/>
      <c r="E832" s="8"/>
      <c r="F832" s="8"/>
      <c r="G832" s="8"/>
      <c r="H832" s="8"/>
      <c r="I832" s="8"/>
      <c r="J832" s="8"/>
      <c r="K832" s="8"/>
      <c r="L832" s="8"/>
    </row>
    <row r="833" spans="1:12" ht="15" customHeight="1" x14ac:dyDescent="0.2">
      <c r="A833" s="38"/>
      <c r="B833" s="38"/>
      <c r="C833" s="8"/>
      <c r="D833" s="8"/>
      <c r="E833" s="8"/>
      <c r="F833" s="8"/>
      <c r="G833" s="8"/>
      <c r="H833" s="8"/>
      <c r="I833" s="8"/>
      <c r="J833" s="8"/>
      <c r="K833" s="8"/>
      <c r="L833" s="8"/>
    </row>
    <row r="834" spans="1:12" ht="15" customHeight="1" x14ac:dyDescent="0.2">
      <c r="A834" s="38"/>
      <c r="B834" s="38"/>
      <c r="C834" s="8"/>
      <c r="D834" s="8"/>
      <c r="E834" s="8"/>
      <c r="F834" s="8"/>
      <c r="G834" s="8"/>
      <c r="H834" s="8"/>
      <c r="I834" s="8"/>
      <c r="J834" s="8"/>
      <c r="K834" s="8"/>
      <c r="L834" s="8"/>
    </row>
    <row r="835" spans="1:12" ht="15" customHeight="1" x14ac:dyDescent="0.2">
      <c r="A835" s="38"/>
      <c r="B835" s="38"/>
      <c r="C835" s="8"/>
      <c r="D835" s="8"/>
      <c r="E835" s="8"/>
      <c r="F835" s="8"/>
      <c r="G835" s="8"/>
      <c r="H835" s="8"/>
      <c r="I835" s="8"/>
      <c r="J835" s="8"/>
      <c r="K835" s="8"/>
      <c r="L835" s="8"/>
    </row>
    <row r="836" spans="1:12" ht="15" customHeight="1" x14ac:dyDescent="0.2">
      <c r="A836" s="38"/>
      <c r="B836" s="38"/>
      <c r="C836" s="8"/>
      <c r="D836" s="8"/>
      <c r="E836" s="8"/>
      <c r="F836" s="8"/>
      <c r="G836" s="8"/>
      <c r="H836" s="8"/>
      <c r="I836" s="8"/>
      <c r="J836" s="8"/>
      <c r="K836" s="8"/>
      <c r="L836" s="8"/>
    </row>
    <row r="837" spans="1:12" ht="15" customHeight="1" x14ac:dyDescent="0.2">
      <c r="A837" s="38"/>
      <c r="B837" s="38"/>
      <c r="C837" s="8"/>
      <c r="D837" s="8"/>
      <c r="E837" s="8"/>
      <c r="F837" s="8"/>
      <c r="G837" s="8"/>
      <c r="H837" s="8"/>
      <c r="I837" s="8"/>
      <c r="J837" s="8"/>
      <c r="K837" s="8"/>
      <c r="L837" s="8"/>
    </row>
    <row r="838" spans="1:12" ht="15" customHeight="1" x14ac:dyDescent="0.2">
      <c r="A838" s="38"/>
      <c r="B838" s="38"/>
      <c r="C838" s="8"/>
      <c r="D838" s="8"/>
      <c r="E838" s="8"/>
      <c r="F838" s="8"/>
      <c r="G838" s="8"/>
      <c r="H838" s="8"/>
      <c r="I838" s="8"/>
      <c r="J838" s="8"/>
      <c r="K838" s="8"/>
      <c r="L838" s="8"/>
    </row>
    <row r="839" spans="1:12" ht="15" customHeight="1" x14ac:dyDescent="0.2">
      <c r="A839" s="38"/>
      <c r="B839" s="38"/>
      <c r="C839" s="8"/>
      <c r="D839" s="8"/>
      <c r="E839" s="8"/>
      <c r="F839" s="8"/>
      <c r="G839" s="8"/>
      <c r="H839" s="8"/>
      <c r="I839" s="8"/>
      <c r="J839" s="8"/>
      <c r="K839" s="8"/>
      <c r="L839" s="8"/>
    </row>
    <row r="840" spans="1:12" ht="15" customHeight="1" x14ac:dyDescent="0.2">
      <c r="A840" s="38"/>
      <c r="B840" s="38"/>
      <c r="C840" s="8"/>
      <c r="D840" s="8"/>
      <c r="E840" s="8"/>
      <c r="F840" s="8"/>
      <c r="G840" s="8"/>
      <c r="H840" s="8"/>
      <c r="I840" s="8"/>
      <c r="J840" s="8"/>
      <c r="K840" s="8"/>
      <c r="L840" s="8"/>
    </row>
    <row r="841" spans="1:12" ht="15" customHeight="1" x14ac:dyDescent="0.2">
      <c r="A841" s="38"/>
      <c r="B841" s="38"/>
      <c r="C841" s="8"/>
      <c r="D841" s="8"/>
      <c r="E841" s="8"/>
      <c r="F841" s="8"/>
      <c r="G841" s="8"/>
      <c r="H841" s="8"/>
      <c r="I841" s="8"/>
      <c r="J841" s="8"/>
      <c r="K841" s="8"/>
      <c r="L841" s="8"/>
    </row>
    <row r="842" spans="1:12" ht="15" customHeight="1" x14ac:dyDescent="0.2">
      <c r="A842" s="38"/>
      <c r="B842" s="38"/>
      <c r="C842" s="8"/>
      <c r="D842" s="8"/>
      <c r="E842" s="8"/>
      <c r="F842" s="8"/>
      <c r="G842" s="8"/>
      <c r="H842" s="8"/>
      <c r="I842" s="8"/>
      <c r="J842" s="8"/>
      <c r="K842" s="8"/>
      <c r="L842" s="8"/>
    </row>
    <row r="843" spans="1:12" ht="15" customHeight="1" x14ac:dyDescent="0.2">
      <c r="A843" s="38"/>
      <c r="B843" s="38"/>
      <c r="C843" s="8"/>
      <c r="D843" s="8"/>
      <c r="E843" s="8"/>
      <c r="F843" s="8"/>
      <c r="G843" s="8"/>
      <c r="H843" s="8"/>
      <c r="I843" s="8"/>
      <c r="J843" s="8"/>
      <c r="K843" s="8"/>
      <c r="L843" s="8"/>
    </row>
    <row r="844" spans="1:12" ht="15" customHeight="1" x14ac:dyDescent="0.2">
      <c r="A844" s="38"/>
      <c r="B844" s="38"/>
      <c r="C844" s="8"/>
      <c r="D844" s="8"/>
      <c r="E844" s="8"/>
      <c r="F844" s="8"/>
      <c r="G844" s="8"/>
      <c r="H844" s="8"/>
      <c r="I844" s="8"/>
      <c r="J844" s="8"/>
      <c r="K844" s="8"/>
      <c r="L844" s="8"/>
    </row>
    <row r="845" spans="1:12" ht="15" customHeight="1" x14ac:dyDescent="0.2">
      <c r="A845" s="38"/>
      <c r="B845" s="38"/>
      <c r="C845" s="8"/>
      <c r="D845" s="8"/>
      <c r="E845" s="8"/>
      <c r="F845" s="8"/>
      <c r="G845" s="8"/>
      <c r="H845" s="8"/>
      <c r="I845" s="8"/>
      <c r="J845" s="8"/>
      <c r="K845" s="8"/>
      <c r="L845" s="8"/>
    </row>
    <row r="846" spans="1:12" ht="15" customHeight="1" x14ac:dyDescent="0.2">
      <c r="A846" s="38"/>
      <c r="B846" s="38"/>
      <c r="C846" s="8"/>
      <c r="D846" s="8"/>
      <c r="E846" s="8"/>
      <c r="F846" s="8"/>
      <c r="G846" s="8"/>
      <c r="H846" s="8"/>
      <c r="I846" s="8"/>
      <c r="J846" s="8"/>
      <c r="K846" s="8"/>
      <c r="L846" s="8"/>
    </row>
    <row r="847" spans="1:12" ht="15" customHeight="1" x14ac:dyDescent="0.2">
      <c r="A847" s="38"/>
      <c r="B847" s="38"/>
      <c r="C847" s="8"/>
      <c r="D847" s="8"/>
      <c r="E847" s="8"/>
      <c r="F847" s="8"/>
      <c r="G847" s="8"/>
      <c r="H847" s="8"/>
      <c r="I847" s="8"/>
      <c r="J847" s="8"/>
      <c r="K847" s="8"/>
      <c r="L847" s="8"/>
    </row>
    <row r="848" spans="1:12" ht="15" customHeight="1" x14ac:dyDescent="0.2">
      <c r="A848" s="38"/>
      <c r="B848" s="38"/>
      <c r="C848" s="8"/>
      <c r="D848" s="8"/>
      <c r="E848" s="8"/>
      <c r="F848" s="8"/>
      <c r="G848" s="8"/>
      <c r="H848" s="8"/>
      <c r="I848" s="8"/>
      <c r="J848" s="8"/>
      <c r="K848" s="8"/>
      <c r="L848" s="8"/>
    </row>
    <row r="849" spans="1:12" ht="15" customHeight="1" x14ac:dyDescent="0.2">
      <c r="A849" s="38"/>
      <c r="B849" s="38"/>
      <c r="C849" s="8"/>
      <c r="D849" s="8"/>
      <c r="E849" s="8"/>
      <c r="F849" s="8"/>
      <c r="G849" s="8"/>
      <c r="H849" s="8"/>
      <c r="I849" s="8"/>
      <c r="J849" s="8"/>
      <c r="K849" s="8"/>
      <c r="L849" s="8"/>
    </row>
    <row r="850" spans="1:12" ht="15" customHeight="1" x14ac:dyDescent="0.2">
      <c r="A850" s="38"/>
      <c r="B850" s="38"/>
      <c r="C850" s="8"/>
      <c r="D850" s="8"/>
      <c r="E850" s="8"/>
      <c r="F850" s="8"/>
      <c r="G850" s="8"/>
      <c r="H850" s="8"/>
      <c r="I850" s="8"/>
      <c r="J850" s="8"/>
      <c r="K850" s="8"/>
      <c r="L850" s="8"/>
    </row>
    <row r="851" spans="1:12" ht="15" customHeight="1" x14ac:dyDescent="0.2">
      <c r="A851" s="38"/>
      <c r="B851" s="38"/>
      <c r="C851" s="8"/>
      <c r="D851" s="8"/>
      <c r="E851" s="8"/>
      <c r="F851" s="8"/>
      <c r="G851" s="8"/>
      <c r="H851" s="8"/>
      <c r="I851" s="8"/>
      <c r="J851" s="8"/>
      <c r="K851" s="8"/>
      <c r="L851" s="8"/>
    </row>
    <row r="852" spans="1:12" ht="15" customHeight="1" x14ac:dyDescent="0.2">
      <c r="A852" s="38"/>
      <c r="B852" s="38"/>
      <c r="C852" s="8"/>
      <c r="D852" s="8"/>
      <c r="E852" s="8"/>
      <c r="F852" s="8"/>
      <c r="G852" s="8"/>
      <c r="H852" s="8"/>
      <c r="I852" s="8"/>
      <c r="J852" s="8"/>
      <c r="K852" s="8"/>
      <c r="L852" s="8"/>
    </row>
    <row r="853" spans="1:12" ht="15" customHeight="1" x14ac:dyDescent="0.2">
      <c r="A853" s="38"/>
      <c r="B853" s="38"/>
      <c r="C853" s="8"/>
      <c r="D853" s="8"/>
      <c r="E853" s="8"/>
      <c r="F853" s="8"/>
      <c r="G853" s="8"/>
      <c r="H853" s="8"/>
      <c r="I853" s="8"/>
      <c r="J853" s="8"/>
      <c r="K853" s="8"/>
      <c r="L853" s="8"/>
    </row>
    <row r="854" spans="1:12" ht="15" customHeight="1" x14ac:dyDescent="0.2">
      <c r="A854" s="38"/>
      <c r="B854" s="38"/>
      <c r="C854" s="8"/>
      <c r="D854" s="8"/>
      <c r="E854" s="8"/>
      <c r="F854" s="8"/>
      <c r="G854" s="8"/>
      <c r="H854" s="8"/>
      <c r="I854" s="8"/>
      <c r="J854" s="8"/>
      <c r="K854" s="8"/>
      <c r="L854" s="8"/>
    </row>
    <row r="855" spans="1:12" ht="15" customHeight="1" x14ac:dyDescent="0.2">
      <c r="A855" s="38"/>
      <c r="B855" s="38"/>
      <c r="C855" s="8"/>
      <c r="D855" s="8"/>
      <c r="E855" s="8"/>
      <c r="F855" s="8"/>
      <c r="G855" s="8"/>
      <c r="H855" s="8"/>
      <c r="I855" s="8"/>
      <c r="J855" s="8"/>
      <c r="K855" s="8"/>
      <c r="L855" s="8"/>
    </row>
    <row r="856" spans="1:12" ht="15" customHeight="1" x14ac:dyDescent="0.2">
      <c r="A856" s="38"/>
      <c r="B856" s="38"/>
      <c r="C856" s="8"/>
      <c r="D856" s="8"/>
      <c r="E856" s="8"/>
      <c r="F856" s="8"/>
      <c r="G856" s="8"/>
      <c r="H856" s="8"/>
      <c r="I856" s="8"/>
      <c r="J856" s="8"/>
      <c r="K856" s="8"/>
      <c r="L856" s="8"/>
    </row>
    <row r="857" spans="1:12" ht="15" customHeight="1" x14ac:dyDescent="0.2">
      <c r="A857" s="38"/>
      <c r="B857" s="38"/>
      <c r="C857" s="8"/>
      <c r="D857" s="8"/>
      <c r="E857" s="8"/>
      <c r="F857" s="8"/>
      <c r="G857" s="8"/>
      <c r="H857" s="8"/>
      <c r="I857" s="8"/>
      <c r="J857" s="8"/>
      <c r="K857" s="8"/>
      <c r="L857" s="8"/>
    </row>
    <row r="858" spans="1:12" ht="15" customHeight="1" x14ac:dyDescent="0.2">
      <c r="A858" s="38"/>
      <c r="B858" s="38"/>
      <c r="C858" s="8"/>
      <c r="D858" s="8"/>
      <c r="E858" s="8"/>
      <c r="F858" s="8"/>
      <c r="G858" s="8"/>
      <c r="H858" s="8"/>
      <c r="I858" s="8"/>
      <c r="J858" s="8"/>
      <c r="K858" s="8"/>
      <c r="L858" s="8"/>
    </row>
    <row r="859" spans="1:12" ht="15" customHeight="1" x14ac:dyDescent="0.2">
      <c r="A859" s="38"/>
      <c r="B859" s="38"/>
      <c r="C859" s="8"/>
      <c r="D859" s="8"/>
      <c r="E859" s="8"/>
      <c r="F859" s="8"/>
      <c r="G859" s="8"/>
      <c r="H859" s="8"/>
      <c r="I859" s="8"/>
      <c r="J859" s="8"/>
      <c r="K859" s="8"/>
      <c r="L859" s="8"/>
    </row>
    <row r="860" spans="1:12" ht="15" customHeight="1" x14ac:dyDescent="0.2">
      <c r="A860" s="38"/>
      <c r="B860" s="38"/>
      <c r="C860" s="8"/>
      <c r="D860" s="8"/>
      <c r="E860" s="8"/>
      <c r="F860" s="8"/>
      <c r="G860" s="8"/>
      <c r="H860" s="8"/>
      <c r="I860" s="8"/>
      <c r="J860" s="8"/>
      <c r="K860" s="8"/>
      <c r="L860" s="8"/>
    </row>
    <row r="861" spans="1:12" ht="15" customHeight="1" x14ac:dyDescent="0.2">
      <c r="A861" s="38"/>
      <c r="B861" s="38"/>
      <c r="C861" s="8"/>
      <c r="D861" s="8"/>
      <c r="E861" s="8"/>
      <c r="F861" s="8"/>
      <c r="G861" s="8"/>
      <c r="H861" s="8"/>
      <c r="I861" s="8"/>
      <c r="J861" s="8"/>
      <c r="K861" s="8"/>
      <c r="L861" s="8"/>
    </row>
    <row r="862" spans="1:12" ht="15" customHeight="1" x14ac:dyDescent="0.2">
      <c r="A862" s="38"/>
      <c r="B862" s="38"/>
      <c r="C862" s="8"/>
      <c r="D862" s="8"/>
      <c r="E862" s="8"/>
      <c r="F862" s="8"/>
      <c r="G862" s="8"/>
      <c r="H862" s="8"/>
      <c r="I862" s="8"/>
      <c r="J862" s="8"/>
      <c r="K862" s="8"/>
      <c r="L862" s="8"/>
    </row>
    <row r="863" spans="1:12" ht="15" customHeight="1" x14ac:dyDescent="0.2">
      <c r="A863" s="38"/>
      <c r="B863" s="38"/>
      <c r="C863" s="8"/>
      <c r="D863" s="8"/>
      <c r="E863" s="8"/>
      <c r="F863" s="8"/>
      <c r="G863" s="8"/>
      <c r="H863" s="8"/>
      <c r="I863" s="8"/>
      <c r="J863" s="8"/>
      <c r="K863" s="8"/>
      <c r="L863" s="8"/>
    </row>
    <row r="864" spans="1:12" ht="15" customHeight="1" x14ac:dyDescent="0.2">
      <c r="A864" s="38"/>
      <c r="B864" s="38"/>
      <c r="C864" s="8"/>
      <c r="D864" s="8"/>
      <c r="E864" s="8"/>
      <c r="F864" s="8"/>
      <c r="G864" s="8"/>
      <c r="H864" s="8"/>
      <c r="I864" s="8"/>
      <c r="J864" s="8"/>
      <c r="K864" s="8"/>
      <c r="L864" s="8"/>
    </row>
    <row r="865" spans="1:12" ht="15" customHeight="1" x14ac:dyDescent="0.2">
      <c r="A865" s="38"/>
      <c r="B865" s="38"/>
      <c r="C865" s="8"/>
      <c r="D865" s="8"/>
      <c r="E865" s="8"/>
      <c r="F865" s="8"/>
      <c r="G865" s="8"/>
      <c r="H865" s="8"/>
      <c r="I865" s="8"/>
      <c r="J865" s="8"/>
      <c r="K865" s="8"/>
      <c r="L865" s="8"/>
    </row>
    <row r="866" spans="1:12" ht="15" customHeight="1" x14ac:dyDescent="0.2">
      <c r="A866" s="38"/>
      <c r="B866" s="38"/>
      <c r="C866" s="8"/>
      <c r="D866" s="8"/>
      <c r="E866" s="8"/>
      <c r="F866" s="8"/>
      <c r="G866" s="8"/>
      <c r="H866" s="8"/>
      <c r="I866" s="8"/>
      <c r="J866" s="8"/>
      <c r="K866" s="8"/>
      <c r="L866" s="8"/>
    </row>
    <row r="867" spans="1:12" ht="15" customHeight="1" x14ac:dyDescent="0.2">
      <c r="A867" s="38"/>
      <c r="B867" s="38"/>
      <c r="C867" s="8"/>
      <c r="D867" s="8"/>
      <c r="E867" s="8"/>
      <c r="F867" s="8"/>
      <c r="G867" s="8"/>
      <c r="H867" s="8"/>
      <c r="I867" s="8"/>
      <c r="J867" s="8"/>
      <c r="K867" s="8"/>
      <c r="L867" s="8"/>
    </row>
    <row r="868" spans="1:12" ht="15" customHeight="1" x14ac:dyDescent="0.2">
      <c r="A868" s="38"/>
      <c r="B868" s="38"/>
      <c r="C868" s="8"/>
      <c r="D868" s="8"/>
      <c r="E868" s="8"/>
      <c r="F868" s="8"/>
      <c r="G868" s="8"/>
      <c r="H868" s="8"/>
      <c r="I868" s="8"/>
      <c r="J868" s="8"/>
      <c r="K868" s="8"/>
      <c r="L868" s="8"/>
    </row>
    <row r="869" spans="1:12" ht="15" customHeight="1" x14ac:dyDescent="0.2">
      <c r="A869" s="38"/>
      <c r="B869" s="38"/>
      <c r="C869" s="8"/>
      <c r="D869" s="8"/>
      <c r="E869" s="8"/>
      <c r="F869" s="8"/>
      <c r="G869" s="8"/>
      <c r="H869" s="8"/>
      <c r="I869" s="8"/>
      <c r="J869" s="8"/>
      <c r="K869" s="8"/>
      <c r="L869" s="8"/>
    </row>
    <row r="870" spans="1:12" ht="15" customHeight="1" x14ac:dyDescent="0.2">
      <c r="A870" s="38"/>
      <c r="B870" s="38"/>
      <c r="C870" s="8"/>
      <c r="D870" s="8"/>
      <c r="E870" s="8"/>
      <c r="F870" s="8"/>
      <c r="G870" s="8"/>
      <c r="H870" s="8"/>
      <c r="I870" s="8"/>
      <c r="J870" s="8"/>
      <c r="K870" s="8"/>
      <c r="L870" s="8"/>
    </row>
    <row r="871" spans="1:12" ht="15" customHeight="1" x14ac:dyDescent="0.2">
      <c r="A871" s="38"/>
      <c r="B871" s="38"/>
      <c r="C871" s="8"/>
      <c r="D871" s="8"/>
      <c r="E871" s="8"/>
      <c r="F871" s="8"/>
      <c r="G871" s="8"/>
      <c r="H871" s="8"/>
      <c r="I871" s="8"/>
      <c r="J871" s="8"/>
      <c r="K871" s="8"/>
      <c r="L871" s="8"/>
    </row>
    <row r="872" spans="1:12" ht="15" customHeight="1" x14ac:dyDescent="0.2">
      <c r="A872" s="38"/>
      <c r="B872" s="38"/>
      <c r="C872" s="8"/>
      <c r="D872" s="8"/>
      <c r="E872" s="8"/>
      <c r="F872" s="8"/>
      <c r="G872" s="8"/>
      <c r="H872" s="8"/>
      <c r="I872" s="8"/>
      <c r="J872" s="8"/>
      <c r="K872" s="8"/>
      <c r="L872" s="8"/>
    </row>
    <row r="873" spans="1:12" ht="15" customHeight="1" x14ac:dyDescent="0.2">
      <c r="A873" s="38"/>
      <c r="B873" s="38"/>
      <c r="C873" s="8"/>
      <c r="D873" s="8"/>
      <c r="E873" s="8"/>
      <c r="F873" s="8"/>
      <c r="G873" s="8"/>
      <c r="H873" s="8"/>
      <c r="I873" s="8"/>
      <c r="J873" s="8"/>
      <c r="K873" s="8"/>
      <c r="L873" s="8"/>
    </row>
    <row r="874" spans="1:12" ht="15" customHeight="1" x14ac:dyDescent="0.2">
      <c r="A874" s="38"/>
      <c r="B874" s="38"/>
      <c r="C874" s="8"/>
      <c r="D874" s="8"/>
      <c r="E874" s="8"/>
      <c r="F874" s="8"/>
      <c r="G874" s="8"/>
      <c r="H874" s="8"/>
      <c r="I874" s="8"/>
      <c r="J874" s="8"/>
      <c r="K874" s="8"/>
      <c r="L874" s="8"/>
    </row>
    <row r="875" spans="1:12" ht="15" customHeight="1" x14ac:dyDescent="0.2">
      <c r="A875" s="38"/>
      <c r="B875" s="38"/>
      <c r="C875" s="8"/>
      <c r="D875" s="8"/>
      <c r="E875" s="8"/>
      <c r="F875" s="8"/>
      <c r="G875" s="8"/>
      <c r="H875" s="8"/>
      <c r="I875" s="8"/>
      <c r="J875" s="8"/>
      <c r="K875" s="8"/>
      <c r="L875" s="8"/>
    </row>
    <row r="876" spans="1:12" ht="15" customHeight="1" x14ac:dyDescent="0.2">
      <c r="A876" s="38"/>
      <c r="B876" s="38"/>
      <c r="C876" s="8"/>
      <c r="D876" s="8"/>
      <c r="E876" s="8"/>
      <c r="F876" s="8"/>
      <c r="G876" s="8"/>
      <c r="H876" s="8"/>
      <c r="I876" s="8"/>
      <c r="J876" s="8"/>
      <c r="K876" s="8"/>
      <c r="L876" s="8"/>
    </row>
    <row r="877" spans="1:12" ht="15" customHeight="1" x14ac:dyDescent="0.2">
      <c r="A877" s="38"/>
      <c r="B877" s="38"/>
      <c r="C877" s="8"/>
      <c r="D877" s="8"/>
      <c r="E877" s="8"/>
      <c r="F877" s="8"/>
      <c r="G877" s="8"/>
      <c r="H877" s="8"/>
      <c r="I877" s="8"/>
      <c r="J877" s="8"/>
      <c r="K877" s="8"/>
      <c r="L877" s="8"/>
    </row>
    <row r="878" spans="1:12" ht="15" customHeight="1" x14ac:dyDescent="0.2">
      <c r="A878" s="38"/>
      <c r="B878" s="38"/>
      <c r="C878" s="8"/>
      <c r="D878" s="8"/>
      <c r="E878" s="8"/>
      <c r="F878" s="8"/>
      <c r="G878" s="8"/>
      <c r="H878" s="8"/>
      <c r="I878" s="8"/>
      <c r="J878" s="8"/>
      <c r="K878" s="8"/>
      <c r="L878" s="8"/>
    </row>
    <row r="879" spans="1:12" ht="15" customHeight="1" x14ac:dyDescent="0.2">
      <c r="A879" s="38"/>
      <c r="B879" s="38"/>
      <c r="C879" s="8"/>
      <c r="D879" s="8"/>
      <c r="E879" s="8"/>
      <c r="F879" s="8"/>
      <c r="G879" s="8"/>
      <c r="H879" s="8"/>
      <c r="I879" s="8"/>
      <c r="J879" s="8"/>
      <c r="K879" s="8"/>
      <c r="L879" s="8"/>
    </row>
    <row r="880" spans="1:12" ht="15" customHeight="1" x14ac:dyDescent="0.2">
      <c r="A880" s="38"/>
      <c r="B880" s="38"/>
      <c r="C880" s="8"/>
      <c r="D880" s="8"/>
      <c r="E880" s="8"/>
      <c r="F880" s="8"/>
      <c r="G880" s="8"/>
      <c r="H880" s="8"/>
      <c r="I880" s="8"/>
      <c r="J880" s="8"/>
      <c r="K880" s="8"/>
      <c r="L880" s="8"/>
    </row>
    <row r="881" spans="1:12" ht="15" customHeight="1" x14ac:dyDescent="0.2">
      <c r="A881" s="38"/>
      <c r="B881" s="38"/>
      <c r="C881" s="8"/>
      <c r="D881" s="8"/>
      <c r="E881" s="8"/>
      <c r="F881" s="8"/>
      <c r="G881" s="8"/>
      <c r="H881" s="8"/>
      <c r="I881" s="8"/>
      <c r="J881" s="8"/>
      <c r="K881" s="8"/>
      <c r="L881" s="8"/>
    </row>
    <row r="882" spans="1:12" ht="15" customHeight="1" x14ac:dyDescent="0.2">
      <c r="A882" s="38"/>
      <c r="B882" s="38"/>
      <c r="C882" s="8"/>
      <c r="D882" s="8"/>
      <c r="E882" s="8"/>
      <c r="F882" s="8"/>
      <c r="G882" s="8"/>
      <c r="H882" s="8"/>
      <c r="I882" s="8"/>
      <c r="J882" s="8"/>
      <c r="K882" s="8"/>
      <c r="L882" s="8"/>
    </row>
    <row r="883" spans="1:12" ht="15" customHeight="1" x14ac:dyDescent="0.2">
      <c r="A883" s="38"/>
      <c r="B883" s="38"/>
      <c r="C883" s="8"/>
      <c r="D883" s="8"/>
      <c r="E883" s="8"/>
      <c r="F883" s="8"/>
      <c r="G883" s="8"/>
      <c r="H883" s="8"/>
      <c r="I883" s="8"/>
      <c r="J883" s="8"/>
      <c r="K883" s="8"/>
      <c r="L883" s="8"/>
    </row>
    <row r="884" spans="1:12" ht="15" customHeight="1" x14ac:dyDescent="0.2">
      <c r="A884" s="38"/>
      <c r="B884" s="38"/>
      <c r="C884" s="8"/>
      <c r="D884" s="8"/>
      <c r="E884" s="8"/>
      <c r="F884" s="8"/>
      <c r="G884" s="8"/>
      <c r="H884" s="8"/>
      <c r="I884" s="8"/>
      <c r="J884" s="8"/>
      <c r="K884" s="8"/>
      <c r="L884" s="8"/>
    </row>
    <row r="885" spans="1:12" ht="15" customHeight="1" x14ac:dyDescent="0.2">
      <c r="A885" s="38"/>
      <c r="B885" s="38"/>
      <c r="C885" s="8"/>
      <c r="D885" s="8"/>
      <c r="E885" s="8"/>
      <c r="F885" s="8"/>
      <c r="G885" s="8"/>
      <c r="H885" s="8"/>
      <c r="I885" s="8"/>
      <c r="J885" s="8"/>
      <c r="K885" s="8"/>
      <c r="L885" s="8"/>
    </row>
    <row r="886" spans="1:12" ht="15" customHeight="1" x14ac:dyDescent="0.2">
      <c r="A886" s="38"/>
      <c r="B886" s="38"/>
      <c r="C886" s="8"/>
      <c r="D886" s="8"/>
      <c r="E886" s="8"/>
      <c r="F886" s="8"/>
      <c r="G886" s="8"/>
      <c r="H886" s="8"/>
      <c r="I886" s="8"/>
      <c r="J886" s="8"/>
      <c r="K886" s="8"/>
      <c r="L886" s="8"/>
    </row>
    <row r="887" spans="1:12" ht="15" customHeight="1" x14ac:dyDescent="0.2">
      <c r="A887" s="38"/>
      <c r="B887" s="38"/>
      <c r="C887" s="8"/>
      <c r="D887" s="8"/>
      <c r="E887" s="8"/>
      <c r="F887" s="8"/>
      <c r="G887" s="8"/>
      <c r="H887" s="8"/>
      <c r="I887" s="8"/>
      <c r="J887" s="8"/>
      <c r="K887" s="8"/>
      <c r="L887" s="8"/>
    </row>
    <row r="888" spans="1:12" ht="15" customHeight="1" x14ac:dyDescent="0.2">
      <c r="A888" s="38"/>
      <c r="B888" s="38"/>
      <c r="C888" s="8"/>
      <c r="D888" s="8"/>
      <c r="E888" s="8"/>
      <c r="F888" s="8"/>
      <c r="G888" s="8"/>
      <c r="H888" s="8"/>
      <c r="I888" s="8"/>
      <c r="J888" s="8"/>
      <c r="K888" s="8"/>
      <c r="L888" s="8"/>
    </row>
    <row r="889" spans="1:12" ht="15" customHeight="1" x14ac:dyDescent="0.2">
      <c r="A889" s="38"/>
      <c r="B889" s="38"/>
      <c r="C889" s="8"/>
      <c r="D889" s="8"/>
      <c r="E889" s="8"/>
      <c r="F889" s="8"/>
      <c r="G889" s="8"/>
      <c r="H889" s="8"/>
      <c r="I889" s="8"/>
      <c r="J889" s="8"/>
      <c r="K889" s="8"/>
      <c r="L889" s="8"/>
    </row>
    <row r="890" spans="1:12" ht="15" customHeight="1" x14ac:dyDescent="0.2">
      <c r="A890" s="38"/>
      <c r="B890" s="38"/>
      <c r="C890" s="8"/>
      <c r="D890" s="8"/>
      <c r="E890" s="8"/>
      <c r="F890" s="8"/>
      <c r="G890" s="8"/>
      <c r="H890" s="8"/>
      <c r="I890" s="8"/>
      <c r="J890" s="8"/>
      <c r="K890" s="8"/>
      <c r="L890" s="8"/>
    </row>
    <row r="891" spans="1:12" ht="15" customHeight="1" x14ac:dyDescent="0.2">
      <c r="A891" s="38"/>
      <c r="B891" s="38"/>
      <c r="C891" s="8"/>
      <c r="D891" s="8"/>
      <c r="E891" s="8"/>
      <c r="F891" s="8"/>
      <c r="G891" s="8"/>
      <c r="H891" s="8"/>
      <c r="I891" s="8"/>
      <c r="J891" s="8"/>
      <c r="K891" s="8"/>
      <c r="L891" s="8"/>
    </row>
    <row r="892" spans="1:12" ht="15" customHeight="1" x14ac:dyDescent="0.2">
      <c r="A892" s="38"/>
      <c r="B892" s="38"/>
      <c r="C892" s="8"/>
      <c r="D892" s="8"/>
      <c r="E892" s="8"/>
      <c r="F892" s="8"/>
      <c r="G892" s="8"/>
      <c r="H892" s="8"/>
      <c r="I892" s="8"/>
      <c r="J892" s="8"/>
      <c r="K892" s="8"/>
      <c r="L892" s="8"/>
    </row>
    <row r="893" spans="1:12" ht="15" customHeight="1" x14ac:dyDescent="0.2">
      <c r="A893" s="38"/>
      <c r="B893" s="38"/>
      <c r="C893" s="8"/>
      <c r="D893" s="8"/>
      <c r="E893" s="8"/>
      <c r="F893" s="8"/>
      <c r="G893" s="8"/>
      <c r="H893" s="8"/>
      <c r="I893" s="8"/>
      <c r="J893" s="8"/>
      <c r="K893" s="8"/>
      <c r="L893" s="8"/>
    </row>
    <row r="894" spans="1:12" ht="15" customHeight="1" x14ac:dyDescent="0.2">
      <c r="A894" s="38"/>
      <c r="B894" s="38"/>
      <c r="C894" s="8"/>
      <c r="D894" s="8"/>
      <c r="E894" s="8"/>
      <c r="F894" s="8"/>
      <c r="G894" s="8"/>
      <c r="H894" s="8"/>
      <c r="I894" s="8"/>
      <c r="J894" s="8"/>
      <c r="K894" s="8"/>
      <c r="L894" s="8"/>
    </row>
    <row r="895" spans="1:12" ht="15" customHeight="1" x14ac:dyDescent="0.2">
      <c r="A895" s="38"/>
      <c r="B895" s="38"/>
      <c r="C895" s="8"/>
      <c r="D895" s="8"/>
      <c r="E895" s="8"/>
      <c r="F895" s="8"/>
      <c r="G895" s="8"/>
      <c r="H895" s="8"/>
      <c r="I895" s="8"/>
      <c r="J895" s="8"/>
      <c r="K895" s="8"/>
      <c r="L895" s="8"/>
    </row>
    <row r="896" spans="1:12" ht="15" customHeight="1" x14ac:dyDescent="0.2">
      <c r="A896" s="38"/>
      <c r="B896" s="38"/>
      <c r="C896" s="8"/>
      <c r="D896" s="8"/>
      <c r="E896" s="8"/>
      <c r="F896" s="8"/>
      <c r="G896" s="8"/>
      <c r="H896" s="8"/>
      <c r="I896" s="8"/>
      <c r="J896" s="8"/>
      <c r="K896" s="8"/>
      <c r="L896" s="8"/>
    </row>
    <row r="897" spans="1:12" ht="15" customHeight="1" x14ac:dyDescent="0.2">
      <c r="A897" s="38"/>
      <c r="B897" s="38"/>
      <c r="C897" s="8"/>
      <c r="D897" s="8"/>
      <c r="E897" s="8"/>
      <c r="F897" s="8"/>
      <c r="G897" s="8"/>
      <c r="H897" s="8"/>
      <c r="I897" s="8"/>
      <c r="J897" s="8"/>
      <c r="K897" s="8"/>
      <c r="L897" s="8"/>
    </row>
    <row r="898" spans="1:12" ht="15" customHeight="1" x14ac:dyDescent="0.2">
      <c r="A898" s="38"/>
      <c r="B898" s="38"/>
      <c r="C898" s="8"/>
      <c r="D898" s="8"/>
      <c r="E898" s="8"/>
      <c r="F898" s="8"/>
      <c r="G898" s="8"/>
      <c r="H898" s="8"/>
      <c r="I898" s="8"/>
      <c r="J898" s="8"/>
      <c r="K898" s="8"/>
      <c r="L898" s="8"/>
    </row>
    <row r="899" spans="1:12" ht="15" customHeight="1" x14ac:dyDescent="0.2">
      <c r="A899" s="38"/>
      <c r="B899" s="38"/>
      <c r="C899" s="8"/>
      <c r="D899" s="8"/>
      <c r="E899" s="8"/>
      <c r="F899" s="8"/>
      <c r="G899" s="8"/>
      <c r="H899" s="8"/>
      <c r="I899" s="8"/>
      <c r="J899" s="8"/>
      <c r="K899" s="8"/>
      <c r="L899" s="8"/>
    </row>
    <row r="900" spans="1:12" ht="15" customHeight="1" x14ac:dyDescent="0.2">
      <c r="A900" s="38"/>
      <c r="B900" s="38"/>
      <c r="C900" s="8"/>
      <c r="D900" s="8"/>
      <c r="E900" s="8"/>
      <c r="F900" s="8"/>
      <c r="G900" s="8"/>
      <c r="H900" s="8"/>
      <c r="I900" s="8"/>
      <c r="J900" s="8"/>
      <c r="K900" s="8"/>
      <c r="L900" s="8"/>
    </row>
    <row r="901" spans="1:12" ht="15" customHeight="1" x14ac:dyDescent="0.2">
      <c r="A901" s="38"/>
      <c r="B901" s="38"/>
      <c r="C901" s="8"/>
      <c r="D901" s="8"/>
      <c r="E901" s="8"/>
      <c r="F901" s="8"/>
      <c r="G901" s="8"/>
      <c r="H901" s="8"/>
      <c r="I901" s="8"/>
      <c r="J901" s="8"/>
      <c r="K901" s="8"/>
      <c r="L901" s="8"/>
    </row>
    <row r="902" spans="1:12" ht="15" customHeight="1" x14ac:dyDescent="0.2">
      <c r="A902" s="38"/>
      <c r="B902" s="38"/>
      <c r="C902" s="8"/>
      <c r="D902" s="8"/>
      <c r="E902" s="8"/>
      <c r="F902" s="8"/>
      <c r="G902" s="8"/>
      <c r="H902" s="8"/>
      <c r="I902" s="8"/>
      <c r="J902" s="8"/>
      <c r="K902" s="8"/>
      <c r="L902" s="8"/>
    </row>
    <row r="903" spans="1:12" ht="15" customHeight="1" x14ac:dyDescent="0.2">
      <c r="A903" s="38"/>
      <c r="B903" s="38"/>
      <c r="C903" s="8"/>
      <c r="D903" s="8"/>
      <c r="E903" s="8"/>
      <c r="F903" s="8"/>
      <c r="G903" s="8"/>
      <c r="H903" s="8"/>
      <c r="I903" s="8"/>
      <c r="J903" s="8"/>
      <c r="K903" s="8"/>
      <c r="L903" s="8"/>
    </row>
    <row r="904" spans="1:12" ht="15" customHeight="1" x14ac:dyDescent="0.2">
      <c r="A904" s="38"/>
      <c r="B904" s="38"/>
      <c r="C904" s="8"/>
      <c r="D904" s="8"/>
      <c r="E904" s="8"/>
      <c r="F904" s="8"/>
      <c r="G904" s="8"/>
      <c r="H904" s="8"/>
      <c r="I904" s="8"/>
      <c r="J904" s="8"/>
      <c r="K904" s="8"/>
      <c r="L904" s="8"/>
    </row>
    <row r="905" spans="1:12" ht="15" customHeight="1" x14ac:dyDescent="0.2">
      <c r="A905" s="38"/>
      <c r="B905" s="38"/>
      <c r="C905" s="8"/>
      <c r="D905" s="8"/>
      <c r="E905" s="8"/>
      <c r="F905" s="8"/>
      <c r="G905" s="8"/>
      <c r="H905" s="8"/>
      <c r="I905" s="8"/>
      <c r="J905" s="8"/>
      <c r="K905" s="8"/>
      <c r="L905" s="8"/>
    </row>
    <row r="906" spans="1:12" ht="15" customHeight="1" x14ac:dyDescent="0.2">
      <c r="A906" s="38"/>
      <c r="B906" s="38"/>
      <c r="C906" s="8"/>
      <c r="D906" s="8"/>
      <c r="E906" s="8"/>
      <c r="F906" s="8"/>
      <c r="G906" s="8"/>
      <c r="H906" s="8"/>
      <c r="I906" s="8"/>
      <c r="J906" s="8"/>
      <c r="K906" s="8"/>
      <c r="L906" s="8"/>
    </row>
    <row r="907" spans="1:12" ht="15" customHeight="1" x14ac:dyDescent="0.2">
      <c r="A907" s="38"/>
      <c r="B907" s="38"/>
      <c r="C907" s="8"/>
      <c r="D907" s="8"/>
      <c r="E907" s="8"/>
      <c r="F907" s="8"/>
      <c r="G907" s="8"/>
      <c r="H907" s="8"/>
      <c r="I907" s="8"/>
      <c r="J907" s="8"/>
      <c r="K907" s="8"/>
      <c r="L907" s="8"/>
    </row>
    <row r="908" spans="1:12" ht="15" customHeight="1" x14ac:dyDescent="0.2">
      <c r="A908" s="38"/>
      <c r="B908" s="38"/>
      <c r="C908" s="8"/>
      <c r="D908" s="8"/>
      <c r="E908" s="8"/>
      <c r="F908" s="8"/>
      <c r="G908" s="8"/>
      <c r="H908" s="8"/>
      <c r="I908" s="8"/>
      <c r="J908" s="8"/>
      <c r="K908" s="8"/>
      <c r="L908" s="8"/>
    </row>
    <row r="909" spans="1:12" ht="15" customHeight="1" x14ac:dyDescent="0.2">
      <c r="A909" s="38"/>
      <c r="B909" s="38"/>
      <c r="C909" s="8"/>
      <c r="D909" s="8"/>
      <c r="E909" s="8"/>
      <c r="F909" s="8"/>
      <c r="G909" s="8"/>
      <c r="H909" s="8"/>
      <c r="I909" s="8"/>
      <c r="J909" s="8"/>
      <c r="K909" s="8"/>
      <c r="L909" s="8"/>
    </row>
    <row r="910" spans="1:12" ht="15" customHeight="1" x14ac:dyDescent="0.2">
      <c r="A910" s="38"/>
      <c r="B910" s="38"/>
      <c r="C910" s="8"/>
      <c r="D910" s="8"/>
      <c r="E910" s="8"/>
      <c r="F910" s="8"/>
      <c r="G910" s="8"/>
      <c r="H910" s="8"/>
      <c r="I910" s="8"/>
      <c r="J910" s="8"/>
      <c r="K910" s="8"/>
      <c r="L910" s="8"/>
    </row>
    <row r="911" spans="1:12" ht="15" customHeight="1" x14ac:dyDescent="0.2">
      <c r="A911" s="38"/>
      <c r="B911" s="38"/>
      <c r="C911" s="8"/>
      <c r="D911" s="8"/>
      <c r="E911" s="8"/>
      <c r="F911" s="8"/>
      <c r="G911" s="8"/>
      <c r="H911" s="8"/>
      <c r="I911" s="8"/>
      <c r="J911" s="8"/>
      <c r="K911" s="8"/>
      <c r="L911" s="8"/>
    </row>
    <row r="912" spans="1:12" ht="15" customHeight="1" x14ac:dyDescent="0.2">
      <c r="A912" s="38"/>
      <c r="B912" s="38"/>
      <c r="C912" s="8"/>
      <c r="D912" s="8"/>
      <c r="E912" s="8"/>
      <c r="F912" s="8"/>
      <c r="G912" s="8"/>
      <c r="H912" s="8"/>
      <c r="I912" s="8"/>
      <c r="J912" s="8"/>
      <c r="K912" s="8"/>
      <c r="L912" s="8"/>
    </row>
    <row r="913" spans="1:12" ht="15" customHeight="1" x14ac:dyDescent="0.2">
      <c r="A913" s="38"/>
      <c r="B913" s="38"/>
      <c r="C913" s="8"/>
      <c r="D913" s="8"/>
      <c r="E913" s="8"/>
      <c r="F913" s="8"/>
      <c r="G913" s="8"/>
      <c r="H913" s="8"/>
      <c r="I913" s="8"/>
      <c r="J913" s="8"/>
      <c r="K913" s="8"/>
      <c r="L913" s="8"/>
    </row>
    <row r="914" spans="1:12" ht="15" customHeight="1" x14ac:dyDescent="0.2">
      <c r="A914" s="38"/>
      <c r="B914" s="38"/>
      <c r="C914" s="8"/>
      <c r="D914" s="8"/>
      <c r="E914" s="8"/>
      <c r="F914" s="8"/>
      <c r="G914" s="8"/>
      <c r="H914" s="8"/>
      <c r="I914" s="8"/>
      <c r="J914" s="8"/>
      <c r="K914" s="8"/>
      <c r="L914" s="8"/>
    </row>
    <row r="915" spans="1:12" ht="15" customHeight="1" x14ac:dyDescent="0.2">
      <c r="A915" s="38"/>
      <c r="B915" s="38"/>
      <c r="C915" s="8"/>
      <c r="D915" s="8"/>
      <c r="E915" s="8"/>
      <c r="F915" s="8"/>
      <c r="G915" s="8"/>
      <c r="H915" s="8"/>
      <c r="I915" s="8"/>
      <c r="J915" s="8"/>
      <c r="K915" s="8"/>
      <c r="L915" s="8"/>
    </row>
    <row r="916" spans="1:12" ht="15" customHeight="1" x14ac:dyDescent="0.2">
      <c r="A916" s="38"/>
      <c r="B916" s="38"/>
      <c r="C916" s="8"/>
      <c r="D916" s="8"/>
      <c r="E916" s="8"/>
      <c r="F916" s="8"/>
      <c r="G916" s="8"/>
      <c r="H916" s="8"/>
      <c r="I916" s="8"/>
      <c r="J916" s="8"/>
      <c r="K916" s="8"/>
      <c r="L916" s="8"/>
    </row>
    <row r="917" spans="1:12" ht="15" customHeight="1" x14ac:dyDescent="0.2">
      <c r="A917" s="38"/>
      <c r="B917" s="38"/>
      <c r="C917" s="8"/>
      <c r="D917" s="8"/>
      <c r="E917" s="8"/>
      <c r="F917" s="8"/>
      <c r="G917" s="8"/>
      <c r="H917" s="8"/>
      <c r="I917" s="8"/>
      <c r="J917" s="8"/>
      <c r="K917" s="8"/>
      <c r="L917" s="8"/>
    </row>
    <row r="918" spans="1:12" ht="15" customHeight="1" x14ac:dyDescent="0.2">
      <c r="A918" s="38"/>
      <c r="B918" s="38"/>
      <c r="C918" s="8"/>
      <c r="D918" s="8"/>
      <c r="E918" s="8"/>
      <c r="F918" s="8"/>
      <c r="G918" s="8"/>
      <c r="H918" s="8"/>
      <c r="I918" s="8"/>
      <c r="J918" s="8"/>
      <c r="K918" s="8"/>
      <c r="L918" s="8"/>
    </row>
    <row r="919" spans="1:12" ht="15" customHeight="1" x14ac:dyDescent="0.2">
      <c r="A919" s="38"/>
      <c r="B919" s="38"/>
      <c r="C919" s="8"/>
      <c r="D919" s="8"/>
      <c r="E919" s="8"/>
      <c r="F919" s="8"/>
      <c r="G919" s="8"/>
      <c r="H919" s="8"/>
      <c r="I919" s="8"/>
      <c r="J919" s="8"/>
      <c r="K919" s="8"/>
      <c r="L919" s="8"/>
    </row>
    <row r="920" spans="1:12" ht="15" customHeight="1" x14ac:dyDescent="0.2">
      <c r="A920" s="38"/>
      <c r="B920" s="38"/>
      <c r="C920" s="8"/>
      <c r="D920" s="8"/>
      <c r="E920" s="8"/>
      <c r="F920" s="8"/>
      <c r="G920" s="8"/>
      <c r="H920" s="8"/>
      <c r="I920" s="8"/>
      <c r="J920" s="8"/>
      <c r="K920" s="8"/>
      <c r="L920" s="8"/>
    </row>
    <row r="921" spans="1:12" ht="15" customHeight="1" x14ac:dyDescent="0.2">
      <c r="A921" s="38"/>
      <c r="B921" s="38"/>
      <c r="C921" s="8"/>
      <c r="D921" s="8"/>
      <c r="E921" s="8"/>
      <c r="F921" s="8"/>
      <c r="G921" s="8"/>
      <c r="H921" s="8"/>
      <c r="I921" s="8"/>
      <c r="J921" s="8"/>
      <c r="K921" s="8"/>
      <c r="L921" s="8"/>
    </row>
    <row r="922" spans="1:12" ht="15" customHeight="1" x14ac:dyDescent="0.2">
      <c r="A922" s="38"/>
      <c r="B922" s="38"/>
      <c r="C922" s="8"/>
      <c r="D922" s="8"/>
      <c r="E922" s="8"/>
      <c r="F922" s="8"/>
      <c r="G922" s="8"/>
      <c r="H922" s="8"/>
      <c r="I922" s="8"/>
      <c r="J922" s="8"/>
      <c r="K922" s="8"/>
      <c r="L922" s="8"/>
    </row>
    <row r="923" spans="1:12" ht="15" customHeight="1" x14ac:dyDescent="0.2">
      <c r="A923" s="38"/>
      <c r="B923" s="38"/>
      <c r="C923" s="8"/>
      <c r="D923" s="8"/>
      <c r="E923" s="8"/>
      <c r="F923" s="8"/>
      <c r="G923" s="8"/>
      <c r="H923" s="8"/>
      <c r="I923" s="8"/>
      <c r="J923" s="8"/>
      <c r="K923" s="8"/>
      <c r="L923" s="8"/>
    </row>
    <row r="924" spans="1:12" ht="15" customHeight="1" x14ac:dyDescent="0.2">
      <c r="A924" s="38"/>
      <c r="B924" s="38"/>
      <c r="C924" s="8"/>
      <c r="D924" s="8"/>
      <c r="E924" s="8"/>
      <c r="F924" s="8"/>
      <c r="G924" s="8"/>
      <c r="H924" s="8"/>
      <c r="I924" s="8"/>
      <c r="J924" s="8"/>
      <c r="K924" s="8"/>
      <c r="L924" s="8"/>
    </row>
    <row r="925" spans="1:12" ht="15" customHeight="1" x14ac:dyDescent="0.2">
      <c r="A925" s="38"/>
      <c r="B925" s="38"/>
      <c r="C925" s="8"/>
      <c r="D925" s="8"/>
      <c r="E925" s="8"/>
      <c r="F925" s="8"/>
      <c r="G925" s="8"/>
      <c r="H925" s="8"/>
      <c r="I925" s="8"/>
      <c r="J925" s="8"/>
      <c r="K925" s="8"/>
      <c r="L925" s="8"/>
    </row>
    <row r="926" spans="1:12" ht="15" customHeight="1" x14ac:dyDescent="0.2">
      <c r="A926" s="38"/>
      <c r="B926" s="38"/>
      <c r="C926" s="8"/>
      <c r="D926" s="8"/>
      <c r="E926" s="8"/>
      <c r="F926" s="8"/>
      <c r="G926" s="8"/>
      <c r="H926" s="8"/>
      <c r="I926" s="8"/>
      <c r="J926" s="8"/>
      <c r="K926" s="8"/>
      <c r="L926" s="8"/>
    </row>
    <row r="927" spans="1:12" ht="15" customHeight="1" x14ac:dyDescent="0.2">
      <c r="A927" s="38"/>
      <c r="B927" s="38"/>
      <c r="C927" s="8"/>
      <c r="D927" s="8"/>
      <c r="E927" s="8"/>
      <c r="F927" s="8"/>
      <c r="G927" s="8"/>
      <c r="H927" s="8"/>
      <c r="I927" s="8"/>
      <c r="J927" s="8"/>
      <c r="K927" s="8"/>
      <c r="L927" s="8"/>
    </row>
    <row r="928" spans="1:12" ht="15" customHeight="1" x14ac:dyDescent="0.2">
      <c r="A928" s="38"/>
      <c r="B928" s="38"/>
      <c r="C928" s="8"/>
      <c r="D928" s="8"/>
      <c r="E928" s="8"/>
      <c r="F928" s="8"/>
      <c r="G928" s="8"/>
      <c r="H928" s="8"/>
      <c r="I928" s="8"/>
      <c r="J928" s="8"/>
      <c r="K928" s="8"/>
      <c r="L928" s="8"/>
    </row>
    <row r="929" spans="1:12" ht="15" customHeight="1" x14ac:dyDescent="0.2">
      <c r="A929" s="38"/>
      <c r="B929" s="38"/>
      <c r="C929" s="8"/>
      <c r="D929" s="8"/>
      <c r="E929" s="8"/>
      <c r="F929" s="8"/>
      <c r="G929" s="8"/>
      <c r="H929" s="8"/>
      <c r="I929" s="8"/>
      <c r="J929" s="8"/>
      <c r="K929" s="8"/>
      <c r="L929" s="8"/>
    </row>
    <row r="930" spans="1:12" ht="15" customHeight="1" x14ac:dyDescent="0.2">
      <c r="A930" s="38"/>
      <c r="B930" s="38"/>
      <c r="C930" s="8"/>
      <c r="D930" s="8"/>
      <c r="E930" s="8"/>
      <c r="F930" s="8"/>
      <c r="G930" s="8"/>
      <c r="H930" s="8"/>
      <c r="I930" s="8"/>
      <c r="J930" s="8"/>
      <c r="K930" s="8"/>
      <c r="L930" s="8"/>
    </row>
    <row r="931" spans="1:12" ht="15" customHeight="1" x14ac:dyDescent="0.2">
      <c r="A931" s="38"/>
      <c r="B931" s="38"/>
      <c r="C931" s="8"/>
      <c r="D931" s="8"/>
      <c r="E931" s="8"/>
      <c r="F931" s="8"/>
      <c r="G931" s="8"/>
      <c r="H931" s="8"/>
      <c r="I931" s="8"/>
      <c r="J931" s="8"/>
      <c r="K931" s="8"/>
      <c r="L931" s="8"/>
    </row>
    <row r="932" spans="1:12" ht="15" customHeight="1" x14ac:dyDescent="0.2">
      <c r="A932" s="38"/>
      <c r="B932" s="38"/>
      <c r="C932" s="8"/>
      <c r="D932" s="8"/>
      <c r="E932" s="8"/>
      <c r="F932" s="8"/>
      <c r="G932" s="8"/>
      <c r="H932" s="8"/>
      <c r="I932" s="8"/>
      <c r="J932" s="8"/>
      <c r="K932" s="8"/>
      <c r="L932" s="8"/>
    </row>
    <row r="933" spans="1:12" ht="15" customHeight="1" x14ac:dyDescent="0.2">
      <c r="A933" s="38"/>
      <c r="B933" s="38"/>
      <c r="C933" s="8"/>
      <c r="D933" s="8"/>
      <c r="E933" s="8"/>
      <c r="F933" s="8"/>
      <c r="G933" s="8"/>
      <c r="H933" s="8"/>
      <c r="I933" s="8"/>
      <c r="J933" s="8"/>
      <c r="K933" s="8"/>
      <c r="L933" s="8"/>
    </row>
    <row r="934" spans="1:12" ht="15" customHeight="1" x14ac:dyDescent="0.2">
      <c r="A934" s="38"/>
      <c r="B934" s="38"/>
      <c r="C934" s="8"/>
      <c r="D934" s="8"/>
      <c r="E934" s="8"/>
      <c r="F934" s="8"/>
      <c r="G934" s="8"/>
      <c r="H934" s="8"/>
      <c r="I934" s="8"/>
      <c r="J934" s="8"/>
      <c r="K934" s="8"/>
      <c r="L934" s="8"/>
    </row>
    <row r="935" spans="1:12" ht="15" customHeight="1" x14ac:dyDescent="0.2">
      <c r="A935" s="38"/>
      <c r="B935" s="38"/>
      <c r="C935" s="8"/>
      <c r="D935" s="8"/>
      <c r="E935" s="8"/>
      <c r="F935" s="8"/>
      <c r="G935" s="8"/>
      <c r="H935" s="8"/>
      <c r="I935" s="8"/>
      <c r="J935" s="8"/>
      <c r="K935" s="8"/>
      <c r="L935" s="8"/>
    </row>
    <row r="936" spans="1:12" ht="15" customHeight="1" x14ac:dyDescent="0.2">
      <c r="A936" s="38"/>
      <c r="B936" s="38"/>
      <c r="C936" s="8"/>
      <c r="D936" s="8"/>
      <c r="E936" s="8"/>
      <c r="F936" s="8"/>
      <c r="G936" s="8"/>
      <c r="H936" s="8"/>
      <c r="I936" s="8"/>
      <c r="J936" s="8"/>
      <c r="K936" s="8"/>
      <c r="L936" s="8"/>
    </row>
    <row r="937" spans="1:12" ht="15" customHeight="1" x14ac:dyDescent="0.2">
      <c r="A937" s="38"/>
      <c r="B937" s="38"/>
      <c r="C937" s="8"/>
      <c r="D937" s="8"/>
      <c r="E937" s="8"/>
      <c r="F937" s="8"/>
      <c r="G937" s="8"/>
      <c r="H937" s="8"/>
      <c r="I937" s="8"/>
      <c r="J937" s="8"/>
      <c r="K937" s="8"/>
      <c r="L937" s="8"/>
    </row>
    <row r="938" spans="1:12" ht="15" customHeight="1" x14ac:dyDescent="0.2">
      <c r="A938" s="38"/>
      <c r="B938" s="38"/>
      <c r="C938" s="8"/>
      <c r="D938" s="8"/>
      <c r="E938" s="8"/>
      <c r="F938" s="8"/>
      <c r="G938" s="8"/>
      <c r="H938" s="8"/>
      <c r="I938" s="8"/>
      <c r="J938" s="8"/>
      <c r="K938" s="8"/>
      <c r="L938" s="8"/>
    </row>
    <row r="939" spans="1:12" ht="15" customHeight="1" x14ac:dyDescent="0.2">
      <c r="A939" s="38"/>
      <c r="B939" s="38"/>
      <c r="C939" s="8"/>
      <c r="D939" s="8"/>
      <c r="E939" s="8"/>
      <c r="F939" s="8"/>
      <c r="G939" s="8"/>
      <c r="H939" s="8"/>
      <c r="I939" s="8"/>
      <c r="J939" s="8"/>
      <c r="K939" s="8"/>
      <c r="L939" s="8"/>
    </row>
    <row r="940" spans="1:12" ht="15" customHeight="1" x14ac:dyDescent="0.2">
      <c r="A940" s="38"/>
      <c r="B940" s="38"/>
      <c r="C940" s="8"/>
      <c r="D940" s="8"/>
      <c r="E940" s="8"/>
      <c r="F940" s="8"/>
      <c r="G940" s="8"/>
      <c r="H940" s="8"/>
      <c r="I940" s="8"/>
      <c r="J940" s="8"/>
      <c r="K940" s="8"/>
      <c r="L940" s="8"/>
    </row>
    <row r="941" spans="1:12" ht="15" customHeight="1" x14ac:dyDescent="0.2">
      <c r="A941" s="38"/>
      <c r="B941" s="38"/>
      <c r="C941" s="8"/>
      <c r="D941" s="8"/>
      <c r="E941" s="8"/>
      <c r="F941" s="8"/>
      <c r="G941" s="8"/>
      <c r="H941" s="8"/>
      <c r="I941" s="8"/>
      <c r="J941" s="8"/>
      <c r="K941" s="8"/>
      <c r="L941" s="8"/>
    </row>
    <row r="942" spans="1:12" ht="15" customHeight="1" x14ac:dyDescent="0.2">
      <c r="A942" s="38"/>
      <c r="B942" s="38"/>
      <c r="C942" s="8"/>
      <c r="D942" s="8"/>
      <c r="E942" s="8"/>
      <c r="F942" s="8"/>
      <c r="G942" s="8"/>
      <c r="H942" s="8"/>
      <c r="I942" s="8"/>
      <c r="J942" s="8"/>
      <c r="K942" s="8"/>
      <c r="L942" s="8"/>
    </row>
    <row r="943" spans="1:12" ht="15" customHeight="1" x14ac:dyDescent="0.2">
      <c r="A943" s="38"/>
      <c r="B943" s="38"/>
      <c r="C943" s="8"/>
      <c r="D943" s="8"/>
      <c r="E943" s="8"/>
      <c r="F943" s="8"/>
      <c r="G943" s="8"/>
      <c r="H943" s="8"/>
      <c r="I943" s="8"/>
      <c r="J943" s="8"/>
      <c r="K943" s="8"/>
      <c r="L943" s="8"/>
    </row>
    <row r="944" spans="1:12" ht="15" customHeight="1" x14ac:dyDescent="0.2">
      <c r="A944" s="38"/>
      <c r="B944" s="38"/>
      <c r="C944" s="8"/>
      <c r="D944" s="8"/>
      <c r="E944" s="8"/>
      <c r="F944" s="8"/>
      <c r="G944" s="8"/>
      <c r="H944" s="8"/>
      <c r="I944" s="8"/>
      <c r="J944" s="8"/>
      <c r="K944" s="8"/>
      <c r="L944" s="8"/>
    </row>
    <row r="945" spans="1:12" ht="15" customHeight="1" x14ac:dyDescent="0.2">
      <c r="A945" s="38"/>
      <c r="B945" s="38"/>
      <c r="C945" s="8"/>
      <c r="D945" s="8"/>
      <c r="E945" s="8"/>
      <c r="F945" s="8"/>
      <c r="G945" s="8"/>
      <c r="H945" s="8"/>
      <c r="I945" s="8"/>
      <c r="J945" s="8"/>
      <c r="K945" s="8"/>
      <c r="L945" s="8"/>
    </row>
    <row r="946" spans="1:12" ht="15" customHeight="1" x14ac:dyDescent="0.2">
      <c r="A946" s="38"/>
      <c r="B946" s="38"/>
      <c r="C946" s="8"/>
      <c r="D946" s="8"/>
      <c r="E946" s="8"/>
      <c r="F946" s="8"/>
      <c r="G946" s="8"/>
      <c r="H946" s="8"/>
      <c r="I946" s="8"/>
      <c r="J946" s="8"/>
      <c r="K946" s="8"/>
      <c r="L946" s="8"/>
    </row>
    <row r="947" spans="1:12" ht="15" customHeight="1" x14ac:dyDescent="0.2">
      <c r="A947" s="38"/>
      <c r="B947" s="38"/>
      <c r="C947" s="8"/>
      <c r="D947" s="8"/>
      <c r="E947" s="8"/>
      <c r="F947" s="8"/>
      <c r="G947" s="8"/>
      <c r="H947" s="8"/>
      <c r="I947" s="8"/>
      <c r="J947" s="8"/>
      <c r="K947" s="8"/>
      <c r="L947" s="8"/>
    </row>
    <row r="948" spans="1:12" ht="15" customHeight="1" x14ac:dyDescent="0.2">
      <c r="A948" s="38"/>
      <c r="B948" s="38"/>
      <c r="C948" s="8"/>
      <c r="D948" s="8"/>
      <c r="E948" s="8"/>
      <c r="F948" s="8"/>
      <c r="G948" s="8"/>
      <c r="H948" s="8"/>
      <c r="I948" s="8"/>
      <c r="J948" s="8"/>
      <c r="K948" s="8"/>
      <c r="L948" s="8"/>
    </row>
    <row r="949" spans="1:12" ht="15" customHeight="1" x14ac:dyDescent="0.2">
      <c r="A949" s="38"/>
      <c r="B949" s="38"/>
      <c r="C949" s="8"/>
      <c r="D949" s="8"/>
      <c r="E949" s="8"/>
      <c r="F949" s="8"/>
      <c r="G949" s="8"/>
      <c r="H949" s="8"/>
      <c r="I949" s="8"/>
      <c r="J949" s="8"/>
      <c r="K949" s="8"/>
      <c r="L949" s="8"/>
    </row>
    <row r="950" spans="1:12" ht="15" customHeight="1" x14ac:dyDescent="0.2">
      <c r="A950" s="38"/>
      <c r="B950" s="38"/>
      <c r="C950" s="8"/>
      <c r="D950" s="8"/>
      <c r="E950" s="8"/>
      <c r="F950" s="8"/>
      <c r="G950" s="8"/>
      <c r="H950" s="8"/>
      <c r="I950" s="8"/>
      <c r="J950" s="8"/>
      <c r="K950" s="8"/>
      <c r="L950" s="8"/>
    </row>
    <row r="951" spans="1:12" ht="15" customHeight="1" x14ac:dyDescent="0.2">
      <c r="A951" s="38"/>
      <c r="B951" s="38"/>
      <c r="C951" s="8"/>
      <c r="D951" s="8"/>
      <c r="E951" s="8"/>
      <c r="F951" s="8"/>
      <c r="G951" s="8"/>
      <c r="H951" s="8"/>
      <c r="I951" s="8"/>
      <c r="J951" s="8"/>
      <c r="K951" s="8"/>
      <c r="L951" s="8"/>
    </row>
    <row r="952" spans="1:12" ht="15" customHeight="1" x14ac:dyDescent="0.2">
      <c r="A952" s="38"/>
      <c r="B952" s="38"/>
      <c r="C952" s="8"/>
      <c r="D952" s="8"/>
      <c r="E952" s="8"/>
      <c r="F952" s="8"/>
      <c r="G952" s="8"/>
      <c r="H952" s="8"/>
      <c r="I952" s="8"/>
      <c r="J952" s="8"/>
      <c r="K952" s="8"/>
      <c r="L952" s="8"/>
    </row>
    <row r="953" spans="1:12" ht="15" customHeight="1" x14ac:dyDescent="0.2">
      <c r="A953" s="38"/>
      <c r="B953" s="38"/>
      <c r="C953" s="8"/>
      <c r="D953" s="8"/>
      <c r="E953" s="8"/>
      <c r="F953" s="8"/>
      <c r="G953" s="8"/>
      <c r="H953" s="8"/>
      <c r="I953" s="8"/>
      <c r="J953" s="8"/>
      <c r="K953" s="8"/>
      <c r="L953" s="8"/>
    </row>
    <row r="954" spans="1:12" ht="15" customHeight="1" x14ac:dyDescent="0.2">
      <c r="A954" s="38"/>
      <c r="B954" s="38"/>
      <c r="C954" s="8"/>
      <c r="D954" s="8"/>
      <c r="E954" s="8"/>
      <c r="F954" s="8"/>
      <c r="G954" s="8"/>
      <c r="H954" s="8"/>
      <c r="I954" s="8"/>
      <c r="J954" s="8"/>
      <c r="K954" s="8"/>
      <c r="L954" s="8"/>
    </row>
    <row r="955" spans="1:12" ht="15" customHeight="1" x14ac:dyDescent="0.2">
      <c r="A955" s="38"/>
      <c r="B955" s="38"/>
      <c r="C955" s="8"/>
      <c r="D955" s="8"/>
      <c r="E955" s="8"/>
      <c r="F955" s="8"/>
      <c r="G955" s="8"/>
      <c r="H955" s="8"/>
      <c r="I955" s="8"/>
      <c r="J955" s="8"/>
      <c r="K955" s="8"/>
      <c r="L955" s="8"/>
    </row>
    <row r="956" spans="1:12" ht="15" customHeight="1" x14ac:dyDescent="0.2">
      <c r="A956" s="38"/>
      <c r="B956" s="38"/>
      <c r="C956" s="8"/>
      <c r="D956" s="8"/>
      <c r="E956" s="8"/>
      <c r="F956" s="8"/>
      <c r="G956" s="8"/>
      <c r="H956" s="8"/>
      <c r="I956" s="8"/>
      <c r="J956" s="8"/>
      <c r="K956" s="8"/>
      <c r="L956" s="8"/>
    </row>
    <row r="957" spans="1:12" ht="15" customHeight="1" x14ac:dyDescent="0.2">
      <c r="A957" s="38"/>
      <c r="B957" s="38"/>
      <c r="C957" s="8"/>
      <c r="D957" s="8"/>
      <c r="E957" s="8"/>
      <c r="F957" s="8"/>
      <c r="G957" s="8"/>
      <c r="H957" s="8"/>
      <c r="I957" s="8"/>
      <c r="J957" s="8"/>
      <c r="K957" s="8"/>
      <c r="L957" s="8"/>
    </row>
    <row r="958" spans="1:12" ht="15" customHeight="1" x14ac:dyDescent="0.2">
      <c r="A958" s="38"/>
      <c r="B958" s="38"/>
      <c r="C958" s="8"/>
      <c r="D958" s="8"/>
      <c r="E958" s="8"/>
      <c r="F958" s="8"/>
      <c r="G958" s="8"/>
      <c r="H958" s="8"/>
      <c r="I958" s="8"/>
      <c r="J958" s="8"/>
      <c r="K958" s="8"/>
      <c r="L958" s="8"/>
    </row>
    <row r="959" spans="1:12" ht="15" customHeight="1" x14ac:dyDescent="0.2">
      <c r="A959" s="38"/>
      <c r="B959" s="38"/>
      <c r="C959" s="8"/>
      <c r="D959" s="8"/>
      <c r="E959" s="8"/>
      <c r="F959" s="8"/>
      <c r="G959" s="8"/>
      <c r="H959" s="8"/>
      <c r="I959" s="8"/>
      <c r="J959" s="8"/>
      <c r="K959" s="8"/>
      <c r="L959" s="8"/>
    </row>
    <row r="960" spans="1:12" ht="15" customHeight="1" x14ac:dyDescent="0.2">
      <c r="A960" s="38"/>
      <c r="B960" s="38"/>
      <c r="C960" s="8"/>
      <c r="D960" s="8"/>
      <c r="E960" s="8"/>
      <c r="F960" s="8"/>
      <c r="G960" s="8"/>
      <c r="H960" s="8"/>
      <c r="I960" s="8"/>
      <c r="J960" s="8"/>
      <c r="K960" s="8"/>
      <c r="L960" s="8"/>
    </row>
    <row r="961" spans="1:12" ht="15" customHeight="1" x14ac:dyDescent="0.2">
      <c r="A961" s="38"/>
      <c r="B961" s="38"/>
      <c r="C961" s="8"/>
      <c r="D961" s="8"/>
      <c r="E961" s="8"/>
      <c r="F961" s="8"/>
      <c r="G961" s="8"/>
      <c r="H961" s="8"/>
      <c r="I961" s="8"/>
      <c r="J961" s="8"/>
      <c r="K961" s="8"/>
      <c r="L961" s="8"/>
    </row>
    <row r="962" spans="1:12" ht="15" customHeight="1" x14ac:dyDescent="0.2">
      <c r="A962" s="38"/>
      <c r="B962" s="38"/>
      <c r="C962" s="8"/>
      <c r="D962" s="8"/>
      <c r="E962" s="8"/>
      <c r="F962" s="8"/>
      <c r="G962" s="8"/>
      <c r="H962" s="8"/>
      <c r="I962" s="8"/>
      <c r="J962" s="8"/>
      <c r="K962" s="8"/>
      <c r="L962" s="8"/>
    </row>
    <row r="963" spans="1:12" ht="15" customHeight="1" x14ac:dyDescent="0.2">
      <c r="A963" s="38"/>
      <c r="B963" s="38"/>
      <c r="C963" s="8"/>
      <c r="D963" s="8"/>
      <c r="E963" s="8"/>
      <c r="F963" s="8"/>
      <c r="G963" s="8"/>
      <c r="H963" s="8"/>
      <c r="I963" s="8"/>
      <c r="J963" s="8"/>
      <c r="K963" s="8"/>
      <c r="L963" s="8"/>
    </row>
    <row r="964" spans="1:12" ht="15" customHeight="1" x14ac:dyDescent="0.2">
      <c r="A964" s="38"/>
      <c r="B964" s="38"/>
      <c r="C964" s="8"/>
      <c r="D964" s="8"/>
      <c r="E964" s="8"/>
      <c r="F964" s="8"/>
      <c r="G964" s="8"/>
      <c r="H964" s="8"/>
      <c r="I964" s="8"/>
      <c r="J964" s="8"/>
      <c r="K964" s="8"/>
      <c r="L964" s="8"/>
    </row>
    <row r="965" spans="1:12" ht="15" customHeight="1" x14ac:dyDescent="0.2">
      <c r="A965" s="38"/>
      <c r="B965" s="38"/>
      <c r="C965" s="8"/>
      <c r="D965" s="8"/>
      <c r="E965" s="8"/>
      <c r="F965" s="8"/>
      <c r="G965" s="8"/>
      <c r="H965" s="8"/>
      <c r="I965" s="8"/>
      <c r="J965" s="8"/>
      <c r="K965" s="8"/>
      <c r="L965" s="8"/>
    </row>
    <row r="966" spans="1:12" ht="15" customHeight="1" x14ac:dyDescent="0.2">
      <c r="A966" s="38"/>
      <c r="B966" s="38"/>
      <c r="C966" s="8"/>
      <c r="D966" s="8"/>
      <c r="E966" s="8"/>
      <c r="F966" s="8"/>
      <c r="G966" s="8"/>
      <c r="H966" s="8"/>
      <c r="I966" s="8"/>
      <c r="J966" s="8"/>
      <c r="K966" s="8"/>
      <c r="L966" s="8"/>
    </row>
    <row r="967" spans="1:12" ht="15" customHeight="1" x14ac:dyDescent="0.2">
      <c r="A967" s="38"/>
      <c r="B967" s="38"/>
      <c r="C967" s="8"/>
      <c r="D967" s="8"/>
      <c r="E967" s="8"/>
      <c r="F967" s="8"/>
      <c r="G967" s="8"/>
      <c r="H967" s="8"/>
      <c r="I967" s="8"/>
      <c r="J967" s="8"/>
      <c r="K967" s="8"/>
      <c r="L967" s="8"/>
    </row>
    <row r="968" spans="1:12" ht="15" customHeight="1" x14ac:dyDescent="0.2">
      <c r="A968" s="38"/>
      <c r="B968" s="38"/>
      <c r="C968" s="8"/>
      <c r="D968" s="8"/>
      <c r="E968" s="8"/>
      <c r="F968" s="8"/>
      <c r="G968" s="8"/>
      <c r="H968" s="8"/>
      <c r="I968" s="8"/>
      <c r="J968" s="8"/>
      <c r="K968" s="8"/>
      <c r="L968" s="8"/>
    </row>
    <row r="969" spans="1:12" ht="15" customHeight="1" x14ac:dyDescent="0.2">
      <c r="A969" s="38"/>
      <c r="B969" s="38"/>
      <c r="C969" s="8"/>
      <c r="D969" s="8"/>
      <c r="E969" s="8"/>
      <c r="F969" s="8"/>
      <c r="G969" s="8"/>
      <c r="H969" s="8"/>
      <c r="I969" s="8"/>
      <c r="J969" s="8"/>
      <c r="K969" s="8"/>
      <c r="L969" s="8"/>
    </row>
    <row r="970" spans="1:12" ht="15" customHeight="1" x14ac:dyDescent="0.2">
      <c r="A970" s="38"/>
      <c r="B970" s="38"/>
      <c r="C970" s="8"/>
      <c r="D970" s="8"/>
      <c r="E970" s="8"/>
      <c r="F970" s="8"/>
      <c r="G970" s="8"/>
      <c r="H970" s="8"/>
      <c r="I970" s="8"/>
      <c r="J970" s="8"/>
      <c r="K970" s="8"/>
      <c r="L970" s="8"/>
    </row>
    <row r="971" spans="1:12" ht="15" customHeight="1" x14ac:dyDescent="0.2">
      <c r="A971" s="38"/>
      <c r="B971" s="38"/>
      <c r="C971" s="8"/>
      <c r="D971" s="8"/>
      <c r="E971" s="8"/>
      <c r="F971" s="8"/>
      <c r="G971" s="8"/>
      <c r="H971" s="8"/>
      <c r="I971" s="8"/>
      <c r="J971" s="8"/>
      <c r="K971" s="8"/>
      <c r="L971" s="8"/>
    </row>
    <row r="972" spans="1:12" ht="15" customHeight="1" x14ac:dyDescent="0.2">
      <c r="A972" s="38"/>
      <c r="B972" s="38"/>
      <c r="C972" s="8"/>
      <c r="D972" s="8"/>
      <c r="E972" s="8"/>
      <c r="F972" s="8"/>
      <c r="G972" s="8"/>
      <c r="H972" s="8"/>
      <c r="I972" s="8"/>
      <c r="J972" s="8"/>
      <c r="K972" s="8"/>
      <c r="L972" s="8"/>
    </row>
    <row r="973" spans="1:12" ht="15" customHeight="1" x14ac:dyDescent="0.2">
      <c r="A973" s="38"/>
      <c r="B973" s="38"/>
      <c r="C973" s="8"/>
      <c r="D973" s="8"/>
      <c r="E973" s="8"/>
      <c r="F973" s="8"/>
      <c r="G973" s="8"/>
      <c r="H973" s="8"/>
      <c r="I973" s="8"/>
      <c r="J973" s="8"/>
      <c r="K973" s="8"/>
      <c r="L973" s="8"/>
    </row>
    <row r="974" spans="1:12" ht="15" customHeight="1" x14ac:dyDescent="0.2">
      <c r="A974" s="38"/>
      <c r="B974" s="38"/>
      <c r="C974" s="8"/>
      <c r="D974" s="8"/>
      <c r="E974" s="8"/>
      <c r="F974" s="8"/>
      <c r="G974" s="8"/>
      <c r="H974" s="8"/>
      <c r="I974" s="8"/>
      <c r="J974" s="8"/>
      <c r="K974" s="8"/>
      <c r="L974" s="8"/>
    </row>
    <row r="975" spans="1:12" ht="15" customHeight="1" x14ac:dyDescent="0.2">
      <c r="A975" s="38"/>
      <c r="B975" s="38"/>
      <c r="C975" s="8"/>
      <c r="D975" s="8"/>
      <c r="E975" s="8"/>
      <c r="F975" s="8"/>
      <c r="G975" s="8"/>
      <c r="H975" s="8"/>
      <c r="I975" s="8"/>
      <c r="J975" s="8"/>
      <c r="K975" s="8"/>
      <c r="L975" s="8"/>
    </row>
    <row r="976" spans="1:12" ht="15" customHeight="1" x14ac:dyDescent="0.2">
      <c r="A976" s="38"/>
      <c r="B976" s="38"/>
      <c r="C976" s="8"/>
      <c r="D976" s="8"/>
      <c r="E976" s="8"/>
      <c r="F976" s="8"/>
      <c r="G976" s="8"/>
      <c r="H976" s="8"/>
      <c r="I976" s="8"/>
      <c r="J976" s="8"/>
      <c r="K976" s="8"/>
      <c r="L976" s="8"/>
    </row>
    <row r="977" spans="1:12" ht="15" customHeight="1" x14ac:dyDescent="0.2">
      <c r="A977" s="38"/>
      <c r="B977" s="38"/>
      <c r="C977" s="8"/>
      <c r="D977" s="8"/>
      <c r="E977" s="8"/>
      <c r="F977" s="8"/>
      <c r="G977" s="8"/>
      <c r="H977" s="8"/>
      <c r="I977" s="8"/>
      <c r="J977" s="8"/>
      <c r="K977" s="8"/>
      <c r="L977" s="8"/>
    </row>
    <row r="978" spans="1:12" ht="15" customHeight="1" x14ac:dyDescent="0.2">
      <c r="A978" s="38"/>
      <c r="B978" s="38"/>
      <c r="C978" s="8"/>
      <c r="D978" s="8"/>
      <c r="E978" s="8"/>
      <c r="F978" s="8"/>
      <c r="G978" s="8"/>
      <c r="H978" s="8"/>
      <c r="I978" s="8"/>
      <c r="J978" s="8"/>
      <c r="K978" s="8"/>
      <c r="L978" s="8"/>
    </row>
    <row r="979" spans="1:12" ht="15" customHeight="1" x14ac:dyDescent="0.2">
      <c r="A979" s="38"/>
      <c r="B979" s="38"/>
      <c r="C979" s="8"/>
      <c r="D979" s="8"/>
      <c r="E979" s="8"/>
      <c r="F979" s="8"/>
      <c r="G979" s="8"/>
      <c r="H979" s="8"/>
      <c r="I979" s="8"/>
      <c r="J979" s="8"/>
      <c r="K979" s="8"/>
      <c r="L979" s="8"/>
    </row>
    <row r="980" spans="1:12" ht="15" customHeight="1" x14ac:dyDescent="0.2">
      <c r="A980" s="38"/>
      <c r="B980" s="38"/>
      <c r="C980" s="8"/>
      <c r="D980" s="8"/>
      <c r="E980" s="8"/>
      <c r="F980" s="8"/>
      <c r="G980" s="8"/>
      <c r="H980" s="8"/>
      <c r="I980" s="8"/>
      <c r="J980" s="8"/>
      <c r="K980" s="8"/>
      <c r="L980" s="8"/>
    </row>
    <row r="981" spans="1:12" ht="15" customHeight="1" x14ac:dyDescent="0.2">
      <c r="A981" s="38"/>
      <c r="B981" s="38"/>
      <c r="C981" s="8"/>
      <c r="D981" s="8"/>
      <c r="E981" s="8"/>
      <c r="F981" s="8"/>
      <c r="G981" s="8"/>
      <c r="H981" s="8"/>
      <c r="I981" s="8"/>
      <c r="J981" s="8"/>
      <c r="K981" s="8"/>
      <c r="L981" s="8"/>
    </row>
    <row r="982" spans="1:12" ht="15" customHeight="1" x14ac:dyDescent="0.2">
      <c r="A982" s="38"/>
      <c r="B982" s="38"/>
      <c r="C982" s="8"/>
      <c r="D982" s="8"/>
      <c r="E982" s="8"/>
      <c r="F982" s="8"/>
      <c r="G982" s="8"/>
      <c r="H982" s="8"/>
      <c r="I982" s="8"/>
      <c r="J982" s="8"/>
      <c r="K982" s="8"/>
      <c r="L982" s="8"/>
    </row>
    <row r="983" spans="1:12" ht="15" customHeight="1" x14ac:dyDescent="0.2">
      <c r="A983" s="38"/>
      <c r="B983" s="38"/>
      <c r="C983" s="8"/>
      <c r="D983" s="8"/>
      <c r="E983" s="8"/>
      <c r="F983" s="8"/>
      <c r="G983" s="8"/>
      <c r="H983" s="8"/>
      <c r="I983" s="8"/>
      <c r="J983" s="8"/>
      <c r="K983" s="8"/>
      <c r="L983" s="8"/>
    </row>
    <row r="984" spans="1:12" ht="15" customHeight="1" x14ac:dyDescent="0.2">
      <c r="A984" s="38"/>
      <c r="B984" s="38"/>
      <c r="C984" s="8"/>
      <c r="D984" s="8"/>
      <c r="E984" s="8"/>
      <c r="F984" s="8"/>
      <c r="G984" s="8"/>
      <c r="H984" s="8"/>
      <c r="I984" s="8"/>
      <c r="J984" s="8"/>
      <c r="K984" s="8"/>
      <c r="L984" s="8"/>
    </row>
    <row r="985" spans="1:12" ht="15" customHeight="1" x14ac:dyDescent="0.2">
      <c r="A985" s="38"/>
      <c r="B985" s="38"/>
      <c r="C985" s="8"/>
      <c r="D985" s="8"/>
      <c r="E985" s="8"/>
      <c r="F985" s="8"/>
      <c r="G985" s="8"/>
      <c r="H985" s="8"/>
      <c r="I985" s="8"/>
      <c r="J985" s="8"/>
      <c r="K985" s="8"/>
      <c r="L985" s="8"/>
    </row>
    <row r="986" spans="1:12" ht="15" customHeight="1" x14ac:dyDescent="0.2">
      <c r="A986" s="38"/>
      <c r="B986" s="38"/>
      <c r="C986" s="8"/>
      <c r="D986" s="8"/>
      <c r="E986" s="8"/>
      <c r="F986" s="8"/>
      <c r="G986" s="8"/>
      <c r="H986" s="8"/>
      <c r="I986" s="8"/>
      <c r="J986" s="8"/>
      <c r="K986" s="8"/>
      <c r="L986" s="8"/>
    </row>
    <row r="987" spans="1:12" ht="15" customHeight="1" x14ac:dyDescent="0.2">
      <c r="A987" s="38"/>
      <c r="B987" s="38"/>
      <c r="C987" s="8"/>
      <c r="D987" s="8"/>
      <c r="E987" s="8"/>
      <c r="F987" s="8"/>
      <c r="G987" s="8"/>
      <c r="H987" s="8"/>
      <c r="I987" s="8"/>
      <c r="J987" s="8"/>
      <c r="K987" s="8"/>
      <c r="L987" s="8"/>
    </row>
    <row r="988" spans="1:12" ht="15" customHeight="1" x14ac:dyDescent="0.2">
      <c r="A988" s="38"/>
      <c r="B988" s="38"/>
      <c r="C988" s="8"/>
      <c r="D988" s="8"/>
      <c r="E988" s="8"/>
      <c r="F988" s="8"/>
      <c r="G988" s="8"/>
      <c r="H988" s="8"/>
      <c r="I988" s="8"/>
      <c r="J988" s="8"/>
      <c r="K988" s="8"/>
      <c r="L988" s="8"/>
    </row>
    <row r="989" spans="1:12" ht="15" customHeight="1" x14ac:dyDescent="0.2">
      <c r="A989" s="38"/>
      <c r="B989" s="38"/>
      <c r="C989" s="8"/>
      <c r="D989" s="8"/>
      <c r="E989" s="8"/>
      <c r="F989" s="8"/>
      <c r="G989" s="8"/>
      <c r="H989" s="8"/>
      <c r="I989" s="8"/>
      <c r="J989" s="8"/>
      <c r="K989" s="8"/>
      <c r="L989" s="8"/>
    </row>
    <row r="990" spans="1:12" ht="15" customHeight="1" x14ac:dyDescent="0.2">
      <c r="A990" s="38"/>
      <c r="B990" s="38"/>
      <c r="C990" s="8"/>
      <c r="D990" s="8"/>
      <c r="E990" s="8"/>
      <c r="F990" s="8"/>
      <c r="G990" s="8"/>
      <c r="H990" s="8"/>
      <c r="I990" s="8"/>
      <c r="J990" s="8"/>
      <c r="K990" s="8"/>
      <c r="L990" s="8"/>
    </row>
    <row r="991" spans="1:12" ht="15" customHeight="1" x14ac:dyDescent="0.2">
      <c r="A991" s="38"/>
      <c r="B991" s="38"/>
      <c r="C991" s="8"/>
      <c r="D991" s="8"/>
      <c r="E991" s="8"/>
      <c r="F991" s="8"/>
      <c r="G991" s="8"/>
      <c r="H991" s="8"/>
      <c r="I991" s="8"/>
      <c r="J991" s="8"/>
      <c r="K991" s="8"/>
      <c r="L991" s="8"/>
    </row>
    <row r="992" spans="1:12" ht="15" customHeight="1" x14ac:dyDescent="0.2">
      <c r="A992" s="38"/>
      <c r="B992" s="38"/>
      <c r="C992" s="8"/>
      <c r="D992" s="8"/>
      <c r="E992" s="8"/>
      <c r="F992" s="8"/>
      <c r="G992" s="8"/>
      <c r="H992" s="8"/>
      <c r="I992" s="8"/>
      <c r="J992" s="8"/>
      <c r="K992" s="8"/>
      <c r="L992" s="8"/>
    </row>
    <row r="993" spans="1:12" ht="15" customHeight="1" x14ac:dyDescent="0.2">
      <c r="A993" s="38"/>
      <c r="B993" s="38"/>
      <c r="C993" s="8"/>
      <c r="D993" s="8"/>
      <c r="E993" s="8"/>
      <c r="F993" s="8"/>
      <c r="G993" s="8"/>
      <c r="H993" s="8"/>
      <c r="I993" s="8"/>
      <c r="J993" s="8"/>
      <c r="K993" s="8"/>
      <c r="L993" s="8"/>
    </row>
    <row r="994" spans="1:12" ht="15" customHeight="1" x14ac:dyDescent="0.2">
      <c r="A994" s="38"/>
      <c r="B994" s="38"/>
      <c r="C994" s="8"/>
      <c r="D994" s="8"/>
      <c r="E994" s="8"/>
      <c r="F994" s="8"/>
      <c r="G994" s="8"/>
      <c r="H994" s="8"/>
      <c r="I994" s="8"/>
      <c r="J994" s="8"/>
      <c r="K994" s="8"/>
      <c r="L994" s="8"/>
    </row>
    <row r="995" spans="1:12" ht="15" customHeight="1" x14ac:dyDescent="0.2">
      <c r="A995" s="38"/>
      <c r="B995" s="38"/>
      <c r="C995" s="8"/>
      <c r="D995" s="8"/>
      <c r="E995" s="8"/>
      <c r="F995" s="8"/>
      <c r="G995" s="8"/>
      <c r="H995" s="8"/>
      <c r="I995" s="8"/>
      <c r="J995" s="8"/>
      <c r="K995" s="8"/>
      <c r="L995" s="8"/>
    </row>
    <row r="996" spans="1:12" ht="15" customHeight="1" x14ac:dyDescent="0.2">
      <c r="A996" s="38"/>
      <c r="B996" s="38"/>
      <c r="C996" s="8"/>
      <c r="D996" s="8"/>
      <c r="E996" s="8"/>
      <c r="F996" s="8"/>
      <c r="G996" s="8"/>
      <c r="H996" s="8"/>
      <c r="I996" s="8"/>
      <c r="J996" s="8"/>
      <c r="K996" s="8"/>
      <c r="L996" s="8"/>
    </row>
    <row r="997" spans="1:12" ht="15" customHeight="1" x14ac:dyDescent="0.2">
      <c r="A997" s="38"/>
      <c r="B997" s="38"/>
      <c r="C997" s="8"/>
      <c r="D997" s="8"/>
      <c r="E997" s="8"/>
      <c r="F997" s="8"/>
      <c r="G997" s="8"/>
      <c r="H997" s="8"/>
      <c r="I997" s="8"/>
      <c r="J997" s="8"/>
      <c r="K997" s="8"/>
      <c r="L997" s="8"/>
    </row>
    <row r="998" spans="1:12" ht="15" customHeight="1" x14ac:dyDescent="0.2">
      <c r="A998" s="38"/>
      <c r="B998" s="38"/>
      <c r="C998" s="8"/>
      <c r="D998" s="8"/>
      <c r="E998" s="8"/>
      <c r="F998" s="8"/>
      <c r="G998" s="8"/>
      <c r="H998" s="8"/>
      <c r="I998" s="8"/>
      <c r="J998" s="8"/>
      <c r="K998" s="8"/>
      <c r="L998" s="8"/>
    </row>
    <row r="999" spans="1:12" ht="15" customHeight="1" x14ac:dyDescent="0.2">
      <c r="A999" s="38"/>
      <c r="B999" s="38"/>
      <c r="C999" s="8"/>
      <c r="D999" s="8"/>
      <c r="E999" s="8"/>
      <c r="F999" s="8"/>
      <c r="G999" s="8"/>
      <c r="H999" s="8"/>
      <c r="I999" s="8"/>
      <c r="J999" s="8"/>
      <c r="K999" s="8"/>
      <c r="L999" s="8"/>
    </row>
    <row r="1000" spans="1:12" ht="15" customHeight="1" x14ac:dyDescent="0.2">
      <c r="A1000" s="38"/>
      <c r="B1000" s="38"/>
      <c r="C1000" s="8"/>
      <c r="D1000" s="8"/>
      <c r="E1000" s="8"/>
      <c r="F1000" s="8"/>
      <c r="G1000" s="8"/>
      <c r="H1000" s="8"/>
      <c r="I1000" s="8"/>
      <c r="J1000" s="8"/>
      <c r="K1000" s="8"/>
      <c r="L1000" s="8"/>
    </row>
    <row r="1001" spans="1:12" ht="15" customHeight="1" x14ac:dyDescent="0.2">
      <c r="A1001" s="38"/>
      <c r="B1001" s="38"/>
      <c r="C1001" s="8"/>
      <c r="D1001" s="8"/>
      <c r="E1001" s="8"/>
      <c r="F1001" s="8"/>
      <c r="G1001" s="8"/>
      <c r="H1001" s="8"/>
      <c r="I1001" s="8"/>
      <c r="J1001" s="8"/>
      <c r="K1001" s="8"/>
      <c r="L1001" s="8"/>
    </row>
    <row r="1002" spans="1:12" ht="15" customHeight="1" x14ac:dyDescent="0.2">
      <c r="A1002" s="38"/>
      <c r="B1002" s="38"/>
      <c r="C1002" s="8"/>
      <c r="D1002" s="8"/>
      <c r="E1002" s="8"/>
      <c r="F1002" s="8"/>
      <c r="G1002" s="8"/>
      <c r="H1002" s="8"/>
      <c r="I1002" s="8"/>
      <c r="J1002" s="8"/>
      <c r="K1002" s="8"/>
      <c r="L1002" s="8"/>
    </row>
    <row r="1003" spans="1:12" ht="15" customHeight="1" x14ac:dyDescent="0.2">
      <c r="A1003" s="38"/>
      <c r="B1003" s="38"/>
      <c r="C1003" s="8"/>
      <c r="D1003" s="8"/>
      <c r="E1003" s="8"/>
      <c r="F1003" s="8"/>
      <c r="G1003" s="8"/>
      <c r="H1003" s="8"/>
      <c r="I1003" s="8"/>
      <c r="J1003" s="8"/>
      <c r="K1003" s="8"/>
      <c r="L1003" s="8"/>
    </row>
    <row r="1004" spans="1:12" ht="15" customHeight="1" x14ac:dyDescent="0.2">
      <c r="A1004" s="38"/>
      <c r="B1004" s="38"/>
      <c r="C1004" s="8"/>
      <c r="D1004" s="8"/>
      <c r="E1004" s="8"/>
      <c r="F1004" s="8"/>
      <c r="G1004" s="8"/>
      <c r="H1004" s="8"/>
      <c r="I1004" s="8"/>
      <c r="J1004" s="8"/>
      <c r="K1004" s="8"/>
      <c r="L1004" s="8"/>
    </row>
    <row r="1005" spans="1:12" ht="15" customHeight="1" x14ac:dyDescent="0.2">
      <c r="A1005" s="38"/>
      <c r="B1005" s="38"/>
      <c r="C1005" s="8"/>
      <c r="D1005" s="8"/>
      <c r="E1005" s="8"/>
      <c r="F1005" s="8"/>
      <c r="G1005" s="8"/>
      <c r="H1005" s="8"/>
      <c r="I1005" s="8"/>
      <c r="J1005" s="8"/>
      <c r="K1005" s="8"/>
      <c r="L1005" s="8"/>
    </row>
    <row r="1006" spans="1:12" ht="15" customHeight="1" x14ac:dyDescent="0.2">
      <c r="A1006" s="38"/>
      <c r="B1006" s="38"/>
      <c r="C1006" s="8"/>
      <c r="D1006" s="8"/>
      <c r="E1006" s="8"/>
      <c r="F1006" s="8"/>
      <c r="G1006" s="8"/>
      <c r="H1006" s="8"/>
      <c r="I1006" s="8"/>
      <c r="J1006" s="8"/>
      <c r="K1006" s="8"/>
      <c r="L1006" s="8"/>
    </row>
    <row r="1007" spans="1:12" ht="15" customHeight="1" x14ac:dyDescent="0.2">
      <c r="A1007" s="38"/>
      <c r="B1007" s="38"/>
      <c r="C1007" s="8"/>
      <c r="D1007" s="8"/>
      <c r="E1007" s="8"/>
      <c r="F1007" s="8"/>
      <c r="G1007" s="8"/>
      <c r="H1007" s="8"/>
      <c r="I1007" s="8"/>
      <c r="J1007" s="8"/>
      <c r="K1007" s="8"/>
      <c r="L1007" s="8"/>
    </row>
    <row r="1008" spans="1:12" ht="15" customHeight="1" x14ac:dyDescent="0.2">
      <c r="A1008" s="38"/>
      <c r="B1008" s="38"/>
      <c r="C1008" s="8"/>
      <c r="D1008" s="8"/>
      <c r="E1008" s="8"/>
      <c r="F1008" s="8"/>
      <c r="G1008" s="8"/>
      <c r="H1008" s="8"/>
      <c r="I1008" s="8"/>
      <c r="J1008" s="8"/>
      <c r="K1008" s="8"/>
      <c r="L1008" s="8"/>
    </row>
    <row r="1009" spans="1:12" ht="15" customHeight="1" x14ac:dyDescent="0.2">
      <c r="A1009" s="38"/>
      <c r="B1009" s="38"/>
      <c r="C1009" s="8"/>
      <c r="D1009" s="8"/>
      <c r="E1009" s="8"/>
      <c r="F1009" s="8"/>
      <c r="G1009" s="8"/>
      <c r="H1009" s="8"/>
      <c r="I1009" s="8"/>
      <c r="J1009" s="8"/>
      <c r="K1009" s="8"/>
      <c r="L1009" s="8"/>
    </row>
    <row r="1010" spans="1:12" ht="15" customHeight="1" x14ac:dyDescent="0.2">
      <c r="A1010" s="38"/>
      <c r="B1010" s="38"/>
      <c r="C1010" s="8"/>
      <c r="D1010" s="8"/>
      <c r="E1010" s="8"/>
      <c r="F1010" s="8"/>
      <c r="G1010" s="8"/>
      <c r="H1010" s="8"/>
      <c r="I1010" s="8"/>
      <c r="J1010" s="8"/>
      <c r="K1010" s="8"/>
      <c r="L1010" s="8"/>
    </row>
    <row r="1011" spans="1:12" ht="15" customHeight="1" x14ac:dyDescent="0.2">
      <c r="A1011" s="38"/>
      <c r="B1011" s="38"/>
      <c r="C1011" s="8"/>
      <c r="D1011" s="8"/>
      <c r="E1011" s="8"/>
      <c r="F1011" s="8"/>
      <c r="G1011" s="8"/>
      <c r="H1011" s="8"/>
      <c r="I1011" s="8"/>
      <c r="J1011" s="8"/>
      <c r="K1011" s="8"/>
      <c r="L1011" s="8"/>
    </row>
    <row r="1012" spans="1:12" ht="15" customHeight="1" x14ac:dyDescent="0.2">
      <c r="A1012" s="38"/>
      <c r="B1012" s="38"/>
      <c r="C1012" s="8"/>
      <c r="D1012" s="8"/>
      <c r="E1012" s="8"/>
      <c r="F1012" s="8"/>
      <c r="G1012" s="8"/>
      <c r="H1012" s="8"/>
      <c r="I1012" s="8"/>
      <c r="J1012" s="8"/>
      <c r="K1012" s="8"/>
      <c r="L1012" s="8"/>
    </row>
    <row r="1013" spans="1:12" ht="15" customHeight="1" x14ac:dyDescent="0.2">
      <c r="A1013" s="38"/>
      <c r="B1013" s="38"/>
      <c r="C1013" s="8"/>
      <c r="D1013" s="8"/>
      <c r="E1013" s="8"/>
      <c r="F1013" s="8"/>
      <c r="G1013" s="8"/>
      <c r="H1013" s="8"/>
      <c r="I1013" s="8"/>
      <c r="J1013" s="8"/>
      <c r="K1013" s="8"/>
      <c r="L1013" s="8"/>
    </row>
    <row r="1014" spans="1:12" ht="15" customHeight="1" x14ac:dyDescent="0.2">
      <c r="A1014" s="38"/>
      <c r="B1014" s="38"/>
      <c r="C1014" s="8"/>
      <c r="D1014" s="8"/>
      <c r="E1014" s="8"/>
      <c r="F1014" s="8"/>
      <c r="G1014" s="8"/>
      <c r="H1014" s="8"/>
      <c r="I1014" s="8"/>
      <c r="J1014" s="8"/>
      <c r="K1014" s="8"/>
      <c r="L1014" s="8"/>
    </row>
    <row r="1015" spans="1:12" ht="15" customHeight="1" x14ac:dyDescent="0.2">
      <c r="A1015" s="38"/>
      <c r="B1015" s="38"/>
      <c r="C1015" s="8"/>
      <c r="D1015" s="8"/>
      <c r="E1015" s="8"/>
      <c r="F1015" s="8"/>
      <c r="G1015" s="8"/>
      <c r="H1015" s="8"/>
      <c r="I1015" s="8"/>
      <c r="J1015" s="8"/>
      <c r="K1015" s="8"/>
      <c r="L1015" s="8"/>
    </row>
    <row r="1016" spans="1:12" ht="15" customHeight="1" x14ac:dyDescent="0.2">
      <c r="A1016" s="38"/>
      <c r="B1016" s="38"/>
      <c r="C1016" s="8"/>
      <c r="D1016" s="8"/>
      <c r="E1016" s="8"/>
      <c r="F1016" s="8"/>
      <c r="G1016" s="8"/>
      <c r="H1016" s="8"/>
      <c r="I1016" s="8"/>
      <c r="J1016" s="8"/>
      <c r="K1016" s="8"/>
      <c r="L1016" s="8"/>
    </row>
    <row r="1017" spans="1:12" ht="15" customHeight="1" x14ac:dyDescent="0.2">
      <c r="A1017" s="38"/>
      <c r="B1017" s="38"/>
      <c r="C1017" s="8"/>
      <c r="D1017" s="8"/>
      <c r="E1017" s="8"/>
      <c r="F1017" s="8"/>
      <c r="G1017" s="8"/>
      <c r="H1017" s="8"/>
      <c r="I1017" s="8"/>
      <c r="J1017" s="8"/>
      <c r="K1017" s="8"/>
      <c r="L1017" s="8"/>
    </row>
    <row r="1018" spans="1:12" ht="15" customHeight="1" x14ac:dyDescent="0.2">
      <c r="A1018" s="38"/>
      <c r="B1018" s="38"/>
      <c r="C1018" s="8"/>
      <c r="D1018" s="8"/>
      <c r="E1018" s="8"/>
      <c r="F1018" s="8"/>
      <c r="G1018" s="8"/>
      <c r="H1018" s="8"/>
      <c r="I1018" s="8"/>
      <c r="J1018" s="8"/>
      <c r="K1018" s="8"/>
      <c r="L1018" s="8"/>
    </row>
    <row r="1019" spans="1:12" ht="15" customHeight="1" x14ac:dyDescent="0.2">
      <c r="A1019" s="38"/>
      <c r="B1019" s="38"/>
      <c r="C1019" s="8"/>
      <c r="D1019" s="8"/>
      <c r="E1019" s="8"/>
      <c r="F1019" s="8"/>
      <c r="G1019" s="8"/>
      <c r="H1019" s="8"/>
      <c r="I1019" s="8"/>
      <c r="J1019" s="8"/>
      <c r="K1019" s="8"/>
      <c r="L1019" s="8"/>
    </row>
    <row r="1020" spans="1:12" ht="15" customHeight="1" x14ac:dyDescent="0.2">
      <c r="A1020" s="38"/>
      <c r="B1020" s="38"/>
      <c r="C1020" s="8"/>
      <c r="D1020" s="8"/>
      <c r="E1020" s="8"/>
      <c r="F1020" s="8"/>
      <c r="G1020" s="8"/>
      <c r="H1020" s="8"/>
      <c r="I1020" s="8"/>
      <c r="J1020" s="8"/>
      <c r="K1020" s="8"/>
      <c r="L1020" s="8"/>
    </row>
    <row r="1021" spans="1:12" ht="15" customHeight="1" x14ac:dyDescent="0.2">
      <c r="A1021" s="38"/>
      <c r="B1021" s="38"/>
      <c r="C1021" s="8"/>
      <c r="D1021" s="8"/>
      <c r="E1021" s="8"/>
      <c r="F1021" s="8"/>
      <c r="G1021" s="8"/>
      <c r="H1021" s="8"/>
      <c r="I1021" s="8"/>
      <c r="J1021" s="8"/>
      <c r="K1021" s="8"/>
      <c r="L1021" s="8"/>
    </row>
    <row r="1022" spans="1:12" ht="15" customHeight="1" x14ac:dyDescent="0.2">
      <c r="A1022" s="38"/>
      <c r="B1022" s="38"/>
      <c r="C1022" s="8"/>
      <c r="D1022" s="8"/>
      <c r="E1022" s="8"/>
      <c r="F1022" s="8"/>
      <c r="G1022" s="8"/>
      <c r="H1022" s="8"/>
      <c r="I1022" s="8"/>
      <c r="J1022" s="8"/>
      <c r="K1022" s="8"/>
      <c r="L1022" s="8"/>
    </row>
    <row r="1023" spans="1:12" ht="15" customHeight="1" x14ac:dyDescent="0.2">
      <c r="A1023" s="38"/>
      <c r="B1023" s="38"/>
      <c r="C1023" s="8"/>
      <c r="D1023" s="8"/>
      <c r="E1023" s="8"/>
      <c r="F1023" s="8"/>
      <c r="G1023" s="8"/>
      <c r="H1023" s="8"/>
      <c r="I1023" s="8"/>
      <c r="J1023" s="8"/>
      <c r="K1023" s="8"/>
      <c r="L1023" s="8"/>
    </row>
    <row r="1024" spans="1:12" ht="15" customHeight="1" x14ac:dyDescent="0.2">
      <c r="A1024" s="38"/>
      <c r="B1024" s="38"/>
      <c r="C1024" s="8"/>
      <c r="D1024" s="8"/>
      <c r="E1024" s="8"/>
      <c r="F1024" s="8"/>
      <c r="G1024" s="8"/>
      <c r="H1024" s="8"/>
      <c r="I1024" s="8"/>
      <c r="J1024" s="8"/>
      <c r="K1024" s="8"/>
      <c r="L1024" s="8"/>
    </row>
    <row r="1025" spans="1:12" ht="15" customHeight="1" x14ac:dyDescent="0.2">
      <c r="A1025" s="38"/>
      <c r="B1025" s="38"/>
      <c r="C1025" s="8"/>
      <c r="D1025" s="8"/>
      <c r="E1025" s="8"/>
      <c r="F1025" s="8"/>
      <c r="G1025" s="8"/>
      <c r="H1025" s="8"/>
      <c r="I1025" s="8"/>
      <c r="J1025" s="8"/>
      <c r="K1025" s="8"/>
      <c r="L1025" s="8"/>
    </row>
    <row r="1026" spans="1:12" ht="15" customHeight="1" x14ac:dyDescent="0.2">
      <c r="A1026" s="38"/>
      <c r="B1026" s="38"/>
      <c r="C1026" s="8"/>
      <c r="D1026" s="8"/>
      <c r="E1026" s="8"/>
      <c r="F1026" s="8"/>
      <c r="G1026" s="8"/>
      <c r="H1026" s="8"/>
      <c r="I1026" s="8"/>
      <c r="J1026" s="8"/>
      <c r="K1026" s="8"/>
      <c r="L1026" s="8"/>
    </row>
    <row r="1027" spans="1:12" ht="15" customHeight="1" x14ac:dyDescent="0.2">
      <c r="A1027" s="38"/>
      <c r="B1027" s="38"/>
      <c r="C1027" s="8"/>
      <c r="D1027" s="8"/>
      <c r="E1027" s="8"/>
      <c r="F1027" s="8"/>
      <c r="G1027" s="8"/>
      <c r="H1027" s="8"/>
      <c r="I1027" s="8"/>
      <c r="J1027" s="8"/>
      <c r="K1027" s="8"/>
      <c r="L1027" s="8"/>
    </row>
    <row r="1028" spans="1:12" ht="15" customHeight="1" x14ac:dyDescent="0.2">
      <c r="A1028" s="38"/>
      <c r="B1028" s="38"/>
      <c r="C1028" s="8"/>
      <c r="D1028" s="8"/>
      <c r="E1028" s="8"/>
      <c r="F1028" s="8"/>
      <c r="G1028" s="8"/>
      <c r="H1028" s="8"/>
      <c r="I1028" s="8"/>
      <c r="J1028" s="8"/>
      <c r="K1028" s="8"/>
      <c r="L1028" s="8"/>
    </row>
    <row r="1029" spans="1:12" ht="15" customHeight="1" x14ac:dyDescent="0.2">
      <c r="A1029" s="38"/>
      <c r="B1029" s="38"/>
      <c r="C1029" s="8"/>
      <c r="D1029" s="8"/>
      <c r="E1029" s="8"/>
      <c r="F1029" s="8"/>
      <c r="G1029" s="8"/>
      <c r="H1029" s="8"/>
      <c r="I1029" s="8"/>
      <c r="J1029" s="8"/>
      <c r="K1029" s="8"/>
      <c r="L1029" s="8"/>
    </row>
    <row r="1030" spans="1:12" ht="15" customHeight="1" x14ac:dyDescent="0.2">
      <c r="A1030" s="38"/>
      <c r="B1030" s="38"/>
      <c r="C1030" s="8"/>
      <c r="D1030" s="8"/>
      <c r="E1030" s="8"/>
      <c r="F1030" s="8"/>
      <c r="G1030" s="8"/>
      <c r="H1030" s="8"/>
      <c r="I1030" s="8"/>
      <c r="J1030" s="8"/>
      <c r="K1030" s="8"/>
      <c r="L1030" s="8"/>
    </row>
    <row r="1031" spans="1:12" ht="15" customHeight="1" x14ac:dyDescent="0.2">
      <c r="A1031" s="38"/>
      <c r="B1031" s="38"/>
      <c r="C1031" s="8"/>
      <c r="D1031" s="8"/>
      <c r="E1031" s="8"/>
      <c r="F1031" s="8"/>
      <c r="G1031" s="8"/>
      <c r="H1031" s="8"/>
      <c r="I1031" s="8"/>
      <c r="J1031" s="8"/>
      <c r="K1031" s="8"/>
      <c r="L1031" s="8"/>
    </row>
    <row r="1032" spans="1:12" ht="15" customHeight="1" x14ac:dyDescent="0.2">
      <c r="A1032" s="38"/>
      <c r="B1032" s="38"/>
      <c r="C1032" s="8"/>
      <c r="D1032" s="8"/>
      <c r="E1032" s="8"/>
      <c r="F1032" s="8"/>
      <c r="G1032" s="8"/>
      <c r="H1032" s="8"/>
      <c r="I1032" s="8"/>
      <c r="J1032" s="8"/>
      <c r="K1032" s="8"/>
      <c r="L1032" s="8"/>
    </row>
    <row r="1033" spans="1:12" ht="15" customHeight="1" x14ac:dyDescent="0.2">
      <c r="A1033" s="38"/>
      <c r="B1033" s="38"/>
      <c r="C1033" s="8"/>
      <c r="D1033" s="8"/>
      <c r="E1033" s="8"/>
      <c r="F1033" s="8"/>
      <c r="G1033" s="8"/>
      <c r="H1033" s="8"/>
      <c r="I1033" s="8"/>
      <c r="J1033" s="8"/>
      <c r="K1033" s="8"/>
      <c r="L1033" s="8"/>
    </row>
    <row r="1034" spans="1:12" ht="15" customHeight="1" x14ac:dyDescent="0.2">
      <c r="A1034" s="38"/>
      <c r="B1034" s="38"/>
      <c r="C1034" s="8"/>
      <c r="D1034" s="8"/>
      <c r="E1034" s="8"/>
      <c r="F1034" s="8"/>
      <c r="G1034" s="8"/>
      <c r="H1034" s="8"/>
      <c r="I1034" s="8"/>
      <c r="J1034" s="8"/>
      <c r="K1034" s="8"/>
      <c r="L1034" s="8"/>
    </row>
    <row r="1035" spans="1:12" ht="15" customHeight="1" x14ac:dyDescent="0.2">
      <c r="A1035" s="38"/>
      <c r="B1035" s="38"/>
      <c r="C1035" s="8"/>
      <c r="D1035" s="8"/>
      <c r="E1035" s="8"/>
      <c r="F1035" s="8"/>
      <c r="G1035" s="8"/>
      <c r="H1035" s="8"/>
      <c r="I1035" s="8"/>
      <c r="J1035" s="8"/>
      <c r="K1035" s="8"/>
      <c r="L1035" s="8"/>
    </row>
    <row r="1036" spans="1:12" ht="15" customHeight="1" x14ac:dyDescent="0.2">
      <c r="A1036" s="38"/>
      <c r="B1036" s="38"/>
      <c r="C1036" s="8"/>
      <c r="D1036" s="8"/>
      <c r="E1036" s="8"/>
      <c r="F1036" s="8"/>
      <c r="G1036" s="8"/>
      <c r="H1036" s="8"/>
      <c r="I1036" s="8"/>
      <c r="J1036" s="8"/>
      <c r="K1036" s="8"/>
      <c r="L1036" s="8"/>
    </row>
    <row r="1037" spans="1:12" ht="15" customHeight="1" x14ac:dyDescent="0.2">
      <c r="A1037" s="38"/>
      <c r="B1037" s="38"/>
      <c r="C1037" s="8"/>
      <c r="D1037" s="8"/>
      <c r="E1037" s="8"/>
      <c r="F1037" s="8"/>
      <c r="G1037" s="8"/>
      <c r="H1037" s="8"/>
      <c r="I1037" s="8"/>
      <c r="J1037" s="8"/>
      <c r="K1037" s="8"/>
      <c r="L1037" s="8"/>
    </row>
    <row r="1038" spans="1:12" ht="15" customHeight="1" x14ac:dyDescent="0.2">
      <c r="A1038" s="38"/>
      <c r="B1038" s="38"/>
      <c r="C1038" s="8"/>
      <c r="D1038" s="8"/>
      <c r="E1038" s="8"/>
      <c r="F1038" s="8"/>
      <c r="G1038" s="8"/>
      <c r="H1038" s="8"/>
      <c r="I1038" s="8"/>
      <c r="J1038" s="8"/>
      <c r="K1038" s="8"/>
      <c r="L1038" s="8"/>
    </row>
    <row r="1039" spans="1:12" ht="15" customHeight="1" x14ac:dyDescent="0.2">
      <c r="A1039" s="38"/>
      <c r="B1039" s="38"/>
      <c r="C1039" s="8"/>
      <c r="D1039" s="8"/>
      <c r="E1039" s="8"/>
      <c r="F1039" s="8"/>
      <c r="G1039" s="8"/>
      <c r="H1039" s="8"/>
      <c r="I1039" s="8"/>
      <c r="J1039" s="8"/>
      <c r="K1039" s="8"/>
      <c r="L1039" s="8"/>
    </row>
    <row r="1040" spans="1:12" ht="15" customHeight="1" x14ac:dyDescent="0.2">
      <c r="A1040" s="38"/>
      <c r="B1040" s="38"/>
      <c r="C1040" s="8"/>
      <c r="D1040" s="8"/>
      <c r="E1040" s="8"/>
      <c r="F1040" s="8"/>
      <c r="G1040" s="8"/>
      <c r="H1040" s="8"/>
      <c r="I1040" s="8"/>
      <c r="J1040" s="8"/>
      <c r="K1040" s="8"/>
      <c r="L1040" s="8"/>
    </row>
    <row r="1041" spans="1:12" ht="15" customHeight="1" x14ac:dyDescent="0.2">
      <c r="A1041" s="38"/>
      <c r="B1041" s="38"/>
      <c r="C1041" s="8"/>
      <c r="D1041" s="8"/>
      <c r="E1041" s="8"/>
      <c r="F1041" s="8"/>
      <c r="G1041" s="8"/>
      <c r="H1041" s="8"/>
      <c r="I1041" s="8"/>
      <c r="J1041" s="8"/>
      <c r="K1041" s="8"/>
      <c r="L1041" s="8"/>
    </row>
    <row r="1042" spans="1:12" ht="15" customHeight="1" x14ac:dyDescent="0.2">
      <c r="A1042" s="38"/>
      <c r="B1042" s="38"/>
      <c r="C1042" s="8"/>
      <c r="D1042" s="8"/>
      <c r="E1042" s="8"/>
      <c r="F1042" s="8"/>
      <c r="G1042" s="8"/>
      <c r="H1042" s="8"/>
      <c r="I1042" s="8"/>
      <c r="J1042" s="8"/>
      <c r="K1042" s="8"/>
      <c r="L1042" s="8"/>
    </row>
    <row r="1043" spans="1:12" ht="15" customHeight="1" x14ac:dyDescent="0.2">
      <c r="A1043" s="38"/>
      <c r="B1043" s="38"/>
      <c r="C1043" s="8"/>
      <c r="D1043" s="8"/>
      <c r="E1043" s="8"/>
      <c r="F1043" s="8"/>
      <c r="G1043" s="8"/>
      <c r="H1043" s="8"/>
      <c r="I1043" s="8"/>
      <c r="J1043" s="8"/>
      <c r="K1043" s="8"/>
      <c r="L1043" s="8"/>
    </row>
    <row r="1044" spans="1:12" ht="15" customHeight="1" x14ac:dyDescent="0.2">
      <c r="A1044" s="38"/>
      <c r="B1044" s="38"/>
      <c r="C1044" s="8"/>
      <c r="D1044" s="8"/>
      <c r="E1044" s="8"/>
      <c r="F1044" s="8"/>
      <c r="G1044" s="8"/>
      <c r="H1044" s="8"/>
      <c r="I1044" s="8"/>
      <c r="J1044" s="8"/>
      <c r="K1044" s="8"/>
      <c r="L1044" s="8"/>
    </row>
    <row r="1045" spans="1:12" ht="15" customHeight="1" x14ac:dyDescent="0.2">
      <c r="A1045" s="38"/>
      <c r="B1045" s="38"/>
      <c r="C1045" s="8"/>
      <c r="D1045" s="8"/>
      <c r="E1045" s="8"/>
      <c r="F1045" s="8"/>
      <c r="G1045" s="8"/>
      <c r="H1045" s="8"/>
      <c r="I1045" s="8"/>
      <c r="J1045" s="8"/>
      <c r="K1045" s="8"/>
      <c r="L1045" s="8"/>
    </row>
    <row r="1046" spans="1:12" ht="15" customHeight="1" x14ac:dyDescent="0.2">
      <c r="A1046" s="38"/>
      <c r="B1046" s="38"/>
      <c r="C1046" s="8"/>
      <c r="D1046" s="8"/>
      <c r="E1046" s="8"/>
      <c r="F1046" s="8"/>
      <c r="G1046" s="8"/>
      <c r="H1046" s="8"/>
      <c r="I1046" s="8"/>
      <c r="J1046" s="8"/>
      <c r="K1046" s="8"/>
      <c r="L1046" s="8"/>
    </row>
    <row r="1047" spans="1:12" ht="15" customHeight="1" x14ac:dyDescent="0.2">
      <c r="A1047" s="38"/>
      <c r="B1047" s="38"/>
      <c r="C1047" s="8"/>
      <c r="D1047" s="8"/>
      <c r="E1047" s="8"/>
      <c r="F1047" s="8"/>
      <c r="G1047" s="8"/>
      <c r="H1047" s="8"/>
      <c r="I1047" s="8"/>
      <c r="J1047" s="8"/>
      <c r="K1047" s="8"/>
      <c r="L1047" s="8"/>
    </row>
    <row r="1048" spans="1:12" ht="15" customHeight="1" x14ac:dyDescent="0.2">
      <c r="A1048" s="38"/>
      <c r="B1048" s="38"/>
      <c r="C1048" s="8"/>
      <c r="D1048" s="8"/>
      <c r="E1048" s="8"/>
      <c r="F1048" s="8"/>
      <c r="G1048" s="8"/>
      <c r="H1048" s="8"/>
      <c r="I1048" s="8"/>
      <c r="J1048" s="8"/>
      <c r="K1048" s="8"/>
      <c r="L1048" s="8"/>
    </row>
    <row r="1049" spans="1:12" ht="15" customHeight="1" x14ac:dyDescent="0.2">
      <c r="A1049" s="38"/>
      <c r="B1049" s="38"/>
      <c r="C1049" s="8"/>
      <c r="D1049" s="8"/>
      <c r="E1049" s="8"/>
      <c r="F1049" s="8"/>
      <c r="G1049" s="8"/>
      <c r="H1049" s="8"/>
      <c r="I1049" s="8"/>
      <c r="J1049" s="8"/>
      <c r="K1049" s="8"/>
      <c r="L1049" s="8"/>
    </row>
    <row r="1050" spans="1:12" ht="15" customHeight="1" x14ac:dyDescent="0.2">
      <c r="A1050" s="38"/>
      <c r="B1050" s="38"/>
      <c r="C1050" s="8"/>
      <c r="D1050" s="8"/>
      <c r="E1050" s="8"/>
      <c r="F1050" s="8"/>
      <c r="G1050" s="8"/>
      <c r="H1050" s="8"/>
      <c r="I1050" s="8"/>
      <c r="J1050" s="8"/>
      <c r="K1050" s="8"/>
      <c r="L1050" s="8"/>
    </row>
    <row r="1051" spans="1:12" ht="15" customHeight="1" x14ac:dyDescent="0.2">
      <c r="A1051" s="38"/>
      <c r="B1051" s="38"/>
      <c r="C1051" s="8"/>
      <c r="D1051" s="8"/>
      <c r="E1051" s="8"/>
      <c r="F1051" s="8"/>
      <c r="G1051" s="8"/>
      <c r="H1051" s="8"/>
      <c r="I1051" s="8"/>
      <c r="J1051" s="8"/>
      <c r="K1051" s="8"/>
      <c r="L1051" s="8"/>
    </row>
    <row r="1052" spans="1:12" ht="15" customHeight="1" x14ac:dyDescent="0.2">
      <c r="A1052" s="38"/>
      <c r="B1052" s="38"/>
      <c r="C1052" s="8"/>
      <c r="D1052" s="8"/>
      <c r="E1052" s="8"/>
      <c r="F1052" s="8"/>
      <c r="G1052" s="8"/>
      <c r="H1052" s="8"/>
      <c r="I1052" s="8"/>
      <c r="J1052" s="8"/>
      <c r="K1052" s="8"/>
      <c r="L1052" s="8"/>
    </row>
    <row r="1053" spans="1:12" ht="15" customHeight="1" x14ac:dyDescent="0.2">
      <c r="A1053" s="38"/>
      <c r="B1053" s="38"/>
      <c r="C1053" s="8"/>
      <c r="D1053" s="8"/>
      <c r="E1053" s="8"/>
      <c r="F1053" s="8"/>
      <c r="G1053" s="8"/>
      <c r="H1053" s="8"/>
      <c r="I1053" s="8"/>
      <c r="J1053" s="8"/>
      <c r="K1053" s="8"/>
      <c r="L1053" s="8"/>
    </row>
    <row r="1054" spans="1:12" ht="15" customHeight="1" x14ac:dyDescent="0.2">
      <c r="A1054" s="38"/>
      <c r="B1054" s="38"/>
      <c r="C1054" s="8"/>
      <c r="D1054" s="8"/>
      <c r="E1054" s="8"/>
      <c r="F1054" s="8"/>
      <c r="G1054" s="8"/>
      <c r="H1054" s="8"/>
      <c r="I1054" s="8"/>
      <c r="J1054" s="8"/>
      <c r="K1054" s="8"/>
      <c r="L1054" s="8"/>
    </row>
    <row r="1055" spans="1:12" ht="15" customHeight="1" x14ac:dyDescent="0.2">
      <c r="A1055" s="38"/>
      <c r="B1055" s="38"/>
      <c r="C1055" s="8"/>
      <c r="D1055" s="8"/>
      <c r="E1055" s="8"/>
      <c r="F1055" s="8"/>
      <c r="G1055" s="8"/>
      <c r="H1055" s="8"/>
      <c r="I1055" s="8"/>
      <c r="J1055" s="8"/>
      <c r="K1055" s="8"/>
      <c r="L1055" s="8"/>
    </row>
    <row r="1056" spans="1:12" ht="15" customHeight="1" x14ac:dyDescent="0.2">
      <c r="A1056" s="38"/>
      <c r="B1056" s="38"/>
      <c r="C1056" s="8"/>
      <c r="D1056" s="8"/>
      <c r="E1056" s="8"/>
      <c r="F1056" s="8"/>
      <c r="G1056" s="8"/>
      <c r="H1056" s="8"/>
      <c r="I1056" s="8"/>
      <c r="J1056" s="8"/>
      <c r="K1056" s="8"/>
      <c r="L1056" s="8"/>
    </row>
    <row r="1057" spans="1:12" ht="15" customHeight="1" x14ac:dyDescent="0.2">
      <c r="A1057" s="38"/>
      <c r="B1057" s="38"/>
      <c r="C1057" s="8"/>
      <c r="D1057" s="8"/>
      <c r="E1057" s="8"/>
      <c r="F1057" s="8"/>
      <c r="G1057" s="8"/>
      <c r="H1057" s="8"/>
      <c r="I1057" s="8"/>
      <c r="J1057" s="8"/>
      <c r="K1057" s="8"/>
      <c r="L1057" s="8"/>
    </row>
    <row r="1058" spans="1:12" ht="15" customHeight="1" x14ac:dyDescent="0.2">
      <c r="A1058" s="38"/>
      <c r="B1058" s="38"/>
      <c r="C1058" s="8"/>
      <c r="D1058" s="8"/>
      <c r="E1058" s="8"/>
      <c r="F1058" s="8"/>
      <c r="G1058" s="8"/>
      <c r="H1058" s="8"/>
      <c r="I1058" s="8"/>
      <c r="J1058" s="8"/>
      <c r="K1058" s="8"/>
      <c r="L1058" s="8"/>
    </row>
    <row r="1059" spans="1:12" ht="15" customHeight="1" x14ac:dyDescent="0.2">
      <c r="A1059" s="38"/>
      <c r="B1059" s="38"/>
      <c r="C1059" s="8"/>
      <c r="D1059" s="8"/>
      <c r="E1059" s="8"/>
      <c r="F1059" s="8"/>
      <c r="G1059" s="8"/>
      <c r="H1059" s="8"/>
      <c r="I1059" s="8"/>
      <c r="J1059" s="8"/>
      <c r="K1059" s="8"/>
      <c r="L1059" s="8"/>
    </row>
    <row r="1060" spans="1:12" ht="15" customHeight="1" x14ac:dyDescent="0.2">
      <c r="A1060" s="38"/>
      <c r="B1060" s="38"/>
      <c r="C1060" s="8"/>
      <c r="D1060" s="8"/>
      <c r="E1060" s="8"/>
      <c r="F1060" s="8"/>
      <c r="G1060" s="8"/>
      <c r="H1060" s="8"/>
      <c r="I1060" s="8"/>
      <c r="J1060" s="8"/>
      <c r="K1060" s="8"/>
      <c r="L1060" s="8"/>
    </row>
    <row r="1061" spans="1:12" ht="15" customHeight="1" x14ac:dyDescent="0.2">
      <c r="A1061" s="38"/>
      <c r="B1061" s="38"/>
      <c r="C1061" s="8"/>
      <c r="D1061" s="8"/>
      <c r="E1061" s="8"/>
      <c r="F1061" s="8"/>
      <c r="G1061" s="8"/>
      <c r="H1061" s="8"/>
      <c r="I1061" s="8"/>
      <c r="J1061" s="8"/>
      <c r="K1061" s="8"/>
      <c r="L1061" s="8"/>
    </row>
    <row r="1062" spans="1:12" ht="15" customHeight="1" x14ac:dyDescent="0.2">
      <c r="A1062" s="38"/>
      <c r="B1062" s="38"/>
      <c r="C1062" s="8"/>
      <c r="D1062" s="8"/>
      <c r="E1062" s="8"/>
      <c r="F1062" s="8"/>
      <c r="G1062" s="8"/>
      <c r="H1062" s="8"/>
      <c r="I1062" s="8"/>
      <c r="J1062" s="8"/>
      <c r="K1062" s="8"/>
      <c r="L1062" s="8"/>
    </row>
    <row r="1063" spans="1:12" ht="15" customHeight="1" x14ac:dyDescent="0.2">
      <c r="A1063" s="38"/>
      <c r="B1063" s="38"/>
      <c r="C1063" s="8"/>
      <c r="D1063" s="8"/>
      <c r="E1063" s="8"/>
      <c r="F1063" s="8"/>
      <c r="G1063" s="8"/>
      <c r="H1063" s="8"/>
      <c r="I1063" s="8"/>
      <c r="J1063" s="8"/>
      <c r="K1063" s="8"/>
      <c r="L1063" s="8"/>
    </row>
    <row r="1064" spans="1:12" ht="15" customHeight="1" x14ac:dyDescent="0.2">
      <c r="A1064" s="38"/>
      <c r="B1064" s="38"/>
      <c r="C1064" s="8"/>
      <c r="D1064" s="8"/>
      <c r="E1064" s="8"/>
      <c r="F1064" s="8"/>
      <c r="G1064" s="8"/>
      <c r="H1064" s="8"/>
      <c r="I1064" s="8"/>
      <c r="J1064" s="8"/>
      <c r="K1064" s="8"/>
      <c r="L1064" s="8"/>
    </row>
    <row r="1065" spans="1:12" ht="15" customHeight="1" x14ac:dyDescent="0.2">
      <c r="A1065" s="38"/>
      <c r="B1065" s="38"/>
      <c r="C1065" s="8"/>
      <c r="D1065" s="8"/>
      <c r="E1065" s="8"/>
      <c r="F1065" s="8"/>
      <c r="G1065" s="8"/>
      <c r="H1065" s="8"/>
      <c r="I1065" s="8"/>
      <c r="J1065" s="8"/>
      <c r="K1065" s="8"/>
      <c r="L1065" s="8"/>
    </row>
    <row r="1066" spans="1:12" ht="15" customHeight="1" x14ac:dyDescent="0.2">
      <c r="A1066" s="38"/>
      <c r="B1066" s="38"/>
      <c r="C1066" s="8"/>
      <c r="D1066" s="8"/>
      <c r="E1066" s="8"/>
      <c r="F1066" s="8"/>
      <c r="G1066" s="8"/>
      <c r="H1066" s="8"/>
      <c r="I1066" s="8"/>
      <c r="J1066" s="8"/>
      <c r="K1066" s="8"/>
      <c r="L1066" s="8"/>
    </row>
    <row r="1067" spans="1:12" ht="15" customHeight="1" x14ac:dyDescent="0.2">
      <c r="A1067" s="38"/>
      <c r="B1067" s="38"/>
      <c r="C1067" s="8"/>
      <c r="D1067" s="8"/>
      <c r="E1067" s="8"/>
      <c r="F1067" s="8"/>
      <c r="G1067" s="8"/>
      <c r="H1067" s="8"/>
      <c r="I1067" s="8"/>
      <c r="J1067" s="8"/>
      <c r="K1067" s="8"/>
      <c r="L1067" s="8"/>
    </row>
    <row r="1068" spans="1:12" ht="15" customHeight="1" x14ac:dyDescent="0.2">
      <c r="A1068" s="38"/>
      <c r="B1068" s="38"/>
      <c r="C1068" s="8"/>
      <c r="D1068" s="8"/>
      <c r="E1068" s="8"/>
      <c r="F1068" s="8"/>
      <c r="G1068" s="8"/>
      <c r="H1068" s="8"/>
      <c r="I1068" s="8"/>
      <c r="J1068" s="8"/>
      <c r="K1068" s="8"/>
      <c r="L1068" s="8"/>
    </row>
    <row r="1069" spans="1:12" ht="15" customHeight="1" x14ac:dyDescent="0.2">
      <c r="A1069" s="38"/>
      <c r="B1069" s="38"/>
      <c r="C1069" s="8"/>
      <c r="D1069" s="8"/>
      <c r="E1069" s="8"/>
      <c r="F1069" s="8"/>
      <c r="G1069" s="8"/>
      <c r="H1069" s="8"/>
      <c r="I1069" s="8"/>
      <c r="J1069" s="8"/>
      <c r="K1069" s="8"/>
      <c r="L1069" s="8"/>
    </row>
    <row r="1070" spans="1:12" ht="15" customHeight="1" x14ac:dyDescent="0.2">
      <c r="A1070" s="38"/>
      <c r="B1070" s="38"/>
      <c r="C1070" s="8"/>
      <c r="D1070" s="8"/>
      <c r="E1070" s="8"/>
      <c r="F1070" s="8"/>
      <c r="G1070" s="8"/>
      <c r="H1070" s="8"/>
      <c r="I1070" s="8"/>
      <c r="J1070" s="8"/>
      <c r="K1070" s="8"/>
      <c r="L1070" s="8"/>
    </row>
    <row r="1071" spans="1:12" ht="15" customHeight="1" x14ac:dyDescent="0.2">
      <c r="A1071" s="38"/>
      <c r="B1071" s="38"/>
      <c r="C1071" s="8"/>
      <c r="D1071" s="8"/>
      <c r="E1071" s="8"/>
      <c r="F1071" s="8"/>
      <c r="G1071" s="8"/>
      <c r="H1071" s="8"/>
      <c r="I1071" s="8"/>
      <c r="J1071" s="8"/>
      <c r="K1071" s="8"/>
      <c r="L1071" s="8"/>
    </row>
    <row r="1072" spans="1:12" ht="15" customHeight="1" x14ac:dyDescent="0.2">
      <c r="A1072" s="38"/>
      <c r="B1072" s="38"/>
      <c r="C1072" s="8"/>
      <c r="D1072" s="8"/>
      <c r="E1072" s="8"/>
      <c r="F1072" s="8"/>
      <c r="G1072" s="8"/>
      <c r="H1072" s="8"/>
      <c r="I1072" s="8"/>
      <c r="J1072" s="8"/>
      <c r="K1072" s="8"/>
      <c r="L1072" s="8"/>
    </row>
    <row r="1073" spans="1:12" ht="15" customHeight="1" x14ac:dyDescent="0.2">
      <c r="A1073" s="38"/>
      <c r="B1073" s="38"/>
      <c r="C1073" s="8"/>
      <c r="D1073" s="8"/>
      <c r="E1073" s="8"/>
      <c r="F1073" s="8"/>
      <c r="G1073" s="8"/>
      <c r="H1073" s="8"/>
      <c r="I1073" s="8"/>
      <c r="J1073" s="8"/>
      <c r="K1073" s="8"/>
      <c r="L1073" s="8"/>
    </row>
    <row r="1074" spans="1:12" ht="15" customHeight="1" x14ac:dyDescent="0.2">
      <c r="A1074" s="38"/>
      <c r="B1074" s="38"/>
      <c r="C1074" s="8"/>
      <c r="D1074" s="8"/>
      <c r="E1074" s="8"/>
      <c r="F1074" s="8"/>
      <c r="G1074" s="8"/>
      <c r="H1074" s="8"/>
      <c r="I1074" s="8"/>
      <c r="J1074" s="8"/>
      <c r="K1074" s="8"/>
      <c r="L1074" s="8"/>
    </row>
    <row r="1075" spans="1:12" ht="15" customHeight="1" x14ac:dyDescent="0.2">
      <c r="A1075" s="38"/>
      <c r="B1075" s="38"/>
      <c r="C1075" s="8"/>
      <c r="D1075" s="8"/>
      <c r="E1075" s="8"/>
      <c r="F1075" s="8"/>
      <c r="G1075" s="8"/>
      <c r="H1075" s="8"/>
      <c r="I1075" s="8"/>
      <c r="J1075" s="8"/>
      <c r="K1075" s="8"/>
      <c r="L1075" s="8"/>
    </row>
    <row r="1076" spans="1:12" ht="15" customHeight="1" x14ac:dyDescent="0.2">
      <c r="A1076" s="38"/>
      <c r="B1076" s="38"/>
      <c r="C1076" s="8"/>
      <c r="D1076" s="8"/>
      <c r="E1076" s="8"/>
      <c r="F1076" s="8"/>
      <c r="G1076" s="8"/>
      <c r="H1076" s="8"/>
      <c r="I1076" s="8"/>
      <c r="J1076" s="8"/>
      <c r="K1076" s="8"/>
      <c r="L1076" s="8"/>
    </row>
    <row r="1077" spans="1:12" ht="15" customHeight="1" x14ac:dyDescent="0.2">
      <c r="A1077" s="38"/>
      <c r="B1077" s="38"/>
      <c r="C1077" s="8"/>
      <c r="D1077" s="8"/>
      <c r="E1077" s="8"/>
      <c r="F1077" s="8"/>
      <c r="G1077" s="8"/>
      <c r="H1077" s="8"/>
      <c r="I1077" s="8"/>
      <c r="J1077" s="8"/>
      <c r="K1077" s="8"/>
      <c r="L1077" s="8"/>
    </row>
    <row r="1078" spans="1:12" ht="15" customHeight="1" x14ac:dyDescent="0.2">
      <c r="A1078" s="38"/>
      <c r="B1078" s="38"/>
      <c r="C1078" s="8"/>
      <c r="D1078" s="8"/>
      <c r="E1078" s="8"/>
      <c r="F1078" s="8"/>
      <c r="G1078" s="8"/>
      <c r="H1078" s="8"/>
      <c r="I1078" s="8"/>
      <c r="J1078" s="8"/>
      <c r="K1078" s="8"/>
      <c r="L1078" s="8"/>
    </row>
    <row r="1079" spans="1:12" ht="15" customHeight="1" x14ac:dyDescent="0.2">
      <c r="A1079" s="38"/>
      <c r="B1079" s="38"/>
      <c r="C1079" s="8"/>
      <c r="D1079" s="8"/>
      <c r="E1079" s="8"/>
      <c r="F1079" s="8"/>
      <c r="G1079" s="8"/>
      <c r="H1079" s="8"/>
      <c r="I1079" s="8"/>
      <c r="J1079" s="8"/>
      <c r="K1079" s="8"/>
      <c r="L1079" s="8"/>
    </row>
    <row r="1080" spans="1:12" ht="15" customHeight="1" x14ac:dyDescent="0.2">
      <c r="A1080" s="38"/>
      <c r="B1080" s="38"/>
      <c r="C1080" s="8"/>
      <c r="D1080" s="8"/>
      <c r="E1080" s="8"/>
      <c r="F1080" s="8"/>
      <c r="G1080" s="8"/>
      <c r="H1080" s="8"/>
      <c r="I1080" s="8"/>
      <c r="J1080" s="8"/>
      <c r="K1080" s="8"/>
      <c r="L1080" s="8"/>
    </row>
    <row r="1081" spans="1:12" ht="15" customHeight="1" x14ac:dyDescent="0.2">
      <c r="A1081" s="38"/>
      <c r="B1081" s="38"/>
      <c r="C1081" s="8"/>
      <c r="D1081" s="8"/>
      <c r="E1081" s="8"/>
      <c r="F1081" s="8"/>
      <c r="G1081" s="8"/>
      <c r="H1081" s="8"/>
      <c r="I1081" s="8"/>
      <c r="J1081" s="8"/>
      <c r="K1081" s="8"/>
      <c r="L1081" s="8"/>
    </row>
    <row r="1082" spans="1:12" ht="15" customHeight="1" x14ac:dyDescent="0.2">
      <c r="A1082" s="38"/>
      <c r="B1082" s="38"/>
      <c r="C1082" s="8"/>
      <c r="D1082" s="8"/>
      <c r="E1082" s="8"/>
      <c r="F1082" s="8"/>
      <c r="G1082" s="8"/>
      <c r="H1082" s="8"/>
      <c r="I1082" s="8"/>
      <c r="J1082" s="8"/>
      <c r="K1082" s="8"/>
      <c r="L1082" s="8"/>
    </row>
    <row r="1083" spans="1:12" ht="15" customHeight="1" x14ac:dyDescent="0.2">
      <c r="A1083" s="38"/>
      <c r="B1083" s="38"/>
      <c r="C1083" s="8"/>
      <c r="D1083" s="8"/>
      <c r="E1083" s="8"/>
      <c r="F1083" s="8"/>
      <c r="G1083" s="8"/>
      <c r="H1083" s="8"/>
      <c r="I1083" s="8"/>
      <c r="J1083" s="8"/>
      <c r="K1083" s="8"/>
      <c r="L1083" s="8"/>
    </row>
    <row r="1084" spans="1:12" ht="15" customHeight="1" x14ac:dyDescent="0.2">
      <c r="A1084" s="38"/>
      <c r="B1084" s="38"/>
      <c r="C1084" s="8"/>
      <c r="D1084" s="8"/>
      <c r="E1084" s="8"/>
      <c r="F1084" s="8"/>
      <c r="G1084" s="8"/>
      <c r="H1084" s="8"/>
      <c r="I1084" s="8"/>
      <c r="J1084" s="8"/>
      <c r="K1084" s="8"/>
      <c r="L1084" s="8"/>
    </row>
    <row r="1085" spans="1:12" ht="15" customHeight="1" x14ac:dyDescent="0.2">
      <c r="A1085" s="38"/>
      <c r="B1085" s="38"/>
      <c r="C1085" s="8"/>
      <c r="D1085" s="8"/>
      <c r="E1085" s="8"/>
      <c r="F1085" s="8"/>
      <c r="G1085" s="8"/>
      <c r="H1085" s="8"/>
      <c r="I1085" s="8"/>
      <c r="J1085" s="8"/>
      <c r="K1085" s="8"/>
      <c r="L1085" s="8"/>
    </row>
    <row r="1086" spans="1:12" ht="15" customHeight="1" x14ac:dyDescent="0.2">
      <c r="A1086" s="38"/>
      <c r="B1086" s="38"/>
      <c r="C1086" s="8"/>
      <c r="D1086" s="8"/>
      <c r="E1086" s="8"/>
      <c r="F1086" s="8"/>
      <c r="G1086" s="8"/>
      <c r="H1086" s="8"/>
      <c r="I1086" s="8"/>
      <c r="J1086" s="8"/>
      <c r="K1086" s="8"/>
      <c r="L1086" s="8"/>
    </row>
    <row r="1087" spans="1:12" ht="15" customHeight="1" x14ac:dyDescent="0.2">
      <c r="A1087" s="38"/>
      <c r="B1087" s="38"/>
      <c r="C1087" s="8"/>
      <c r="D1087" s="8"/>
      <c r="E1087" s="8"/>
      <c r="F1087" s="8"/>
      <c r="G1087" s="8"/>
      <c r="H1087" s="8"/>
      <c r="I1087" s="8"/>
      <c r="J1087" s="8"/>
      <c r="K1087" s="8"/>
      <c r="L1087" s="8"/>
    </row>
    <row r="1088" spans="1:12" ht="15" customHeight="1" x14ac:dyDescent="0.2">
      <c r="A1088" s="38"/>
      <c r="B1088" s="38"/>
      <c r="C1088" s="8"/>
      <c r="D1088" s="8"/>
      <c r="E1088" s="8"/>
      <c r="F1088" s="8"/>
      <c r="G1088" s="8"/>
      <c r="H1088" s="8"/>
      <c r="I1088" s="8"/>
      <c r="J1088" s="8"/>
      <c r="K1088" s="8"/>
      <c r="L1088" s="8"/>
    </row>
    <row r="1089" spans="1:12" ht="15" customHeight="1" x14ac:dyDescent="0.2">
      <c r="A1089" s="38"/>
      <c r="B1089" s="38"/>
      <c r="C1089" s="8"/>
      <c r="D1089" s="8"/>
      <c r="E1089" s="8"/>
      <c r="F1089" s="8"/>
      <c r="G1089" s="8"/>
      <c r="H1089" s="8"/>
      <c r="I1089" s="8"/>
      <c r="J1089" s="8"/>
      <c r="K1089" s="8"/>
      <c r="L1089" s="8"/>
    </row>
    <row r="1090" spans="1:12" ht="15" customHeight="1" x14ac:dyDescent="0.2">
      <c r="A1090" s="38"/>
      <c r="B1090" s="38"/>
      <c r="C1090" s="8"/>
      <c r="D1090" s="8"/>
      <c r="E1090" s="8"/>
      <c r="F1090" s="8"/>
      <c r="G1090" s="8"/>
      <c r="H1090" s="8"/>
      <c r="I1090" s="8"/>
      <c r="J1090" s="8"/>
      <c r="K1090" s="8"/>
      <c r="L1090" s="8"/>
    </row>
    <row r="1091" spans="1:12" ht="15" customHeight="1" x14ac:dyDescent="0.2">
      <c r="A1091" s="38"/>
      <c r="B1091" s="38"/>
      <c r="C1091" s="8"/>
      <c r="D1091" s="8"/>
      <c r="E1091" s="8"/>
      <c r="F1091" s="8"/>
      <c r="G1091" s="8"/>
      <c r="H1091" s="8"/>
      <c r="I1091" s="8"/>
      <c r="J1091" s="8"/>
      <c r="K1091" s="8"/>
      <c r="L1091" s="8"/>
    </row>
    <row r="1092" spans="1:12" ht="15" customHeight="1" x14ac:dyDescent="0.2">
      <c r="A1092" s="38"/>
      <c r="B1092" s="38"/>
      <c r="C1092" s="8"/>
      <c r="D1092" s="8"/>
      <c r="E1092" s="8"/>
      <c r="F1092" s="8"/>
      <c r="G1092" s="8"/>
      <c r="H1092" s="8"/>
      <c r="I1092" s="8"/>
      <c r="J1092" s="8"/>
      <c r="K1092" s="8"/>
      <c r="L1092" s="8"/>
    </row>
    <row r="1093" spans="1:12" ht="15" customHeight="1" x14ac:dyDescent="0.2">
      <c r="A1093" s="38"/>
      <c r="B1093" s="38"/>
      <c r="C1093" s="8"/>
      <c r="D1093" s="8"/>
      <c r="E1093" s="8"/>
      <c r="F1093" s="8"/>
      <c r="G1093" s="8"/>
      <c r="H1093" s="8"/>
      <c r="I1093" s="8"/>
      <c r="J1093" s="8"/>
      <c r="K1093" s="8"/>
      <c r="L1093" s="8"/>
    </row>
    <row r="1094" spans="1:12" ht="15" customHeight="1" x14ac:dyDescent="0.2">
      <c r="A1094" s="38"/>
      <c r="B1094" s="38"/>
      <c r="C1094" s="8"/>
      <c r="D1094" s="8"/>
      <c r="E1094" s="8"/>
      <c r="F1094" s="8"/>
      <c r="G1094" s="8"/>
      <c r="H1094" s="8"/>
      <c r="I1094" s="8"/>
      <c r="J1094" s="8"/>
      <c r="K1094" s="8"/>
      <c r="L1094" s="8"/>
    </row>
    <row r="1095" spans="1:12" ht="15" customHeight="1" x14ac:dyDescent="0.2">
      <c r="A1095" s="38"/>
      <c r="B1095" s="38"/>
      <c r="C1095" s="8"/>
      <c r="D1095" s="8"/>
      <c r="E1095" s="8"/>
      <c r="F1095" s="8"/>
      <c r="G1095" s="8"/>
      <c r="H1095" s="8"/>
      <c r="I1095" s="8"/>
      <c r="J1095" s="8"/>
      <c r="K1095" s="8"/>
      <c r="L1095" s="8"/>
    </row>
    <row r="1096" spans="1:12" ht="15" customHeight="1" x14ac:dyDescent="0.2">
      <c r="A1096" s="38"/>
      <c r="B1096" s="38"/>
      <c r="C1096" s="8"/>
      <c r="D1096" s="8"/>
      <c r="E1096" s="8"/>
      <c r="F1096" s="8"/>
      <c r="G1096" s="8"/>
      <c r="H1096" s="8"/>
      <c r="I1096" s="8"/>
      <c r="J1096" s="8"/>
      <c r="K1096" s="8"/>
      <c r="L1096" s="8"/>
    </row>
    <row r="1097" spans="1:12" ht="15" customHeight="1" x14ac:dyDescent="0.2">
      <c r="A1097" s="38"/>
      <c r="B1097" s="38"/>
      <c r="C1097" s="8"/>
      <c r="D1097" s="8"/>
      <c r="E1097" s="8"/>
      <c r="F1097" s="8"/>
      <c r="G1097" s="8"/>
      <c r="H1097" s="8"/>
      <c r="I1097" s="8"/>
      <c r="J1097" s="8"/>
      <c r="K1097" s="8"/>
      <c r="L1097" s="8"/>
    </row>
    <row r="1098" spans="1:12" ht="15" customHeight="1" x14ac:dyDescent="0.2">
      <c r="A1098" s="38"/>
      <c r="B1098" s="38"/>
      <c r="C1098" s="8"/>
      <c r="D1098" s="8"/>
      <c r="E1098" s="8"/>
      <c r="F1098" s="8"/>
      <c r="G1098" s="8"/>
      <c r="H1098" s="8"/>
      <c r="I1098" s="8"/>
      <c r="J1098" s="8"/>
      <c r="K1098" s="8"/>
      <c r="L1098" s="8"/>
    </row>
    <row r="1099" spans="1:12" ht="15" customHeight="1" x14ac:dyDescent="0.2">
      <c r="A1099" s="38"/>
      <c r="B1099" s="38"/>
      <c r="C1099" s="8"/>
      <c r="D1099" s="8"/>
      <c r="E1099" s="8"/>
      <c r="F1099" s="8"/>
      <c r="G1099" s="8"/>
      <c r="H1099" s="8"/>
      <c r="I1099" s="8"/>
      <c r="J1099" s="8"/>
      <c r="K1099" s="8"/>
      <c r="L1099" s="8"/>
    </row>
    <row r="1100" spans="1:12" ht="15" customHeight="1" x14ac:dyDescent="0.2">
      <c r="A1100" s="38"/>
      <c r="B1100" s="38"/>
      <c r="C1100" s="8"/>
      <c r="D1100" s="8"/>
      <c r="E1100" s="8"/>
      <c r="F1100" s="8"/>
      <c r="G1100" s="8"/>
      <c r="H1100" s="8"/>
      <c r="I1100" s="8"/>
      <c r="J1100" s="8"/>
      <c r="K1100" s="8"/>
      <c r="L1100" s="8"/>
    </row>
    <row r="1101" spans="1:12" ht="15" customHeight="1" x14ac:dyDescent="0.2">
      <c r="A1101" s="38"/>
      <c r="B1101" s="38"/>
      <c r="C1101" s="8"/>
      <c r="D1101" s="8"/>
      <c r="E1101" s="8"/>
      <c r="F1101" s="8"/>
      <c r="G1101" s="8"/>
      <c r="H1101" s="8"/>
      <c r="I1101" s="8"/>
      <c r="J1101" s="8"/>
      <c r="K1101" s="8"/>
      <c r="L1101" s="8"/>
    </row>
    <row r="1102" spans="1:12" ht="15" customHeight="1" x14ac:dyDescent="0.2">
      <c r="A1102" s="38"/>
      <c r="B1102" s="38"/>
      <c r="C1102" s="8"/>
      <c r="D1102" s="8"/>
      <c r="E1102" s="8"/>
      <c r="F1102" s="8"/>
      <c r="G1102" s="8"/>
      <c r="H1102" s="8"/>
      <c r="I1102" s="8"/>
      <c r="J1102" s="8"/>
      <c r="K1102" s="8"/>
      <c r="L1102" s="8"/>
    </row>
    <row r="1103" spans="1:12" ht="15" customHeight="1" x14ac:dyDescent="0.2">
      <c r="A1103" s="38"/>
      <c r="B1103" s="38"/>
      <c r="C1103" s="8"/>
      <c r="D1103" s="8"/>
      <c r="E1103" s="8"/>
      <c r="F1103" s="8"/>
      <c r="G1103" s="8"/>
      <c r="H1103" s="8"/>
      <c r="I1103" s="8"/>
      <c r="J1103" s="8"/>
      <c r="K1103" s="8"/>
      <c r="L1103" s="8"/>
    </row>
    <row r="1104" spans="1:12" ht="15" customHeight="1" x14ac:dyDescent="0.2">
      <c r="A1104" s="38"/>
      <c r="B1104" s="38"/>
      <c r="C1104" s="8"/>
      <c r="D1104" s="8"/>
      <c r="E1104" s="8"/>
      <c r="F1104" s="8"/>
      <c r="G1104" s="8"/>
      <c r="H1104" s="8"/>
      <c r="I1104" s="8"/>
      <c r="J1104" s="8"/>
      <c r="K1104" s="8"/>
      <c r="L1104" s="8"/>
    </row>
    <row r="1105" spans="1:12" ht="15" customHeight="1" x14ac:dyDescent="0.2">
      <c r="A1105" s="38"/>
      <c r="B1105" s="38"/>
      <c r="C1105" s="8"/>
      <c r="D1105" s="8"/>
      <c r="E1105" s="8"/>
      <c r="F1105" s="8"/>
      <c r="G1105" s="8"/>
      <c r="H1105" s="8"/>
      <c r="I1105" s="8"/>
      <c r="J1105" s="8"/>
      <c r="K1105" s="8"/>
      <c r="L1105" s="8"/>
    </row>
    <row r="1106" spans="1:12" ht="15" customHeight="1" x14ac:dyDescent="0.2">
      <c r="A1106" s="38"/>
      <c r="B1106" s="38"/>
      <c r="C1106" s="8"/>
      <c r="D1106" s="8"/>
      <c r="E1106" s="8"/>
      <c r="F1106" s="8"/>
      <c r="G1106" s="8"/>
      <c r="H1106" s="8"/>
      <c r="I1106" s="8"/>
      <c r="J1106" s="8"/>
      <c r="K1106" s="8"/>
      <c r="L1106" s="8"/>
    </row>
    <row r="1107" spans="1:12" ht="15" customHeight="1" x14ac:dyDescent="0.2">
      <c r="A1107" s="38"/>
      <c r="B1107" s="38"/>
      <c r="C1107" s="8"/>
      <c r="D1107" s="8"/>
      <c r="E1107" s="8"/>
      <c r="F1107" s="8"/>
      <c r="G1107" s="8"/>
      <c r="H1107" s="8"/>
      <c r="I1107" s="8"/>
      <c r="J1107" s="8"/>
      <c r="K1107" s="8"/>
      <c r="L1107" s="8"/>
    </row>
    <row r="1108" spans="1:12" ht="15" customHeight="1" x14ac:dyDescent="0.2">
      <c r="A1108" s="38"/>
      <c r="B1108" s="38"/>
      <c r="C1108" s="8"/>
      <c r="D1108" s="8"/>
      <c r="E1108" s="8"/>
      <c r="F1108" s="8"/>
      <c r="G1108" s="8"/>
      <c r="H1108" s="8"/>
      <c r="I1108" s="8"/>
      <c r="J1108" s="8"/>
      <c r="K1108" s="8"/>
      <c r="L1108" s="8"/>
    </row>
    <row r="1109" spans="1:12" ht="15" customHeight="1" x14ac:dyDescent="0.2">
      <c r="A1109" s="38"/>
      <c r="B1109" s="38"/>
      <c r="C1109" s="8"/>
      <c r="D1109" s="8"/>
      <c r="E1109" s="8"/>
      <c r="F1109" s="8"/>
      <c r="G1109" s="8"/>
      <c r="H1109" s="8"/>
      <c r="I1109" s="8"/>
      <c r="J1109" s="8"/>
      <c r="K1109" s="8"/>
      <c r="L1109" s="8"/>
    </row>
    <row r="1110" spans="1:12" ht="15" customHeight="1" x14ac:dyDescent="0.2">
      <c r="A1110" s="38"/>
      <c r="B1110" s="38"/>
      <c r="C1110" s="8"/>
      <c r="D1110" s="8"/>
      <c r="E1110" s="8"/>
      <c r="F1110" s="8"/>
      <c r="G1110" s="8"/>
      <c r="H1110" s="8"/>
      <c r="I1110" s="8"/>
      <c r="J1110" s="8"/>
      <c r="K1110" s="8"/>
      <c r="L1110" s="8"/>
    </row>
    <row r="1111" spans="1:12" ht="15" customHeight="1" x14ac:dyDescent="0.2">
      <c r="A1111" s="38"/>
      <c r="B1111" s="38"/>
      <c r="C1111" s="8"/>
      <c r="D1111" s="8"/>
      <c r="E1111" s="8"/>
      <c r="F1111" s="8"/>
      <c r="G1111" s="8"/>
      <c r="H1111" s="8"/>
      <c r="I1111" s="8"/>
      <c r="J1111" s="8"/>
      <c r="K1111" s="8"/>
      <c r="L1111" s="8"/>
    </row>
    <row r="1112" spans="1:12" ht="15" customHeight="1" x14ac:dyDescent="0.2">
      <c r="A1112" s="38"/>
      <c r="B1112" s="38"/>
      <c r="C1112" s="8"/>
      <c r="D1112" s="8"/>
      <c r="E1112" s="8"/>
      <c r="F1112" s="8"/>
      <c r="G1112" s="8"/>
      <c r="H1112" s="8"/>
      <c r="I1112" s="8"/>
      <c r="J1112" s="8"/>
      <c r="K1112" s="8"/>
      <c r="L1112" s="8"/>
    </row>
    <row r="1113" spans="1:12" ht="15" customHeight="1" x14ac:dyDescent="0.2">
      <c r="A1113" s="38"/>
      <c r="B1113" s="38"/>
      <c r="C1113" s="8"/>
      <c r="D1113" s="8"/>
      <c r="E1113" s="8"/>
      <c r="F1113" s="8"/>
      <c r="G1113" s="8"/>
      <c r="H1113" s="8"/>
      <c r="I1113" s="8"/>
      <c r="J1113" s="8"/>
      <c r="K1113" s="8"/>
      <c r="L1113" s="8"/>
    </row>
    <row r="1114" spans="1:12" ht="15" customHeight="1" x14ac:dyDescent="0.2">
      <c r="A1114" s="38"/>
      <c r="B1114" s="38"/>
      <c r="C1114" s="8"/>
      <c r="D1114" s="8"/>
      <c r="E1114" s="8"/>
      <c r="F1114" s="8"/>
      <c r="G1114" s="8"/>
      <c r="H1114" s="8"/>
      <c r="I1114" s="8"/>
      <c r="J1114" s="8"/>
      <c r="K1114" s="8"/>
      <c r="L1114" s="8"/>
    </row>
    <row r="1115" spans="1:12" ht="15" customHeight="1" x14ac:dyDescent="0.2">
      <c r="A1115" s="38"/>
      <c r="B1115" s="38"/>
      <c r="C1115" s="8"/>
      <c r="D1115" s="8"/>
      <c r="E1115" s="8"/>
      <c r="F1115" s="8"/>
      <c r="G1115" s="8"/>
      <c r="H1115" s="8"/>
      <c r="I1115" s="8"/>
      <c r="J1115" s="8"/>
      <c r="K1115" s="8"/>
      <c r="L1115" s="8"/>
    </row>
    <row r="1116" spans="1:12" ht="15" customHeight="1" x14ac:dyDescent="0.2">
      <c r="A1116" s="38"/>
      <c r="B1116" s="38"/>
      <c r="C1116" s="8"/>
      <c r="D1116" s="8"/>
      <c r="E1116" s="8"/>
      <c r="F1116" s="8"/>
      <c r="G1116" s="8"/>
      <c r="H1116" s="8"/>
      <c r="I1116" s="8"/>
      <c r="J1116" s="8"/>
      <c r="K1116" s="8"/>
      <c r="L1116" s="8"/>
    </row>
    <row r="1117" spans="1:12" ht="15" customHeight="1" x14ac:dyDescent="0.2">
      <c r="A1117" s="38"/>
      <c r="B1117" s="38"/>
      <c r="C1117" s="8"/>
      <c r="D1117" s="8"/>
      <c r="E1117" s="8"/>
      <c r="F1117" s="8"/>
      <c r="G1117" s="8"/>
      <c r="H1117" s="8"/>
      <c r="I1117" s="8"/>
      <c r="J1117" s="8"/>
      <c r="K1117" s="8"/>
      <c r="L1117" s="8"/>
    </row>
    <row r="1118" spans="1:12" ht="15" customHeight="1" x14ac:dyDescent="0.2">
      <c r="A1118" s="38"/>
      <c r="B1118" s="38"/>
      <c r="C1118" s="8"/>
      <c r="D1118" s="8"/>
      <c r="E1118" s="8"/>
      <c r="F1118" s="8"/>
      <c r="G1118" s="8"/>
      <c r="H1118" s="8"/>
      <c r="I1118" s="8"/>
      <c r="J1118" s="8"/>
      <c r="K1118" s="8"/>
      <c r="L1118" s="8"/>
    </row>
    <row r="1119" spans="1:12" ht="15" customHeight="1" x14ac:dyDescent="0.2">
      <c r="A1119" s="38"/>
      <c r="B1119" s="38"/>
      <c r="C1119" s="8"/>
      <c r="D1119" s="8"/>
      <c r="E1119" s="8"/>
      <c r="F1119" s="8"/>
      <c r="G1119" s="8"/>
      <c r="H1119" s="8"/>
      <c r="I1119" s="8"/>
      <c r="J1119" s="8"/>
      <c r="K1119" s="8"/>
      <c r="L1119" s="8"/>
    </row>
    <row r="1120" spans="1:12" ht="15" customHeight="1" x14ac:dyDescent="0.2">
      <c r="A1120" s="38"/>
      <c r="B1120" s="38"/>
      <c r="C1120" s="8"/>
      <c r="D1120" s="8"/>
      <c r="E1120" s="8"/>
      <c r="F1120" s="8"/>
      <c r="G1120" s="8"/>
      <c r="H1120" s="8"/>
      <c r="I1120" s="8"/>
      <c r="J1120" s="8"/>
      <c r="K1120" s="8"/>
      <c r="L1120" s="8"/>
    </row>
    <row r="1121" spans="1:12" ht="15" customHeight="1" x14ac:dyDescent="0.2">
      <c r="A1121" s="38"/>
      <c r="B1121" s="38"/>
      <c r="C1121" s="8"/>
      <c r="D1121" s="8"/>
      <c r="E1121" s="8"/>
      <c r="F1121" s="8"/>
      <c r="G1121" s="8"/>
      <c r="H1121" s="8"/>
      <c r="I1121" s="8"/>
      <c r="J1121" s="8"/>
      <c r="K1121" s="8"/>
      <c r="L1121" s="8"/>
    </row>
    <row r="1122" spans="1:12" ht="15" customHeight="1" x14ac:dyDescent="0.2">
      <c r="A1122" s="38"/>
      <c r="B1122" s="38"/>
      <c r="C1122" s="8"/>
      <c r="D1122" s="8"/>
      <c r="E1122" s="8"/>
      <c r="F1122" s="8"/>
      <c r="G1122" s="8"/>
      <c r="H1122" s="8"/>
      <c r="I1122" s="8"/>
      <c r="J1122" s="8"/>
      <c r="K1122" s="8"/>
      <c r="L1122" s="8"/>
    </row>
    <row r="1123" spans="1:12" ht="15" customHeight="1" x14ac:dyDescent="0.2">
      <c r="A1123" s="38"/>
      <c r="B1123" s="38"/>
      <c r="C1123" s="8"/>
      <c r="D1123" s="8"/>
      <c r="E1123" s="8"/>
      <c r="F1123" s="8"/>
      <c r="G1123" s="8"/>
      <c r="H1123" s="8"/>
      <c r="I1123" s="8"/>
      <c r="J1123" s="8"/>
      <c r="K1123" s="8"/>
      <c r="L1123" s="8"/>
    </row>
    <row r="1124" spans="1:12" ht="15" customHeight="1" x14ac:dyDescent="0.2">
      <c r="A1124" s="38"/>
      <c r="B1124" s="38"/>
      <c r="C1124" s="8"/>
      <c r="D1124" s="8"/>
      <c r="E1124" s="8"/>
      <c r="F1124" s="8"/>
      <c r="G1124" s="8"/>
      <c r="H1124" s="8"/>
      <c r="I1124" s="8"/>
      <c r="J1124" s="8"/>
      <c r="K1124" s="8"/>
      <c r="L1124" s="8"/>
    </row>
    <row r="1125" spans="1:12" ht="15" customHeight="1" x14ac:dyDescent="0.2">
      <c r="A1125" s="38"/>
      <c r="B1125" s="38"/>
      <c r="C1125" s="8"/>
      <c r="D1125" s="8"/>
      <c r="E1125" s="8"/>
      <c r="F1125" s="8"/>
      <c r="G1125" s="8"/>
      <c r="H1125" s="8"/>
      <c r="I1125" s="8"/>
      <c r="J1125" s="8"/>
      <c r="K1125" s="8"/>
      <c r="L1125" s="8"/>
    </row>
    <row r="1126" spans="1:12" ht="15" customHeight="1" x14ac:dyDescent="0.2">
      <c r="A1126" s="38"/>
      <c r="B1126" s="38"/>
      <c r="C1126" s="8"/>
      <c r="D1126" s="8"/>
      <c r="E1126" s="8"/>
      <c r="F1126" s="8"/>
      <c r="G1126" s="8"/>
      <c r="H1126" s="8"/>
      <c r="I1126" s="8"/>
      <c r="J1126" s="8"/>
      <c r="K1126" s="8"/>
      <c r="L1126" s="8"/>
    </row>
    <row r="1127" spans="1:12" ht="15" customHeight="1" x14ac:dyDescent="0.2">
      <c r="A1127" s="38"/>
      <c r="B1127" s="38"/>
      <c r="C1127" s="8"/>
      <c r="D1127" s="8"/>
      <c r="E1127" s="8"/>
      <c r="F1127" s="8"/>
      <c r="G1127" s="8"/>
      <c r="H1127" s="8"/>
      <c r="I1127" s="8"/>
      <c r="J1127" s="8"/>
      <c r="K1127" s="8"/>
      <c r="L1127" s="8"/>
    </row>
    <row r="1128" spans="1:12" ht="15" customHeight="1" x14ac:dyDescent="0.2">
      <c r="A1128" s="38"/>
      <c r="B1128" s="38"/>
      <c r="C1128" s="8"/>
      <c r="D1128" s="8"/>
      <c r="E1128" s="8"/>
      <c r="F1128" s="8"/>
      <c r="G1128" s="8"/>
      <c r="H1128" s="8"/>
      <c r="I1128" s="8"/>
      <c r="J1128" s="8"/>
      <c r="K1128" s="8"/>
      <c r="L1128" s="8"/>
    </row>
    <row r="1129" spans="1:12" ht="15" customHeight="1" x14ac:dyDescent="0.2">
      <c r="A1129" s="38"/>
      <c r="B1129" s="38"/>
      <c r="C1129" s="8"/>
      <c r="D1129" s="8"/>
      <c r="E1129" s="8"/>
      <c r="F1129" s="8"/>
      <c r="G1129" s="8"/>
      <c r="H1129" s="8"/>
      <c r="I1129" s="8"/>
      <c r="J1129" s="8"/>
      <c r="K1129" s="8"/>
      <c r="L1129" s="8"/>
    </row>
    <row r="1130" spans="1:12" ht="15" customHeight="1" x14ac:dyDescent="0.2">
      <c r="A1130" s="38"/>
      <c r="B1130" s="38"/>
      <c r="C1130" s="8"/>
      <c r="D1130" s="8"/>
      <c r="E1130" s="8"/>
      <c r="F1130" s="8"/>
      <c r="G1130" s="8"/>
      <c r="H1130" s="8"/>
      <c r="I1130" s="8"/>
      <c r="J1130" s="8"/>
      <c r="K1130" s="8"/>
      <c r="L1130" s="8"/>
    </row>
    <row r="1131" spans="1:12" ht="15" customHeight="1" x14ac:dyDescent="0.2">
      <c r="A1131" s="38"/>
      <c r="B1131" s="38"/>
      <c r="C1131" s="8"/>
      <c r="D1131" s="8"/>
      <c r="E1131" s="8"/>
      <c r="F1131" s="8"/>
      <c r="G1131" s="8"/>
      <c r="H1131" s="8"/>
      <c r="I1131" s="8"/>
      <c r="J1131" s="8"/>
      <c r="K1131" s="8"/>
      <c r="L1131" s="8"/>
    </row>
    <row r="1132" spans="1:12" ht="15" customHeight="1" x14ac:dyDescent="0.2">
      <c r="A1132" s="38"/>
      <c r="B1132" s="38"/>
      <c r="C1132" s="8"/>
      <c r="D1132" s="8"/>
      <c r="E1132" s="8"/>
      <c r="F1132" s="8"/>
      <c r="G1132" s="8"/>
      <c r="H1132" s="8"/>
      <c r="I1132" s="8"/>
      <c r="J1132" s="8"/>
      <c r="K1132" s="8"/>
      <c r="L1132" s="8"/>
    </row>
    <row r="1133" spans="1:12" ht="15" customHeight="1" x14ac:dyDescent="0.2">
      <c r="A1133" s="38"/>
      <c r="B1133" s="38"/>
      <c r="C1133" s="8"/>
      <c r="D1133" s="8"/>
      <c r="E1133" s="8"/>
      <c r="F1133" s="8"/>
      <c r="G1133" s="8"/>
      <c r="H1133" s="8"/>
      <c r="I1133" s="8"/>
      <c r="J1133" s="8"/>
      <c r="K1133" s="8"/>
      <c r="L1133" s="8"/>
    </row>
    <row r="1134" spans="1:12" ht="15" customHeight="1" x14ac:dyDescent="0.2">
      <c r="A1134" s="38"/>
      <c r="B1134" s="38"/>
      <c r="C1134" s="8"/>
      <c r="D1134" s="8"/>
      <c r="E1134" s="8"/>
      <c r="F1134" s="8"/>
      <c r="G1134" s="8"/>
      <c r="H1134" s="8"/>
      <c r="I1134" s="8"/>
      <c r="J1134" s="8"/>
      <c r="K1134" s="8"/>
      <c r="L1134" s="8"/>
    </row>
    <row r="1135" spans="1:12" ht="15" customHeight="1" x14ac:dyDescent="0.2">
      <c r="A1135" s="38"/>
      <c r="B1135" s="38"/>
      <c r="C1135" s="8"/>
      <c r="D1135" s="8"/>
      <c r="E1135" s="8"/>
      <c r="F1135" s="8"/>
      <c r="G1135" s="8"/>
      <c r="H1135" s="8"/>
      <c r="I1135" s="8"/>
      <c r="J1135" s="8"/>
      <c r="K1135" s="8"/>
      <c r="L1135" s="8"/>
    </row>
    <row r="1136" spans="1:12" ht="15" customHeight="1" x14ac:dyDescent="0.2">
      <c r="A1136" s="38"/>
      <c r="B1136" s="38"/>
      <c r="C1136" s="8"/>
      <c r="D1136" s="8"/>
      <c r="E1136" s="8"/>
      <c r="F1136" s="8"/>
      <c r="G1136" s="8"/>
      <c r="H1136" s="8"/>
      <c r="I1136" s="8"/>
      <c r="J1136" s="8"/>
      <c r="K1136" s="8"/>
      <c r="L1136" s="8"/>
    </row>
    <row r="1137" spans="1:12" ht="15" customHeight="1" x14ac:dyDescent="0.2">
      <c r="A1137" s="38"/>
      <c r="B1137" s="38"/>
      <c r="C1137" s="8"/>
      <c r="D1137" s="8"/>
      <c r="E1137" s="8"/>
      <c r="F1137" s="8"/>
      <c r="G1137" s="8"/>
      <c r="H1137" s="8"/>
      <c r="I1137" s="8"/>
      <c r="J1137" s="8"/>
      <c r="K1137" s="8"/>
      <c r="L1137" s="8"/>
    </row>
    <row r="1138" spans="1:12" ht="15" customHeight="1" x14ac:dyDescent="0.2">
      <c r="A1138" s="38"/>
      <c r="B1138" s="38"/>
      <c r="C1138" s="8"/>
      <c r="D1138" s="8"/>
      <c r="E1138" s="8"/>
      <c r="F1138" s="8"/>
      <c r="G1138" s="8"/>
      <c r="H1138" s="8"/>
      <c r="I1138" s="8"/>
      <c r="J1138" s="8"/>
      <c r="K1138" s="8"/>
      <c r="L1138" s="8"/>
    </row>
    <row r="1139" spans="1:12" ht="15" customHeight="1" x14ac:dyDescent="0.2">
      <c r="A1139" s="38"/>
      <c r="B1139" s="38"/>
      <c r="C1139" s="8"/>
      <c r="D1139" s="8"/>
      <c r="E1139" s="8"/>
      <c r="F1139" s="8"/>
      <c r="G1139" s="8"/>
      <c r="H1139" s="8"/>
      <c r="I1139" s="8"/>
      <c r="J1139" s="8"/>
      <c r="K1139" s="8"/>
      <c r="L1139" s="8"/>
    </row>
    <row r="1140" spans="1:12" ht="15" customHeight="1" x14ac:dyDescent="0.2">
      <c r="A1140" s="38"/>
      <c r="B1140" s="38"/>
      <c r="C1140" s="8"/>
      <c r="D1140" s="8"/>
      <c r="E1140" s="8"/>
      <c r="F1140" s="8"/>
      <c r="G1140" s="8"/>
      <c r="H1140" s="8"/>
      <c r="I1140" s="8"/>
      <c r="J1140" s="8"/>
      <c r="K1140" s="8"/>
      <c r="L1140" s="8"/>
    </row>
    <row r="1141" spans="1:12" ht="15" customHeight="1" x14ac:dyDescent="0.2">
      <c r="A1141" s="38"/>
      <c r="B1141" s="38"/>
      <c r="C1141" s="8"/>
      <c r="D1141" s="8"/>
      <c r="E1141" s="8"/>
      <c r="F1141" s="8"/>
      <c r="G1141" s="8"/>
      <c r="H1141" s="8"/>
      <c r="I1141" s="8"/>
      <c r="J1141" s="8"/>
      <c r="K1141" s="8"/>
      <c r="L1141" s="8"/>
    </row>
    <row r="1142" spans="1:12" ht="15" customHeight="1" x14ac:dyDescent="0.2">
      <c r="A1142" s="38"/>
      <c r="B1142" s="38"/>
      <c r="C1142" s="8"/>
      <c r="D1142" s="8"/>
      <c r="E1142" s="8"/>
      <c r="F1142" s="8"/>
      <c r="G1142" s="8"/>
      <c r="H1142" s="8"/>
      <c r="I1142" s="8"/>
      <c r="J1142" s="8"/>
      <c r="K1142" s="8"/>
      <c r="L1142" s="8"/>
    </row>
    <row r="1143" spans="1:12" ht="15" customHeight="1" x14ac:dyDescent="0.2">
      <c r="A1143" s="38"/>
      <c r="B1143" s="38"/>
      <c r="C1143" s="8"/>
      <c r="D1143" s="8"/>
      <c r="E1143" s="8"/>
      <c r="F1143" s="8"/>
      <c r="G1143" s="8"/>
      <c r="H1143" s="8"/>
      <c r="I1143" s="8"/>
      <c r="J1143" s="8"/>
      <c r="K1143" s="8"/>
      <c r="L1143" s="8"/>
    </row>
    <row r="1144" spans="1:12" ht="15" customHeight="1" x14ac:dyDescent="0.2">
      <c r="A1144" s="38"/>
      <c r="B1144" s="38"/>
      <c r="C1144" s="8"/>
      <c r="D1144" s="8"/>
      <c r="E1144" s="8"/>
      <c r="F1144" s="8"/>
      <c r="G1144" s="8"/>
      <c r="H1144" s="8"/>
      <c r="I1144" s="8"/>
      <c r="J1144" s="8"/>
      <c r="K1144" s="8"/>
      <c r="L1144" s="8"/>
    </row>
    <row r="1145" spans="1:12" ht="15" customHeight="1" x14ac:dyDescent="0.2">
      <c r="A1145" s="38"/>
      <c r="B1145" s="38"/>
      <c r="C1145" s="8"/>
      <c r="D1145" s="8"/>
      <c r="E1145" s="8"/>
      <c r="F1145" s="8"/>
      <c r="G1145" s="8"/>
      <c r="H1145" s="8"/>
      <c r="I1145" s="8"/>
      <c r="J1145" s="8"/>
      <c r="K1145" s="8"/>
      <c r="L1145" s="8"/>
    </row>
    <row r="1146" spans="1:12" ht="15" customHeight="1" x14ac:dyDescent="0.2">
      <c r="A1146" s="38"/>
      <c r="B1146" s="38"/>
      <c r="C1146" s="8"/>
      <c r="D1146" s="8"/>
      <c r="E1146" s="8"/>
      <c r="F1146" s="8"/>
      <c r="G1146" s="8"/>
      <c r="H1146" s="8"/>
      <c r="I1146" s="8"/>
      <c r="J1146" s="8"/>
      <c r="K1146" s="8"/>
      <c r="L1146" s="8"/>
    </row>
    <row r="1147" spans="1:12" ht="15" customHeight="1" x14ac:dyDescent="0.2">
      <c r="A1147" s="38"/>
      <c r="B1147" s="38"/>
      <c r="C1147" s="8"/>
      <c r="D1147" s="8"/>
      <c r="E1147" s="8"/>
      <c r="F1147" s="8"/>
      <c r="G1147" s="8"/>
      <c r="H1147" s="8"/>
      <c r="I1147" s="8"/>
      <c r="J1147" s="8"/>
      <c r="K1147" s="8"/>
      <c r="L1147" s="8"/>
    </row>
    <row r="1148" spans="1:12" ht="15" customHeight="1" x14ac:dyDescent="0.2">
      <c r="A1148" s="38"/>
      <c r="B1148" s="38"/>
      <c r="C1148" s="8"/>
      <c r="D1148" s="8"/>
      <c r="E1148" s="8"/>
      <c r="F1148" s="8"/>
      <c r="G1148" s="8"/>
      <c r="H1148" s="8"/>
      <c r="I1148" s="8"/>
      <c r="J1148" s="8"/>
      <c r="K1148" s="8"/>
      <c r="L1148" s="8"/>
    </row>
    <row r="1149" spans="1:12" ht="15" customHeight="1" x14ac:dyDescent="0.2">
      <c r="A1149" s="38"/>
      <c r="B1149" s="38"/>
      <c r="C1149" s="8"/>
      <c r="D1149" s="8"/>
      <c r="E1149" s="8"/>
      <c r="F1149" s="8"/>
      <c r="G1149" s="8"/>
      <c r="H1149" s="8"/>
      <c r="I1149" s="8"/>
      <c r="J1149" s="8"/>
      <c r="K1149" s="8"/>
      <c r="L1149" s="8"/>
    </row>
    <row r="1150" spans="1:12" ht="15" customHeight="1" x14ac:dyDescent="0.2">
      <c r="A1150" s="38"/>
      <c r="B1150" s="38"/>
      <c r="C1150" s="8"/>
      <c r="D1150" s="8"/>
      <c r="E1150" s="8"/>
      <c r="F1150" s="8"/>
      <c r="G1150" s="8"/>
      <c r="H1150" s="8"/>
      <c r="I1150" s="8"/>
      <c r="J1150" s="8"/>
      <c r="K1150" s="8"/>
      <c r="L1150" s="8"/>
    </row>
    <row r="1151" spans="1:12" ht="15" customHeight="1" x14ac:dyDescent="0.2">
      <c r="A1151" s="38"/>
      <c r="B1151" s="38"/>
      <c r="C1151" s="8"/>
      <c r="D1151" s="8"/>
      <c r="E1151" s="8"/>
      <c r="F1151" s="8"/>
      <c r="G1151" s="8"/>
      <c r="H1151" s="8"/>
      <c r="I1151" s="8"/>
      <c r="J1151" s="8"/>
      <c r="K1151" s="8"/>
      <c r="L1151" s="8"/>
    </row>
    <row r="1152" spans="1:12" ht="15" customHeight="1" x14ac:dyDescent="0.2">
      <c r="A1152" s="38"/>
      <c r="B1152" s="38"/>
      <c r="C1152" s="8"/>
      <c r="D1152" s="8"/>
      <c r="E1152" s="8"/>
      <c r="F1152" s="8"/>
      <c r="G1152" s="8"/>
      <c r="H1152" s="8"/>
      <c r="I1152" s="8"/>
      <c r="J1152" s="8"/>
      <c r="K1152" s="8"/>
      <c r="L1152" s="8"/>
    </row>
    <row r="1153" spans="1:12" ht="15" customHeight="1" x14ac:dyDescent="0.2">
      <c r="A1153" s="38"/>
      <c r="B1153" s="38"/>
      <c r="C1153" s="8"/>
      <c r="D1153" s="8"/>
      <c r="E1153" s="8"/>
      <c r="F1153" s="8"/>
      <c r="G1153" s="8"/>
      <c r="H1153" s="8"/>
      <c r="I1153" s="8"/>
      <c r="J1153" s="8"/>
      <c r="K1153" s="8"/>
      <c r="L1153" s="8"/>
    </row>
    <row r="1154" spans="1:12" ht="15" customHeight="1" x14ac:dyDescent="0.2">
      <c r="A1154" s="38"/>
      <c r="B1154" s="38"/>
      <c r="C1154" s="8"/>
      <c r="D1154" s="8"/>
      <c r="E1154" s="8"/>
      <c r="F1154" s="8"/>
      <c r="G1154" s="8"/>
      <c r="H1154" s="8"/>
      <c r="I1154" s="8"/>
      <c r="J1154" s="8"/>
      <c r="K1154" s="8"/>
      <c r="L1154" s="8"/>
    </row>
    <row r="1155" spans="1:12" ht="15" customHeight="1" x14ac:dyDescent="0.2">
      <c r="A1155" s="38"/>
      <c r="B1155" s="38"/>
      <c r="C1155" s="8"/>
      <c r="D1155" s="8"/>
      <c r="E1155" s="8"/>
      <c r="F1155" s="8"/>
      <c r="G1155" s="8"/>
      <c r="H1155" s="8"/>
      <c r="I1155" s="8"/>
      <c r="J1155" s="8"/>
      <c r="K1155" s="8"/>
      <c r="L1155" s="8"/>
    </row>
    <row r="1156" spans="1:12" ht="15" customHeight="1" x14ac:dyDescent="0.2">
      <c r="A1156" s="38"/>
      <c r="B1156" s="38"/>
      <c r="C1156" s="8"/>
      <c r="D1156" s="8"/>
      <c r="E1156" s="8"/>
      <c r="F1156" s="8"/>
      <c r="G1156" s="8"/>
      <c r="H1156" s="8"/>
      <c r="I1156" s="8"/>
      <c r="J1156" s="8"/>
      <c r="K1156" s="8"/>
      <c r="L1156" s="8"/>
    </row>
    <row r="1157" spans="1:12" ht="15" customHeight="1" x14ac:dyDescent="0.2">
      <c r="A1157" s="38"/>
      <c r="B1157" s="38"/>
      <c r="C1157" s="8"/>
      <c r="D1157" s="8"/>
      <c r="E1157" s="8"/>
      <c r="F1157" s="8"/>
      <c r="G1157" s="8"/>
      <c r="H1157" s="8"/>
      <c r="I1157" s="8"/>
      <c r="J1157" s="8"/>
      <c r="K1157" s="8"/>
      <c r="L1157" s="8"/>
    </row>
    <row r="1158" spans="1:12" ht="15" customHeight="1" x14ac:dyDescent="0.2">
      <c r="A1158" s="38"/>
      <c r="B1158" s="38"/>
      <c r="C1158" s="8"/>
      <c r="D1158" s="8"/>
      <c r="E1158" s="8"/>
      <c r="F1158" s="8"/>
      <c r="G1158" s="8"/>
      <c r="H1158" s="8"/>
      <c r="I1158" s="8"/>
      <c r="J1158" s="8"/>
      <c r="K1158" s="8"/>
      <c r="L1158" s="8"/>
    </row>
    <row r="1159" spans="1:12" ht="15" customHeight="1" x14ac:dyDescent="0.2">
      <c r="A1159" s="38"/>
      <c r="B1159" s="38"/>
      <c r="C1159" s="8"/>
      <c r="D1159" s="8"/>
      <c r="E1159" s="8"/>
      <c r="F1159" s="8"/>
      <c r="G1159" s="8"/>
      <c r="H1159" s="8"/>
      <c r="I1159" s="8"/>
      <c r="J1159" s="8"/>
      <c r="K1159" s="8"/>
      <c r="L1159" s="8"/>
    </row>
    <row r="1160" spans="1:12" ht="15" customHeight="1" x14ac:dyDescent="0.2">
      <c r="A1160" s="38"/>
      <c r="B1160" s="38"/>
      <c r="C1160" s="8"/>
      <c r="D1160" s="8"/>
      <c r="E1160" s="8"/>
      <c r="F1160" s="8"/>
      <c r="G1160" s="8"/>
      <c r="H1160" s="8"/>
      <c r="I1160" s="8"/>
      <c r="J1160" s="8"/>
      <c r="K1160" s="8"/>
      <c r="L1160" s="8"/>
    </row>
    <row r="1161" spans="1:12" ht="15" customHeight="1" x14ac:dyDescent="0.2">
      <c r="A1161" s="38"/>
      <c r="B1161" s="38"/>
      <c r="C1161" s="8"/>
      <c r="D1161" s="8"/>
      <c r="E1161" s="8"/>
      <c r="F1161" s="8"/>
      <c r="G1161" s="8"/>
      <c r="H1161" s="8"/>
      <c r="I1161" s="8"/>
      <c r="J1161" s="8"/>
      <c r="K1161" s="8"/>
      <c r="L1161" s="8"/>
    </row>
    <row r="1162" spans="1:12" ht="15" customHeight="1" x14ac:dyDescent="0.2">
      <c r="A1162" s="38"/>
      <c r="B1162" s="38"/>
      <c r="C1162" s="8"/>
      <c r="D1162" s="8"/>
      <c r="E1162" s="8"/>
      <c r="F1162" s="8"/>
      <c r="G1162" s="8"/>
      <c r="H1162" s="8"/>
      <c r="I1162" s="8"/>
      <c r="J1162" s="8"/>
      <c r="K1162" s="8"/>
      <c r="L1162" s="8"/>
    </row>
    <row r="1163" spans="1:12" ht="15" customHeight="1" x14ac:dyDescent="0.2">
      <c r="A1163" s="38"/>
      <c r="B1163" s="38"/>
      <c r="C1163" s="8"/>
      <c r="D1163" s="8"/>
      <c r="E1163" s="8"/>
      <c r="F1163" s="8"/>
      <c r="G1163" s="8"/>
      <c r="H1163" s="8"/>
      <c r="I1163" s="8"/>
      <c r="J1163" s="8"/>
      <c r="K1163" s="8"/>
      <c r="L1163" s="8"/>
    </row>
    <row r="1164" spans="1:12" ht="15" customHeight="1" x14ac:dyDescent="0.2">
      <c r="A1164" s="38"/>
      <c r="B1164" s="38"/>
      <c r="C1164" s="8"/>
      <c r="D1164" s="8"/>
      <c r="E1164" s="8"/>
      <c r="F1164" s="8"/>
      <c r="G1164" s="8"/>
      <c r="H1164" s="8"/>
      <c r="I1164" s="8"/>
      <c r="J1164" s="8"/>
      <c r="K1164" s="8"/>
      <c r="L1164" s="8"/>
    </row>
    <row r="1165" spans="1:12" ht="15" customHeight="1" x14ac:dyDescent="0.2">
      <c r="A1165" s="38"/>
      <c r="B1165" s="38"/>
      <c r="C1165" s="8"/>
      <c r="D1165" s="8"/>
      <c r="E1165" s="8"/>
      <c r="F1165" s="8"/>
      <c r="G1165" s="8"/>
      <c r="H1165" s="8"/>
      <c r="I1165" s="8"/>
      <c r="J1165" s="8"/>
      <c r="K1165" s="8"/>
      <c r="L1165" s="8"/>
    </row>
    <row r="1166" spans="1:12" ht="15" customHeight="1" x14ac:dyDescent="0.2">
      <c r="A1166" s="38"/>
      <c r="B1166" s="38"/>
      <c r="C1166" s="8"/>
      <c r="D1166" s="8"/>
      <c r="E1166" s="8"/>
      <c r="F1166" s="8"/>
      <c r="G1166" s="8"/>
      <c r="H1166" s="8"/>
      <c r="I1166" s="8"/>
      <c r="J1166" s="8"/>
      <c r="K1166" s="8"/>
      <c r="L1166" s="8"/>
    </row>
    <row r="1167" spans="1:12" ht="15" customHeight="1" x14ac:dyDescent="0.2">
      <c r="A1167" s="38"/>
      <c r="B1167" s="38"/>
      <c r="C1167" s="8"/>
      <c r="D1167" s="8"/>
      <c r="E1167" s="8"/>
      <c r="F1167" s="8"/>
      <c r="G1167" s="8"/>
      <c r="H1167" s="8"/>
      <c r="I1167" s="8"/>
      <c r="J1167" s="8"/>
      <c r="K1167" s="8"/>
      <c r="L1167" s="8"/>
    </row>
    <row r="1168" spans="1:12" ht="15" customHeight="1" x14ac:dyDescent="0.2">
      <c r="A1168" s="38"/>
      <c r="B1168" s="38"/>
      <c r="C1168" s="8"/>
      <c r="D1168" s="8"/>
      <c r="E1168" s="8"/>
      <c r="F1168" s="8"/>
      <c r="G1168" s="8"/>
      <c r="H1168" s="8"/>
      <c r="I1168" s="8"/>
      <c r="J1168" s="8"/>
      <c r="K1168" s="8"/>
      <c r="L1168" s="8"/>
    </row>
    <row r="1169" spans="1:12" ht="15" customHeight="1" x14ac:dyDescent="0.2">
      <c r="A1169" s="38"/>
      <c r="B1169" s="38"/>
      <c r="C1169" s="8"/>
      <c r="D1169" s="8"/>
      <c r="E1169" s="8"/>
      <c r="F1169" s="8"/>
      <c r="G1169" s="8"/>
      <c r="H1169" s="8"/>
      <c r="I1169" s="8"/>
      <c r="J1169" s="8"/>
      <c r="K1169" s="8"/>
      <c r="L1169" s="8"/>
    </row>
    <row r="1170" spans="1:12" ht="15" customHeight="1" x14ac:dyDescent="0.2">
      <c r="A1170" s="38"/>
      <c r="B1170" s="38"/>
      <c r="C1170" s="8"/>
      <c r="D1170" s="8"/>
      <c r="E1170" s="8"/>
      <c r="F1170" s="8"/>
      <c r="G1170" s="8"/>
      <c r="H1170" s="8"/>
      <c r="I1170" s="8"/>
      <c r="J1170" s="8"/>
      <c r="K1170" s="8"/>
      <c r="L1170" s="8"/>
    </row>
    <row r="1171" spans="1:12" ht="15" customHeight="1" x14ac:dyDescent="0.2">
      <c r="A1171" s="38"/>
      <c r="B1171" s="38"/>
      <c r="C1171" s="8"/>
      <c r="D1171" s="8"/>
      <c r="E1171" s="8"/>
      <c r="F1171" s="8"/>
      <c r="G1171" s="8"/>
      <c r="H1171" s="8"/>
      <c r="I1171" s="8"/>
      <c r="J1171" s="8"/>
      <c r="K1171" s="8"/>
      <c r="L1171" s="8"/>
    </row>
    <row r="1172" spans="1:12" ht="15" customHeight="1" x14ac:dyDescent="0.2">
      <c r="A1172" s="38"/>
      <c r="B1172" s="38"/>
      <c r="C1172" s="8"/>
      <c r="D1172" s="8"/>
      <c r="E1172" s="8"/>
      <c r="F1172" s="8"/>
      <c r="G1172" s="8"/>
      <c r="H1172" s="8"/>
      <c r="I1172" s="8"/>
      <c r="J1172" s="8"/>
      <c r="K1172" s="8"/>
      <c r="L1172" s="8"/>
    </row>
    <row r="1173" spans="1:12" ht="15" customHeight="1" x14ac:dyDescent="0.2">
      <c r="A1173" s="38"/>
      <c r="B1173" s="38"/>
      <c r="C1173" s="8"/>
      <c r="D1173" s="8"/>
      <c r="E1173" s="8"/>
      <c r="F1173" s="8"/>
      <c r="G1173" s="8"/>
      <c r="H1173" s="8"/>
      <c r="I1173" s="8"/>
      <c r="J1173" s="8"/>
      <c r="K1173" s="8"/>
      <c r="L1173" s="8"/>
    </row>
    <row r="1174" spans="1:12" ht="15" customHeight="1" x14ac:dyDescent="0.2">
      <c r="A1174" s="38"/>
      <c r="B1174" s="38"/>
      <c r="C1174" s="8"/>
      <c r="D1174" s="8"/>
      <c r="E1174" s="8"/>
      <c r="F1174" s="8"/>
      <c r="G1174" s="8"/>
      <c r="H1174" s="8"/>
      <c r="I1174" s="8"/>
      <c r="J1174" s="8"/>
      <c r="K1174" s="8"/>
      <c r="L1174" s="8"/>
    </row>
    <row r="1175" spans="1:12" ht="15" customHeight="1" x14ac:dyDescent="0.2">
      <c r="A1175" s="38"/>
      <c r="B1175" s="38"/>
      <c r="C1175" s="8"/>
      <c r="D1175" s="8"/>
      <c r="E1175" s="8"/>
      <c r="F1175" s="8"/>
      <c r="G1175" s="8"/>
      <c r="H1175" s="8"/>
      <c r="I1175" s="8"/>
      <c r="J1175" s="8"/>
      <c r="K1175" s="8"/>
      <c r="L1175" s="8"/>
    </row>
    <row r="1176" spans="1:12" ht="15" customHeight="1" x14ac:dyDescent="0.2">
      <c r="A1176" s="38"/>
      <c r="B1176" s="38"/>
      <c r="C1176" s="8"/>
      <c r="D1176" s="8"/>
      <c r="E1176" s="8"/>
      <c r="F1176" s="8"/>
      <c r="G1176" s="8"/>
      <c r="H1176" s="8"/>
      <c r="I1176" s="8"/>
      <c r="J1176" s="8"/>
      <c r="K1176" s="8"/>
      <c r="L1176" s="8"/>
    </row>
    <row r="1177" spans="1:12" ht="15" customHeight="1" x14ac:dyDescent="0.2">
      <c r="A1177" s="38"/>
      <c r="B1177" s="38"/>
      <c r="C1177" s="8"/>
      <c r="D1177" s="8"/>
      <c r="E1177" s="8"/>
      <c r="F1177" s="8"/>
      <c r="G1177" s="8"/>
      <c r="H1177" s="8"/>
      <c r="I1177" s="8"/>
      <c r="J1177" s="8"/>
      <c r="K1177" s="8"/>
      <c r="L1177" s="8"/>
    </row>
    <row r="1178" spans="1:12" ht="15" customHeight="1" x14ac:dyDescent="0.2">
      <c r="A1178" s="38"/>
      <c r="B1178" s="38"/>
      <c r="C1178" s="8"/>
      <c r="D1178" s="8"/>
      <c r="E1178" s="8"/>
      <c r="F1178" s="8"/>
      <c r="G1178" s="8"/>
      <c r="H1178" s="8"/>
      <c r="I1178" s="8"/>
      <c r="J1178" s="8"/>
      <c r="K1178" s="8"/>
      <c r="L1178" s="8"/>
    </row>
    <row r="1179" spans="1:12" ht="15" customHeight="1" x14ac:dyDescent="0.2">
      <c r="A1179" s="38"/>
      <c r="B1179" s="38"/>
      <c r="C1179" s="8"/>
      <c r="D1179" s="8"/>
      <c r="E1179" s="8"/>
      <c r="F1179" s="8"/>
      <c r="G1179" s="8"/>
      <c r="H1179" s="8"/>
      <c r="I1179" s="8"/>
      <c r="J1179" s="8"/>
      <c r="K1179" s="8"/>
      <c r="L1179" s="8"/>
    </row>
    <row r="1180" spans="1:12" ht="15" customHeight="1" x14ac:dyDescent="0.2">
      <c r="A1180" s="38"/>
      <c r="B1180" s="38"/>
      <c r="C1180" s="8"/>
      <c r="D1180" s="8"/>
      <c r="E1180" s="8"/>
      <c r="F1180" s="8"/>
      <c r="G1180" s="8"/>
      <c r="H1180" s="8"/>
      <c r="I1180" s="8"/>
      <c r="J1180" s="8"/>
      <c r="K1180" s="8"/>
      <c r="L1180" s="8"/>
    </row>
    <row r="1181" spans="1:12" ht="15" customHeight="1" x14ac:dyDescent="0.2">
      <c r="A1181" s="38"/>
      <c r="B1181" s="38"/>
      <c r="C1181" s="8"/>
      <c r="D1181" s="8"/>
      <c r="E1181" s="8"/>
      <c r="F1181" s="8"/>
      <c r="G1181" s="8"/>
      <c r="H1181" s="8"/>
      <c r="I1181" s="8"/>
      <c r="J1181" s="8"/>
      <c r="K1181" s="8"/>
      <c r="L1181" s="8"/>
    </row>
    <row r="1182" spans="1:12" ht="15" customHeight="1" x14ac:dyDescent="0.2">
      <c r="A1182" s="38"/>
      <c r="B1182" s="38"/>
      <c r="C1182" s="8"/>
      <c r="D1182" s="8"/>
      <c r="E1182" s="8"/>
      <c r="F1182" s="8"/>
      <c r="G1182" s="8"/>
      <c r="H1182" s="8"/>
      <c r="I1182" s="8"/>
      <c r="J1182" s="8"/>
      <c r="K1182" s="8"/>
      <c r="L1182" s="8"/>
    </row>
    <row r="1183" spans="1:12" ht="15" customHeight="1" x14ac:dyDescent="0.2">
      <c r="A1183" s="38"/>
      <c r="B1183" s="38"/>
      <c r="C1183" s="8"/>
      <c r="D1183" s="8"/>
      <c r="E1183" s="8"/>
      <c r="F1183" s="8"/>
      <c r="G1183" s="8"/>
      <c r="H1183" s="8"/>
      <c r="I1183" s="8"/>
      <c r="J1183" s="8"/>
      <c r="K1183" s="8"/>
      <c r="L1183" s="8"/>
    </row>
    <row r="1184" spans="1:12" ht="15" customHeight="1" x14ac:dyDescent="0.2">
      <c r="A1184" s="38"/>
      <c r="B1184" s="38"/>
      <c r="C1184" s="8"/>
      <c r="D1184" s="8"/>
      <c r="E1184" s="8"/>
      <c r="F1184" s="8"/>
      <c r="G1184" s="8"/>
      <c r="H1184" s="8"/>
      <c r="I1184" s="8"/>
      <c r="J1184" s="8"/>
      <c r="K1184" s="8"/>
      <c r="L1184" s="8"/>
    </row>
    <row r="1185" spans="1:12" ht="15" customHeight="1" x14ac:dyDescent="0.2">
      <c r="A1185" s="38"/>
      <c r="B1185" s="38"/>
      <c r="C1185" s="8"/>
      <c r="D1185" s="8"/>
      <c r="E1185" s="8"/>
      <c r="F1185" s="8"/>
      <c r="G1185" s="8"/>
      <c r="H1185" s="8"/>
      <c r="I1185" s="8"/>
      <c r="J1185" s="8"/>
      <c r="K1185" s="8"/>
      <c r="L1185" s="8"/>
    </row>
    <row r="1186" spans="1:12" ht="15" customHeight="1" x14ac:dyDescent="0.2">
      <c r="A1186" s="38"/>
      <c r="B1186" s="38"/>
      <c r="C1186" s="8"/>
      <c r="D1186" s="8"/>
      <c r="E1186" s="8"/>
      <c r="F1186" s="8"/>
      <c r="G1186" s="8"/>
      <c r="H1186" s="8"/>
      <c r="I1186" s="8"/>
      <c r="J1186" s="8"/>
      <c r="K1186" s="8"/>
      <c r="L1186" s="8"/>
    </row>
    <row r="1187" spans="1:12" ht="15" customHeight="1" x14ac:dyDescent="0.2">
      <c r="A1187" s="38"/>
      <c r="B1187" s="38"/>
      <c r="C1187" s="8"/>
      <c r="D1187" s="8"/>
      <c r="E1187" s="8"/>
      <c r="F1187" s="8"/>
      <c r="G1187" s="8"/>
      <c r="H1187" s="8"/>
      <c r="I1187" s="8"/>
      <c r="J1187" s="8"/>
      <c r="K1187" s="8"/>
      <c r="L1187" s="8"/>
    </row>
    <row r="1188" spans="1:12" ht="15" customHeight="1" x14ac:dyDescent="0.2">
      <c r="A1188" s="38"/>
      <c r="B1188" s="38"/>
      <c r="C1188" s="8"/>
      <c r="D1188" s="8"/>
      <c r="E1188" s="8"/>
      <c r="F1188" s="8"/>
      <c r="G1188" s="8"/>
      <c r="H1188" s="8"/>
      <c r="I1188" s="8"/>
      <c r="J1188" s="8"/>
      <c r="K1188" s="8"/>
      <c r="L1188" s="8"/>
    </row>
    <row r="1189" spans="1:12" ht="15" customHeight="1" x14ac:dyDescent="0.2">
      <c r="A1189" s="38"/>
      <c r="B1189" s="38"/>
      <c r="C1189" s="8"/>
      <c r="D1189" s="8"/>
      <c r="E1189" s="8"/>
      <c r="F1189" s="8"/>
      <c r="G1189" s="8"/>
      <c r="H1189" s="8"/>
      <c r="I1189" s="8"/>
      <c r="J1189" s="8"/>
      <c r="K1189" s="8"/>
      <c r="L1189" s="8"/>
    </row>
    <row r="1190" spans="1:12" ht="15" customHeight="1" x14ac:dyDescent="0.2">
      <c r="A1190" s="38"/>
      <c r="B1190" s="38"/>
      <c r="C1190" s="8"/>
      <c r="D1190" s="8"/>
      <c r="E1190" s="8"/>
      <c r="F1190" s="8"/>
      <c r="G1190" s="8"/>
      <c r="H1190" s="8"/>
      <c r="I1190" s="8"/>
      <c r="J1190" s="8"/>
      <c r="K1190" s="8"/>
      <c r="L1190" s="8"/>
    </row>
    <row r="1191" spans="1:12" ht="15" customHeight="1" x14ac:dyDescent="0.2">
      <c r="A1191" s="38"/>
      <c r="B1191" s="38"/>
      <c r="C1191" s="8"/>
      <c r="D1191" s="8"/>
      <c r="E1191" s="8"/>
      <c r="F1191" s="8"/>
      <c r="G1191" s="8"/>
      <c r="H1191" s="8"/>
      <c r="I1191" s="8"/>
      <c r="J1191" s="8"/>
      <c r="K1191" s="8"/>
      <c r="L1191" s="8"/>
    </row>
    <row r="1192" spans="1:12" ht="15" customHeight="1" x14ac:dyDescent="0.2">
      <c r="A1192" s="38"/>
      <c r="B1192" s="38"/>
      <c r="C1192" s="8"/>
      <c r="D1192" s="8"/>
      <c r="E1192" s="8"/>
      <c r="F1192" s="8"/>
      <c r="G1192" s="8"/>
      <c r="H1192" s="8"/>
      <c r="I1192" s="8"/>
      <c r="J1192" s="8"/>
      <c r="K1192" s="8"/>
      <c r="L1192" s="8"/>
    </row>
    <row r="1193" spans="1:12" ht="15" customHeight="1" x14ac:dyDescent="0.2">
      <c r="A1193" s="38"/>
      <c r="B1193" s="38"/>
      <c r="C1193" s="8"/>
      <c r="D1193" s="8"/>
      <c r="E1193" s="8"/>
      <c r="F1193" s="8"/>
      <c r="G1193" s="8"/>
      <c r="H1193" s="8"/>
      <c r="I1193" s="8"/>
      <c r="J1193" s="8"/>
      <c r="K1193" s="8"/>
      <c r="L1193" s="8"/>
    </row>
    <row r="1194" spans="1:12" ht="15" customHeight="1" x14ac:dyDescent="0.2">
      <c r="A1194" s="38"/>
      <c r="B1194" s="38"/>
      <c r="C1194" s="8"/>
      <c r="D1194" s="8"/>
      <c r="E1194" s="8"/>
      <c r="F1194" s="8"/>
      <c r="G1194" s="8"/>
      <c r="H1194" s="8"/>
      <c r="I1194" s="8"/>
      <c r="J1194" s="8"/>
      <c r="K1194" s="8"/>
      <c r="L1194" s="8"/>
    </row>
    <row r="1195" spans="1:12" ht="15" customHeight="1" x14ac:dyDescent="0.2">
      <c r="A1195" s="38"/>
      <c r="B1195" s="38"/>
      <c r="C1195" s="8"/>
      <c r="D1195" s="8"/>
      <c r="E1195" s="8"/>
      <c r="F1195" s="8"/>
      <c r="G1195" s="8"/>
      <c r="H1195" s="8"/>
      <c r="I1195" s="8"/>
      <c r="J1195" s="8"/>
      <c r="K1195" s="8"/>
      <c r="L1195" s="8"/>
    </row>
    <row r="1196" spans="1:12" ht="15" customHeight="1" x14ac:dyDescent="0.2">
      <c r="A1196" s="38"/>
      <c r="B1196" s="38"/>
      <c r="C1196" s="8"/>
      <c r="D1196" s="8"/>
      <c r="E1196" s="8"/>
      <c r="F1196" s="8"/>
      <c r="G1196" s="8"/>
      <c r="H1196" s="8"/>
      <c r="I1196" s="8"/>
      <c r="J1196" s="8"/>
      <c r="K1196" s="8"/>
      <c r="L1196" s="8"/>
    </row>
    <row r="1197" spans="1:12" ht="15" customHeight="1" x14ac:dyDescent="0.2">
      <c r="A1197" s="38"/>
      <c r="B1197" s="38"/>
      <c r="C1197" s="8"/>
      <c r="D1197" s="8"/>
      <c r="E1197" s="8"/>
      <c r="F1197" s="8"/>
      <c r="G1197" s="8"/>
      <c r="H1197" s="8"/>
      <c r="I1197" s="8"/>
      <c r="J1197" s="8"/>
      <c r="K1197" s="8"/>
      <c r="L1197" s="8"/>
    </row>
    <row r="1198" spans="1:12" ht="15" customHeight="1" x14ac:dyDescent="0.2">
      <c r="A1198" s="38"/>
      <c r="B1198" s="38"/>
      <c r="C1198" s="8"/>
      <c r="D1198" s="8"/>
      <c r="E1198" s="8"/>
      <c r="F1198" s="8"/>
      <c r="G1198" s="8"/>
      <c r="H1198" s="8"/>
      <c r="I1198" s="8"/>
      <c r="J1198" s="8"/>
      <c r="K1198" s="8"/>
      <c r="L1198" s="8"/>
    </row>
    <row r="1199" spans="1:12" ht="15" customHeight="1" x14ac:dyDescent="0.2">
      <c r="A1199" s="38"/>
      <c r="B1199" s="38"/>
      <c r="C1199" s="8"/>
      <c r="D1199" s="8"/>
      <c r="E1199" s="8"/>
      <c r="F1199" s="8"/>
      <c r="G1199" s="8"/>
      <c r="H1199" s="8"/>
      <c r="I1199" s="8"/>
      <c r="J1199" s="8"/>
      <c r="K1199" s="8"/>
      <c r="L1199" s="8"/>
    </row>
    <row r="1200" spans="1:12" ht="15" customHeight="1" x14ac:dyDescent="0.2">
      <c r="A1200" s="38"/>
      <c r="B1200" s="38"/>
      <c r="C1200" s="8"/>
      <c r="D1200" s="8"/>
      <c r="E1200" s="8"/>
      <c r="F1200" s="8"/>
      <c r="G1200" s="8"/>
      <c r="H1200" s="8"/>
      <c r="I1200" s="8"/>
      <c r="J1200" s="8"/>
      <c r="K1200" s="8"/>
      <c r="L1200" s="8"/>
    </row>
    <row r="1201" spans="1:12" ht="15" customHeight="1" x14ac:dyDescent="0.2">
      <c r="A1201" s="38"/>
      <c r="B1201" s="38"/>
      <c r="C1201" s="8"/>
      <c r="D1201" s="8"/>
      <c r="E1201" s="8"/>
      <c r="F1201" s="8"/>
      <c r="G1201" s="8"/>
      <c r="H1201" s="8"/>
      <c r="I1201" s="8"/>
      <c r="J1201" s="8"/>
      <c r="K1201" s="8"/>
      <c r="L1201" s="8"/>
    </row>
    <row r="1202" spans="1:12" ht="15" customHeight="1" x14ac:dyDescent="0.2">
      <c r="A1202" s="38"/>
      <c r="B1202" s="38"/>
      <c r="C1202" s="8"/>
      <c r="D1202" s="8"/>
      <c r="E1202" s="8"/>
      <c r="F1202" s="8"/>
      <c r="G1202" s="8"/>
      <c r="H1202" s="8"/>
      <c r="I1202" s="8"/>
      <c r="J1202" s="8"/>
      <c r="K1202" s="8"/>
      <c r="L1202" s="8"/>
    </row>
    <row r="1203" spans="1:12" ht="15" customHeight="1" x14ac:dyDescent="0.2">
      <c r="A1203" s="38"/>
      <c r="B1203" s="38"/>
      <c r="C1203" s="8"/>
      <c r="D1203" s="8"/>
      <c r="E1203" s="8"/>
      <c r="F1203" s="8"/>
      <c r="G1203" s="8"/>
      <c r="H1203" s="8"/>
      <c r="I1203" s="8"/>
      <c r="J1203" s="8"/>
      <c r="K1203" s="8"/>
      <c r="L1203" s="8"/>
    </row>
    <row r="1204" spans="1:12" ht="15" customHeight="1" x14ac:dyDescent="0.2">
      <c r="A1204" s="38"/>
      <c r="B1204" s="38"/>
      <c r="C1204" s="8"/>
      <c r="D1204" s="8"/>
      <c r="E1204" s="8"/>
      <c r="F1204" s="8"/>
      <c r="G1204" s="8"/>
      <c r="H1204" s="8"/>
      <c r="I1204" s="8"/>
      <c r="J1204" s="8"/>
      <c r="K1204" s="8"/>
      <c r="L1204" s="8"/>
    </row>
    <row r="1205" spans="1:12" ht="15" customHeight="1" x14ac:dyDescent="0.2">
      <c r="A1205" s="38"/>
      <c r="B1205" s="38"/>
      <c r="C1205" s="8"/>
      <c r="D1205" s="8"/>
      <c r="E1205" s="8"/>
      <c r="F1205" s="8"/>
      <c r="G1205" s="8"/>
      <c r="H1205" s="8"/>
      <c r="I1205" s="8"/>
      <c r="J1205" s="8"/>
      <c r="K1205" s="8"/>
      <c r="L1205" s="8"/>
    </row>
    <row r="1206" spans="1:12" ht="15" customHeight="1" x14ac:dyDescent="0.2">
      <c r="A1206" s="38"/>
      <c r="B1206" s="38"/>
      <c r="C1206" s="8"/>
      <c r="D1206" s="8"/>
      <c r="E1206" s="8"/>
      <c r="F1206" s="8"/>
      <c r="G1206" s="8"/>
      <c r="H1206" s="8"/>
      <c r="I1206" s="8"/>
      <c r="J1206" s="8"/>
      <c r="K1206" s="8"/>
      <c r="L1206" s="8"/>
    </row>
    <row r="1207" spans="1:12" ht="15" customHeight="1" x14ac:dyDescent="0.2">
      <c r="A1207" s="38"/>
      <c r="B1207" s="38"/>
      <c r="C1207" s="8"/>
      <c r="D1207" s="8"/>
      <c r="E1207" s="8"/>
      <c r="F1207" s="8"/>
      <c r="G1207" s="8"/>
      <c r="H1207" s="8"/>
      <c r="I1207" s="8"/>
      <c r="J1207" s="8"/>
      <c r="K1207" s="8"/>
      <c r="L1207" s="8"/>
    </row>
    <row r="1208" spans="1:12" ht="15" customHeight="1" x14ac:dyDescent="0.2">
      <c r="A1208" s="38"/>
      <c r="B1208" s="38"/>
      <c r="C1208" s="8"/>
      <c r="D1208" s="8"/>
      <c r="E1208" s="8"/>
      <c r="F1208" s="8"/>
      <c r="G1208" s="8"/>
      <c r="H1208" s="8"/>
      <c r="I1208" s="8"/>
      <c r="J1208" s="8"/>
      <c r="K1208" s="8"/>
      <c r="L1208" s="8"/>
    </row>
    <row r="1209" spans="1:12" ht="15" customHeight="1" x14ac:dyDescent="0.2">
      <c r="A1209" s="38"/>
      <c r="B1209" s="38"/>
      <c r="C1209" s="8"/>
      <c r="D1209" s="8"/>
      <c r="E1209" s="8"/>
      <c r="F1209" s="8"/>
      <c r="G1209" s="8"/>
      <c r="H1209" s="8"/>
      <c r="I1209" s="8"/>
      <c r="J1209" s="8"/>
      <c r="K1209" s="8"/>
      <c r="L1209" s="8"/>
    </row>
    <row r="1210" spans="1:12" ht="15" customHeight="1" x14ac:dyDescent="0.2">
      <c r="A1210" s="38"/>
      <c r="B1210" s="38"/>
      <c r="C1210" s="8"/>
      <c r="D1210" s="8"/>
      <c r="E1210" s="8"/>
      <c r="F1210" s="8"/>
      <c r="G1210" s="8"/>
      <c r="H1210" s="8"/>
      <c r="I1210" s="8"/>
      <c r="J1210" s="8"/>
      <c r="K1210" s="8"/>
      <c r="L1210" s="8"/>
    </row>
    <row r="1211" spans="1:12" ht="15" customHeight="1" x14ac:dyDescent="0.2">
      <c r="A1211" s="38"/>
      <c r="B1211" s="38"/>
      <c r="C1211" s="8"/>
      <c r="D1211" s="8"/>
      <c r="E1211" s="8"/>
      <c r="F1211" s="8"/>
      <c r="G1211" s="8"/>
      <c r="H1211" s="8"/>
      <c r="I1211" s="8"/>
      <c r="J1211" s="8"/>
      <c r="K1211" s="8"/>
      <c r="L1211" s="8"/>
    </row>
    <row r="1212" spans="1:12" ht="15" customHeight="1" x14ac:dyDescent="0.2">
      <c r="A1212" s="38"/>
      <c r="B1212" s="38"/>
      <c r="C1212" s="8"/>
      <c r="D1212" s="8"/>
      <c r="E1212" s="8"/>
      <c r="F1212" s="8"/>
      <c r="G1212" s="8"/>
      <c r="H1212" s="8"/>
      <c r="I1212" s="8"/>
      <c r="J1212" s="8"/>
      <c r="K1212" s="8"/>
      <c r="L1212" s="8"/>
    </row>
    <row r="1213" spans="1:12" ht="15" customHeight="1" x14ac:dyDescent="0.2">
      <c r="A1213" s="38"/>
      <c r="B1213" s="38"/>
      <c r="C1213" s="8"/>
      <c r="D1213" s="8"/>
      <c r="E1213" s="8"/>
      <c r="F1213" s="8"/>
      <c r="G1213" s="8"/>
      <c r="H1213" s="8"/>
      <c r="I1213" s="8"/>
      <c r="J1213" s="8"/>
      <c r="K1213" s="8"/>
      <c r="L1213" s="8"/>
    </row>
    <row r="1214" spans="1:12" ht="15" customHeight="1" x14ac:dyDescent="0.2">
      <c r="A1214" s="38"/>
      <c r="B1214" s="38"/>
      <c r="C1214" s="8"/>
      <c r="D1214" s="8"/>
      <c r="E1214" s="8"/>
      <c r="F1214" s="8"/>
      <c r="G1214" s="8"/>
      <c r="H1214" s="8"/>
      <c r="I1214" s="8"/>
      <c r="J1214" s="8"/>
      <c r="K1214" s="8"/>
      <c r="L1214" s="8"/>
    </row>
    <row r="1215" spans="1:12" ht="15" customHeight="1" x14ac:dyDescent="0.2">
      <c r="A1215" s="38"/>
      <c r="B1215" s="38"/>
      <c r="C1215" s="8"/>
      <c r="D1215" s="8"/>
      <c r="E1215" s="8"/>
      <c r="F1215" s="8"/>
      <c r="G1215" s="8"/>
      <c r="H1215" s="8"/>
      <c r="I1215" s="8"/>
      <c r="J1215" s="8"/>
      <c r="K1215" s="8"/>
      <c r="L1215" s="8"/>
    </row>
    <row r="1216" spans="1:12" ht="15" customHeight="1" x14ac:dyDescent="0.2">
      <c r="A1216" s="38"/>
      <c r="B1216" s="38"/>
      <c r="C1216" s="8"/>
      <c r="D1216" s="8"/>
      <c r="E1216" s="8"/>
      <c r="F1216" s="8"/>
      <c r="G1216" s="8"/>
      <c r="H1216" s="8"/>
      <c r="I1216" s="8"/>
      <c r="J1216" s="8"/>
      <c r="K1216" s="8"/>
      <c r="L1216" s="8"/>
    </row>
    <row r="1217" spans="1:12" ht="15" customHeight="1" x14ac:dyDescent="0.2">
      <c r="A1217" s="38"/>
      <c r="B1217" s="38"/>
      <c r="C1217" s="8"/>
      <c r="D1217" s="8"/>
      <c r="E1217" s="8"/>
      <c r="F1217" s="8"/>
      <c r="G1217" s="8"/>
      <c r="H1217" s="8"/>
      <c r="I1217" s="8"/>
      <c r="J1217" s="8"/>
      <c r="K1217" s="8"/>
      <c r="L1217" s="8"/>
    </row>
    <row r="1218" spans="1:12" ht="15" customHeight="1" x14ac:dyDescent="0.2">
      <c r="A1218" s="38"/>
      <c r="B1218" s="38"/>
      <c r="C1218" s="8"/>
      <c r="D1218" s="8"/>
      <c r="E1218" s="8"/>
      <c r="F1218" s="8"/>
      <c r="G1218" s="8"/>
      <c r="H1218" s="8"/>
      <c r="I1218" s="8"/>
      <c r="J1218" s="8"/>
      <c r="K1218" s="8"/>
      <c r="L1218" s="8"/>
    </row>
    <row r="1219" spans="1:12" ht="15" customHeight="1" x14ac:dyDescent="0.2">
      <c r="A1219" s="38"/>
      <c r="B1219" s="38"/>
      <c r="C1219" s="8"/>
      <c r="D1219" s="8"/>
      <c r="E1219" s="8"/>
      <c r="F1219" s="8"/>
      <c r="G1219" s="8"/>
      <c r="H1219" s="8"/>
      <c r="I1219" s="8"/>
      <c r="J1219" s="8"/>
      <c r="K1219" s="8"/>
      <c r="L1219" s="8"/>
    </row>
    <row r="1220" spans="1:12" ht="15" customHeight="1" x14ac:dyDescent="0.2">
      <c r="A1220" s="38"/>
      <c r="B1220" s="38"/>
      <c r="C1220" s="8"/>
      <c r="D1220" s="8"/>
      <c r="E1220" s="8"/>
      <c r="F1220" s="8"/>
      <c r="G1220" s="8"/>
      <c r="H1220" s="8"/>
      <c r="I1220" s="8"/>
      <c r="J1220" s="8"/>
      <c r="K1220" s="8"/>
      <c r="L1220" s="8"/>
    </row>
    <row r="1221" spans="1:12" ht="15" customHeight="1" x14ac:dyDescent="0.2">
      <c r="A1221" s="38"/>
      <c r="B1221" s="38"/>
      <c r="C1221" s="8"/>
      <c r="D1221" s="8"/>
      <c r="E1221" s="8"/>
      <c r="F1221" s="8"/>
      <c r="G1221" s="8"/>
      <c r="H1221" s="8"/>
      <c r="I1221" s="8"/>
      <c r="J1221" s="8"/>
      <c r="K1221" s="8"/>
      <c r="L1221" s="8"/>
    </row>
    <row r="1222" spans="1:12" ht="15" customHeight="1" x14ac:dyDescent="0.2">
      <c r="A1222" s="38"/>
      <c r="B1222" s="38"/>
      <c r="C1222" s="8"/>
      <c r="D1222" s="8"/>
      <c r="E1222" s="8"/>
      <c r="F1222" s="8"/>
      <c r="G1222" s="8"/>
      <c r="H1222" s="8"/>
      <c r="I1222" s="8"/>
      <c r="J1222" s="8"/>
      <c r="K1222" s="8"/>
      <c r="L1222" s="8"/>
    </row>
    <row r="1223" spans="1:12" ht="15" customHeight="1" x14ac:dyDescent="0.2">
      <c r="A1223" s="38"/>
      <c r="B1223" s="38"/>
      <c r="C1223" s="8"/>
      <c r="D1223" s="8"/>
      <c r="E1223" s="8"/>
      <c r="F1223" s="8"/>
      <c r="G1223" s="8"/>
      <c r="H1223" s="8"/>
      <c r="I1223" s="8"/>
      <c r="J1223" s="8"/>
      <c r="K1223" s="8"/>
      <c r="L1223" s="8"/>
    </row>
    <row r="1224" spans="1:12" ht="15" customHeight="1" x14ac:dyDescent="0.2">
      <c r="A1224" s="38"/>
      <c r="B1224" s="38"/>
      <c r="C1224" s="8"/>
      <c r="D1224" s="8"/>
      <c r="E1224" s="8"/>
      <c r="F1224" s="8"/>
      <c r="G1224" s="8"/>
      <c r="H1224" s="8"/>
      <c r="I1224" s="8"/>
      <c r="J1224" s="8"/>
      <c r="K1224" s="8"/>
      <c r="L1224" s="8"/>
    </row>
    <row r="1225" spans="1:12" ht="15" customHeight="1" x14ac:dyDescent="0.2">
      <c r="A1225" s="38"/>
      <c r="B1225" s="38"/>
      <c r="C1225" s="8"/>
      <c r="D1225" s="8"/>
      <c r="E1225" s="8"/>
      <c r="F1225" s="8"/>
      <c r="G1225" s="8"/>
      <c r="H1225" s="8"/>
      <c r="I1225" s="8"/>
      <c r="J1225" s="8"/>
      <c r="K1225" s="8"/>
      <c r="L1225" s="8"/>
    </row>
    <row r="1226" spans="1:12" ht="15" customHeight="1" x14ac:dyDescent="0.2">
      <c r="A1226" s="38"/>
      <c r="B1226" s="38"/>
      <c r="C1226" s="8"/>
      <c r="D1226" s="8"/>
      <c r="E1226" s="8"/>
      <c r="F1226" s="8"/>
      <c r="G1226" s="8"/>
      <c r="H1226" s="8"/>
      <c r="I1226" s="8"/>
      <c r="J1226" s="8"/>
      <c r="K1226" s="8"/>
      <c r="L1226" s="8"/>
    </row>
    <row r="1227" spans="1:12" ht="15" customHeight="1" x14ac:dyDescent="0.2">
      <c r="A1227" s="38"/>
      <c r="B1227" s="38"/>
      <c r="C1227" s="8"/>
      <c r="D1227" s="8"/>
      <c r="E1227" s="8"/>
      <c r="F1227" s="8"/>
      <c r="G1227" s="8"/>
      <c r="H1227" s="8"/>
      <c r="I1227" s="8"/>
      <c r="J1227" s="8"/>
      <c r="K1227" s="8"/>
      <c r="L1227" s="8"/>
    </row>
    <row r="1228" spans="1:12" ht="15" customHeight="1" x14ac:dyDescent="0.2">
      <c r="A1228" s="38"/>
      <c r="B1228" s="38"/>
      <c r="C1228" s="8"/>
      <c r="D1228" s="8"/>
      <c r="E1228" s="8"/>
      <c r="F1228" s="8"/>
      <c r="G1228" s="8"/>
      <c r="H1228" s="8"/>
      <c r="I1228" s="8"/>
      <c r="J1228" s="8"/>
      <c r="K1228" s="8"/>
      <c r="L1228" s="8"/>
    </row>
    <row r="1229" spans="1:12" ht="15" customHeight="1" x14ac:dyDescent="0.2">
      <c r="A1229" s="38"/>
      <c r="B1229" s="38"/>
      <c r="C1229" s="8"/>
      <c r="D1229" s="8"/>
      <c r="E1229" s="8"/>
      <c r="F1229" s="8"/>
      <c r="G1229" s="8"/>
      <c r="H1229" s="8"/>
      <c r="I1229" s="8"/>
      <c r="J1229" s="8"/>
      <c r="K1229" s="8"/>
      <c r="L1229" s="8"/>
    </row>
    <row r="1230" spans="1:12" ht="15" customHeight="1" x14ac:dyDescent="0.2">
      <c r="A1230" s="38"/>
      <c r="B1230" s="38"/>
      <c r="C1230" s="8"/>
      <c r="D1230" s="8"/>
      <c r="E1230" s="8"/>
      <c r="F1230" s="8"/>
      <c r="G1230" s="8"/>
      <c r="H1230" s="8"/>
      <c r="I1230" s="8"/>
      <c r="J1230" s="8"/>
      <c r="K1230" s="8"/>
      <c r="L1230" s="8"/>
    </row>
    <row r="1231" spans="1:12" ht="15" customHeight="1" x14ac:dyDescent="0.2">
      <c r="A1231" s="38"/>
      <c r="B1231" s="38"/>
      <c r="C1231" s="8"/>
      <c r="D1231" s="8"/>
      <c r="E1231" s="8"/>
      <c r="F1231" s="8"/>
      <c r="G1231" s="8"/>
      <c r="H1231" s="8"/>
      <c r="I1231" s="8"/>
      <c r="J1231" s="8"/>
      <c r="K1231" s="8"/>
      <c r="L1231" s="8"/>
    </row>
    <row r="1232" spans="1:12" ht="15" customHeight="1" x14ac:dyDescent="0.2">
      <c r="A1232" s="38"/>
      <c r="B1232" s="38"/>
      <c r="C1232" s="8"/>
      <c r="D1232" s="8"/>
      <c r="E1232" s="8"/>
      <c r="F1232" s="8"/>
      <c r="G1232" s="8"/>
      <c r="H1232" s="8"/>
      <c r="I1232" s="8"/>
      <c r="J1232" s="8"/>
      <c r="K1232" s="8"/>
      <c r="L1232" s="8"/>
    </row>
    <row r="1233" spans="1:12" ht="15" customHeight="1" x14ac:dyDescent="0.2">
      <c r="A1233" s="38"/>
      <c r="B1233" s="38"/>
      <c r="C1233" s="8"/>
      <c r="D1233" s="8"/>
      <c r="E1233" s="8"/>
      <c r="F1233" s="8"/>
      <c r="G1233" s="8"/>
      <c r="H1233" s="8"/>
      <c r="I1233" s="8"/>
      <c r="J1233" s="8"/>
      <c r="K1233" s="8"/>
      <c r="L1233" s="8"/>
    </row>
    <row r="1234" spans="1:12" ht="15" customHeight="1" x14ac:dyDescent="0.2">
      <c r="A1234" s="38"/>
      <c r="B1234" s="38"/>
      <c r="C1234" s="8"/>
      <c r="D1234" s="8"/>
      <c r="E1234" s="8"/>
      <c r="F1234" s="8"/>
      <c r="G1234" s="8"/>
      <c r="H1234" s="8"/>
      <c r="I1234" s="8"/>
      <c r="J1234" s="8"/>
      <c r="K1234" s="8"/>
      <c r="L1234" s="8"/>
    </row>
    <row r="1235" spans="1:12" ht="15" customHeight="1" x14ac:dyDescent="0.2">
      <c r="A1235" s="38"/>
      <c r="B1235" s="38"/>
      <c r="C1235" s="8"/>
      <c r="D1235" s="8"/>
      <c r="E1235" s="8"/>
      <c r="F1235" s="8"/>
      <c r="G1235" s="8"/>
      <c r="H1235" s="8"/>
      <c r="I1235" s="8"/>
      <c r="J1235" s="8"/>
      <c r="K1235" s="8"/>
      <c r="L1235" s="8"/>
    </row>
    <row r="1236" spans="1:12" ht="15" customHeight="1" x14ac:dyDescent="0.2">
      <c r="A1236" s="38"/>
      <c r="B1236" s="38"/>
      <c r="C1236" s="8"/>
      <c r="D1236" s="8"/>
      <c r="E1236" s="8"/>
      <c r="F1236" s="8"/>
      <c r="G1236" s="8"/>
      <c r="H1236" s="8"/>
      <c r="I1236" s="8"/>
      <c r="J1236" s="8"/>
      <c r="K1236" s="8"/>
      <c r="L1236" s="8"/>
    </row>
    <row r="1237" spans="1:12" ht="15" customHeight="1" x14ac:dyDescent="0.2">
      <c r="A1237" s="38"/>
      <c r="B1237" s="38"/>
      <c r="C1237" s="8"/>
      <c r="D1237" s="8"/>
      <c r="E1237" s="8"/>
      <c r="F1237" s="8"/>
      <c r="G1237" s="8"/>
      <c r="H1237" s="8"/>
      <c r="I1237" s="8"/>
      <c r="J1237" s="8"/>
      <c r="K1237" s="8"/>
      <c r="L1237" s="8"/>
    </row>
    <row r="1238" spans="1:12" ht="15" customHeight="1" x14ac:dyDescent="0.2">
      <c r="A1238" s="38"/>
      <c r="B1238" s="38"/>
      <c r="C1238" s="8"/>
      <c r="D1238" s="8"/>
      <c r="E1238" s="8"/>
      <c r="F1238" s="8"/>
      <c r="G1238" s="8"/>
      <c r="H1238" s="8"/>
      <c r="I1238" s="8"/>
      <c r="J1238" s="8"/>
      <c r="K1238" s="8"/>
      <c r="L1238" s="8"/>
    </row>
    <row r="1239" spans="1:12" ht="15" customHeight="1" x14ac:dyDescent="0.2">
      <c r="A1239" s="38"/>
      <c r="B1239" s="38"/>
      <c r="C1239" s="8"/>
      <c r="D1239" s="8"/>
      <c r="E1239" s="8"/>
      <c r="F1239" s="8"/>
      <c r="G1239" s="8"/>
      <c r="H1239" s="8"/>
      <c r="I1239" s="8"/>
      <c r="J1239" s="8"/>
      <c r="K1239" s="8"/>
      <c r="L1239" s="8"/>
    </row>
    <row r="1240" spans="1:12" ht="15" customHeight="1" x14ac:dyDescent="0.2">
      <c r="A1240" s="38"/>
      <c r="B1240" s="38"/>
      <c r="C1240" s="8"/>
      <c r="D1240" s="8"/>
      <c r="E1240" s="8"/>
      <c r="F1240" s="8"/>
      <c r="G1240" s="8"/>
      <c r="H1240" s="8"/>
      <c r="I1240" s="8"/>
      <c r="J1240" s="8"/>
      <c r="K1240" s="8"/>
      <c r="L1240" s="8"/>
    </row>
    <row r="1241" spans="1:12" ht="15" customHeight="1" x14ac:dyDescent="0.2">
      <c r="A1241" s="38"/>
      <c r="B1241" s="38"/>
      <c r="C1241" s="8"/>
      <c r="D1241" s="8"/>
      <c r="E1241" s="8"/>
      <c r="F1241" s="8"/>
      <c r="G1241" s="8"/>
      <c r="H1241" s="8"/>
      <c r="I1241" s="8"/>
      <c r="J1241" s="8"/>
      <c r="K1241" s="8"/>
      <c r="L1241" s="8"/>
    </row>
    <row r="1242" spans="1:12" ht="15" customHeight="1" x14ac:dyDescent="0.2">
      <c r="A1242" s="38"/>
      <c r="B1242" s="38"/>
      <c r="C1242" s="8"/>
      <c r="D1242" s="8"/>
      <c r="E1242" s="8"/>
      <c r="F1242" s="8"/>
      <c r="G1242" s="8"/>
      <c r="H1242" s="8"/>
      <c r="I1242" s="8"/>
      <c r="J1242" s="8"/>
      <c r="K1242" s="8"/>
      <c r="L1242" s="8"/>
    </row>
    <row r="1243" spans="1:12" ht="15" customHeight="1" x14ac:dyDescent="0.2">
      <c r="A1243" s="38"/>
      <c r="B1243" s="38"/>
      <c r="C1243" s="8"/>
      <c r="D1243" s="8"/>
      <c r="E1243" s="8"/>
      <c r="F1243" s="8"/>
      <c r="G1243" s="8"/>
      <c r="H1243" s="8"/>
      <c r="I1243" s="8"/>
      <c r="J1243" s="8"/>
      <c r="K1243" s="8"/>
      <c r="L1243" s="8"/>
    </row>
    <row r="1244" spans="1:12" ht="15" customHeight="1" x14ac:dyDescent="0.2">
      <c r="A1244" s="38"/>
      <c r="B1244" s="38"/>
      <c r="C1244" s="8"/>
      <c r="D1244" s="8"/>
      <c r="E1244" s="8"/>
      <c r="F1244" s="8"/>
      <c r="G1244" s="8"/>
      <c r="H1244" s="8"/>
      <c r="I1244" s="8"/>
      <c r="J1244" s="8"/>
      <c r="K1244" s="8"/>
      <c r="L1244" s="8"/>
    </row>
    <row r="1245" spans="1:12" ht="15" customHeight="1" x14ac:dyDescent="0.2">
      <c r="A1245" s="38"/>
      <c r="B1245" s="38"/>
      <c r="C1245" s="8"/>
      <c r="D1245" s="8"/>
      <c r="E1245" s="8"/>
      <c r="F1245" s="8"/>
      <c r="G1245" s="8"/>
      <c r="H1245" s="8"/>
      <c r="I1245" s="8"/>
      <c r="J1245" s="8"/>
      <c r="K1245" s="8"/>
      <c r="L1245" s="8"/>
    </row>
    <row r="1246" spans="1:12" ht="15" customHeight="1" x14ac:dyDescent="0.2">
      <c r="A1246" s="38"/>
      <c r="B1246" s="38"/>
      <c r="C1246" s="8"/>
      <c r="D1246" s="8"/>
      <c r="E1246" s="8"/>
      <c r="F1246" s="8"/>
      <c r="G1246" s="8"/>
      <c r="H1246" s="8"/>
      <c r="I1246" s="8"/>
      <c r="J1246" s="8"/>
      <c r="K1246" s="8"/>
      <c r="L1246" s="8"/>
    </row>
    <row r="1247" spans="1:12" ht="15" customHeight="1" x14ac:dyDescent="0.2">
      <c r="A1247" s="38"/>
      <c r="B1247" s="38"/>
      <c r="C1247" s="8"/>
      <c r="D1247" s="8"/>
      <c r="E1247" s="8"/>
      <c r="F1247" s="8"/>
      <c r="G1247" s="8"/>
      <c r="H1247" s="8"/>
      <c r="I1247" s="8"/>
      <c r="J1247" s="8"/>
      <c r="K1247" s="8"/>
      <c r="L1247" s="8"/>
    </row>
    <row r="1248" spans="1:12" ht="15" customHeight="1" x14ac:dyDescent="0.2">
      <c r="A1248" s="38"/>
      <c r="B1248" s="38"/>
      <c r="C1248" s="8"/>
      <c r="D1248" s="8"/>
      <c r="E1248" s="8"/>
      <c r="F1248" s="8"/>
      <c r="G1248" s="8"/>
      <c r="H1248" s="8"/>
      <c r="I1248" s="8"/>
      <c r="J1248" s="8"/>
      <c r="K1248" s="8"/>
      <c r="L1248" s="8"/>
    </row>
    <row r="1249" spans="1:12" ht="15" customHeight="1" x14ac:dyDescent="0.2">
      <c r="A1249" s="38"/>
      <c r="B1249" s="38"/>
      <c r="C1249" s="8"/>
      <c r="D1249" s="8"/>
      <c r="E1249" s="8"/>
      <c r="F1249" s="8"/>
      <c r="G1249" s="8"/>
      <c r="H1249" s="8"/>
      <c r="I1249" s="8"/>
      <c r="J1249" s="8"/>
      <c r="K1249" s="8"/>
      <c r="L1249" s="8"/>
    </row>
    <row r="1250" spans="1:12" ht="15" customHeight="1" x14ac:dyDescent="0.2">
      <c r="A1250" s="38"/>
      <c r="B1250" s="38"/>
      <c r="C1250" s="8"/>
      <c r="D1250" s="8"/>
      <c r="E1250" s="8"/>
      <c r="F1250" s="8"/>
      <c r="G1250" s="8"/>
      <c r="H1250" s="8"/>
      <c r="I1250" s="8"/>
      <c r="J1250" s="8"/>
      <c r="K1250" s="8"/>
      <c r="L1250" s="8"/>
    </row>
    <row r="1251" spans="1:12" ht="15" customHeight="1" x14ac:dyDescent="0.2">
      <c r="A1251" s="38"/>
      <c r="B1251" s="38"/>
      <c r="C1251" s="8"/>
      <c r="D1251" s="8"/>
      <c r="E1251" s="8"/>
      <c r="F1251" s="8"/>
      <c r="G1251" s="8"/>
      <c r="H1251" s="8"/>
      <c r="I1251" s="8"/>
      <c r="J1251" s="8"/>
      <c r="K1251" s="8"/>
      <c r="L1251" s="8"/>
    </row>
    <row r="1252" spans="1:12" ht="15" customHeight="1" x14ac:dyDescent="0.2">
      <c r="A1252" s="38"/>
      <c r="B1252" s="38"/>
      <c r="C1252" s="8"/>
      <c r="D1252" s="8"/>
      <c r="E1252" s="8"/>
      <c r="F1252" s="8"/>
      <c r="G1252" s="8"/>
      <c r="H1252" s="8"/>
      <c r="I1252" s="8"/>
      <c r="J1252" s="8"/>
      <c r="K1252" s="8"/>
      <c r="L1252" s="8"/>
    </row>
    <row r="1253" spans="1:12" ht="15" customHeight="1" x14ac:dyDescent="0.2">
      <c r="A1253" s="38"/>
      <c r="B1253" s="38"/>
      <c r="C1253" s="8"/>
      <c r="D1253" s="8"/>
      <c r="E1253" s="8"/>
      <c r="F1253" s="8"/>
      <c r="G1253" s="8"/>
      <c r="H1253" s="8"/>
      <c r="I1253" s="8"/>
      <c r="J1253" s="8"/>
      <c r="K1253" s="8"/>
      <c r="L1253" s="8"/>
    </row>
    <row r="1254" spans="1:12" ht="15" customHeight="1" x14ac:dyDescent="0.2">
      <c r="A1254" s="38"/>
      <c r="B1254" s="38"/>
      <c r="C1254" s="8"/>
      <c r="D1254" s="8"/>
      <c r="E1254" s="8"/>
      <c r="F1254" s="8"/>
      <c r="G1254" s="8"/>
      <c r="H1254" s="8"/>
      <c r="I1254" s="8"/>
      <c r="J1254" s="8"/>
      <c r="K1254" s="8"/>
      <c r="L1254" s="8"/>
    </row>
    <row r="1255" spans="1:12" ht="15" customHeight="1" x14ac:dyDescent="0.2">
      <c r="A1255" s="38"/>
      <c r="B1255" s="38"/>
      <c r="C1255" s="8"/>
      <c r="D1255" s="8"/>
      <c r="E1255" s="8"/>
      <c r="F1255" s="8"/>
      <c r="G1255" s="8"/>
      <c r="H1255" s="8"/>
      <c r="I1255" s="8"/>
      <c r="J1255" s="8"/>
      <c r="K1255" s="8"/>
      <c r="L1255" s="8"/>
    </row>
    <row r="1256" spans="1:12" ht="15" customHeight="1" x14ac:dyDescent="0.2">
      <c r="A1256" s="38"/>
      <c r="B1256" s="38"/>
      <c r="C1256" s="8"/>
      <c r="D1256" s="8"/>
      <c r="E1256" s="8"/>
      <c r="F1256" s="8"/>
      <c r="G1256" s="8"/>
      <c r="H1256" s="8"/>
      <c r="I1256" s="8"/>
      <c r="J1256" s="8"/>
      <c r="K1256" s="8"/>
      <c r="L1256" s="8"/>
    </row>
    <row r="1257" spans="1:12" ht="15" customHeight="1" x14ac:dyDescent="0.2">
      <c r="A1257" s="38"/>
      <c r="B1257" s="38"/>
      <c r="C1257" s="8"/>
      <c r="D1257" s="8"/>
      <c r="E1257" s="8"/>
      <c r="F1257" s="8"/>
      <c r="G1257" s="8"/>
      <c r="H1257" s="8"/>
      <c r="I1257" s="8"/>
      <c r="J1257" s="8"/>
      <c r="K1257" s="8"/>
      <c r="L1257" s="8"/>
    </row>
    <row r="1258" spans="1:12" ht="15" customHeight="1" x14ac:dyDescent="0.2">
      <c r="A1258" s="38"/>
      <c r="B1258" s="38"/>
      <c r="C1258" s="8"/>
      <c r="D1258" s="8"/>
      <c r="E1258" s="8"/>
      <c r="F1258" s="8"/>
      <c r="G1258" s="8"/>
      <c r="H1258" s="8"/>
      <c r="I1258" s="8"/>
      <c r="J1258" s="8"/>
      <c r="K1258" s="8"/>
      <c r="L1258" s="8"/>
    </row>
    <row r="1259" spans="1:12" ht="15" customHeight="1" x14ac:dyDescent="0.2">
      <c r="A1259" s="38"/>
      <c r="B1259" s="38"/>
      <c r="C1259" s="8"/>
      <c r="D1259" s="8"/>
      <c r="E1259" s="8"/>
      <c r="F1259" s="8"/>
      <c r="G1259" s="8"/>
      <c r="H1259" s="8"/>
      <c r="I1259" s="8"/>
      <c r="J1259" s="8"/>
      <c r="K1259" s="8"/>
      <c r="L1259" s="8"/>
    </row>
    <row r="1260" spans="1:12" ht="15" customHeight="1" x14ac:dyDescent="0.2">
      <c r="A1260" s="38"/>
      <c r="B1260" s="38"/>
      <c r="C1260" s="8"/>
      <c r="D1260" s="8"/>
      <c r="E1260" s="8"/>
      <c r="F1260" s="8"/>
      <c r="G1260" s="8"/>
      <c r="H1260" s="8"/>
      <c r="I1260" s="8"/>
      <c r="J1260" s="8"/>
      <c r="K1260" s="8"/>
      <c r="L1260" s="8"/>
    </row>
    <row r="1261" spans="1:12" ht="15" customHeight="1" x14ac:dyDescent="0.2">
      <c r="A1261" s="38"/>
      <c r="B1261" s="38"/>
      <c r="C1261" s="8"/>
      <c r="D1261" s="8"/>
      <c r="E1261" s="8"/>
      <c r="F1261" s="8"/>
      <c r="G1261" s="8"/>
      <c r="H1261" s="8"/>
      <c r="I1261" s="8"/>
      <c r="J1261" s="8"/>
      <c r="K1261" s="8"/>
      <c r="L1261" s="8"/>
    </row>
    <row r="1262" spans="1:12" ht="15" customHeight="1" x14ac:dyDescent="0.2">
      <c r="A1262" s="38"/>
      <c r="B1262" s="38"/>
      <c r="C1262" s="8"/>
      <c r="D1262" s="8"/>
      <c r="E1262" s="8"/>
      <c r="F1262" s="8"/>
      <c r="G1262" s="8"/>
      <c r="H1262" s="8"/>
      <c r="I1262" s="8"/>
      <c r="J1262" s="8"/>
      <c r="K1262" s="8"/>
      <c r="L1262" s="8"/>
    </row>
    <row r="1263" spans="1:12" ht="15" customHeight="1" x14ac:dyDescent="0.2">
      <c r="A1263" s="38"/>
      <c r="B1263" s="38"/>
      <c r="C1263" s="8"/>
      <c r="D1263" s="8"/>
      <c r="E1263" s="8"/>
      <c r="F1263" s="8"/>
      <c r="G1263" s="8"/>
      <c r="H1263" s="8"/>
      <c r="I1263" s="8"/>
      <c r="J1263" s="8"/>
      <c r="K1263" s="8"/>
      <c r="L1263" s="8"/>
    </row>
    <row r="1264" spans="1:12" ht="15" customHeight="1" x14ac:dyDescent="0.2">
      <c r="A1264" s="38"/>
      <c r="B1264" s="38"/>
      <c r="C1264" s="8"/>
      <c r="D1264" s="8"/>
      <c r="E1264" s="8"/>
      <c r="F1264" s="8"/>
      <c r="G1264" s="8"/>
      <c r="H1264" s="8"/>
      <c r="I1264" s="8"/>
      <c r="J1264" s="8"/>
      <c r="K1264" s="8"/>
      <c r="L1264" s="8"/>
    </row>
    <row r="1265" spans="1:12" ht="15" customHeight="1" x14ac:dyDescent="0.2">
      <c r="A1265" s="38"/>
      <c r="B1265" s="38"/>
      <c r="C1265" s="8"/>
      <c r="D1265" s="8"/>
      <c r="E1265" s="8"/>
      <c r="F1265" s="8"/>
      <c r="G1265" s="8"/>
      <c r="H1265" s="8"/>
      <c r="I1265" s="8"/>
      <c r="J1265" s="8"/>
      <c r="K1265" s="8"/>
      <c r="L1265" s="8"/>
    </row>
    <row r="1266" spans="1:12" ht="15" customHeight="1" x14ac:dyDescent="0.2">
      <c r="A1266" s="38"/>
      <c r="B1266" s="38"/>
      <c r="C1266" s="8"/>
      <c r="D1266" s="8"/>
      <c r="E1266" s="8"/>
      <c r="F1266" s="8"/>
      <c r="G1266" s="8"/>
      <c r="H1266" s="8"/>
      <c r="I1266" s="8"/>
      <c r="J1266" s="8"/>
      <c r="K1266" s="8"/>
      <c r="L1266" s="8"/>
    </row>
    <row r="1267" spans="1:12" ht="15" customHeight="1" x14ac:dyDescent="0.2">
      <c r="A1267" s="38"/>
      <c r="B1267" s="38"/>
      <c r="C1267" s="8"/>
      <c r="D1267" s="8"/>
      <c r="E1267" s="8"/>
      <c r="F1267" s="8"/>
      <c r="G1267" s="8"/>
      <c r="H1267" s="8"/>
      <c r="I1267" s="8"/>
      <c r="J1267" s="8"/>
      <c r="K1267" s="8"/>
      <c r="L1267" s="8"/>
    </row>
    <row r="1268" spans="1:12" ht="15" customHeight="1" x14ac:dyDescent="0.2">
      <c r="A1268" s="38"/>
      <c r="B1268" s="38"/>
      <c r="C1268" s="8"/>
      <c r="D1268" s="8"/>
      <c r="E1268" s="8"/>
      <c r="F1268" s="8"/>
      <c r="G1268" s="8"/>
      <c r="H1268" s="8"/>
      <c r="I1268" s="8"/>
      <c r="J1268" s="8"/>
      <c r="K1268" s="8"/>
      <c r="L1268" s="8"/>
    </row>
    <row r="1269" spans="1:12" ht="15" customHeight="1" x14ac:dyDescent="0.2">
      <c r="A1269" s="38"/>
      <c r="B1269" s="38"/>
      <c r="C1269" s="8"/>
      <c r="D1269" s="8"/>
      <c r="E1269" s="8"/>
      <c r="F1269" s="8"/>
      <c r="G1269" s="8"/>
      <c r="H1269" s="8"/>
      <c r="I1269" s="8"/>
      <c r="J1269" s="8"/>
      <c r="K1269" s="8"/>
      <c r="L1269" s="8"/>
    </row>
    <row r="1270" spans="1:12" ht="15" customHeight="1" x14ac:dyDescent="0.2">
      <c r="A1270" s="38"/>
      <c r="B1270" s="38"/>
      <c r="C1270" s="8"/>
      <c r="D1270" s="8"/>
      <c r="E1270" s="8"/>
      <c r="F1270" s="8"/>
      <c r="G1270" s="8"/>
      <c r="H1270" s="8"/>
      <c r="I1270" s="8"/>
      <c r="J1270" s="8"/>
      <c r="K1270" s="8"/>
      <c r="L1270" s="8"/>
    </row>
    <row r="1271" spans="1:12" ht="15" customHeight="1" x14ac:dyDescent="0.2">
      <c r="A1271" s="38"/>
      <c r="B1271" s="38"/>
      <c r="C1271" s="8"/>
      <c r="D1271" s="8"/>
      <c r="E1271" s="8"/>
      <c r="F1271" s="8"/>
      <c r="G1271" s="8"/>
      <c r="H1271" s="8"/>
      <c r="I1271" s="8"/>
      <c r="J1271" s="8"/>
      <c r="K1271" s="8"/>
      <c r="L1271" s="8"/>
    </row>
    <row r="1272" spans="1:12" ht="15" customHeight="1" x14ac:dyDescent="0.2">
      <c r="A1272" s="38"/>
      <c r="B1272" s="38"/>
      <c r="C1272" s="8"/>
      <c r="D1272" s="8"/>
      <c r="E1272" s="8"/>
      <c r="F1272" s="8"/>
      <c r="G1272" s="8"/>
      <c r="H1272" s="8"/>
      <c r="I1272" s="8"/>
      <c r="J1272" s="8"/>
      <c r="K1272" s="8"/>
      <c r="L1272" s="8"/>
    </row>
    <row r="1273" spans="1:12" ht="15" customHeight="1" x14ac:dyDescent="0.2">
      <c r="A1273" s="38"/>
      <c r="B1273" s="38"/>
      <c r="C1273" s="8"/>
      <c r="D1273" s="8"/>
      <c r="E1273" s="8"/>
      <c r="F1273" s="8"/>
      <c r="G1273" s="8"/>
      <c r="H1273" s="8"/>
      <c r="I1273" s="8"/>
      <c r="J1273" s="8"/>
      <c r="K1273" s="8"/>
      <c r="L1273" s="8"/>
    </row>
    <row r="1274" spans="1:12" ht="15" customHeight="1" x14ac:dyDescent="0.2">
      <c r="A1274" s="38"/>
      <c r="B1274" s="38"/>
      <c r="C1274" s="8"/>
      <c r="D1274" s="8"/>
      <c r="E1274" s="8"/>
      <c r="F1274" s="8"/>
      <c r="G1274" s="8"/>
      <c r="H1274" s="8"/>
      <c r="I1274" s="8"/>
      <c r="J1274" s="8"/>
      <c r="K1274" s="8"/>
      <c r="L1274" s="8"/>
    </row>
    <row r="1275" spans="1:12" ht="15" customHeight="1" x14ac:dyDescent="0.2">
      <c r="A1275" s="38"/>
      <c r="B1275" s="38"/>
      <c r="C1275" s="8"/>
      <c r="D1275" s="8"/>
      <c r="E1275" s="8"/>
      <c r="F1275" s="8"/>
      <c r="G1275" s="8"/>
      <c r="H1275" s="8"/>
      <c r="I1275" s="8"/>
      <c r="J1275" s="8"/>
      <c r="K1275" s="8"/>
      <c r="L1275" s="8"/>
    </row>
    <row r="1276" spans="1:12" ht="15" customHeight="1" x14ac:dyDescent="0.2">
      <c r="A1276" s="38"/>
      <c r="B1276" s="38"/>
      <c r="C1276" s="8"/>
      <c r="D1276" s="8"/>
      <c r="E1276" s="8"/>
      <c r="F1276" s="8"/>
      <c r="G1276" s="8"/>
      <c r="H1276" s="8"/>
      <c r="I1276" s="8"/>
      <c r="J1276" s="8"/>
      <c r="K1276" s="8"/>
      <c r="L1276" s="8"/>
    </row>
    <row r="1277" spans="1:12" ht="15" customHeight="1" x14ac:dyDescent="0.2">
      <c r="A1277" s="38"/>
      <c r="B1277" s="38"/>
      <c r="C1277" s="8"/>
      <c r="D1277" s="8"/>
      <c r="E1277" s="8"/>
      <c r="F1277" s="8"/>
      <c r="G1277" s="8"/>
      <c r="H1277" s="8"/>
      <c r="I1277" s="8"/>
      <c r="J1277" s="8"/>
      <c r="K1277" s="8"/>
      <c r="L1277" s="8"/>
    </row>
    <row r="1278" spans="1:12" ht="15" customHeight="1" x14ac:dyDescent="0.2">
      <c r="A1278" s="38"/>
      <c r="B1278" s="38"/>
      <c r="C1278" s="8"/>
      <c r="D1278" s="8"/>
      <c r="E1278" s="8"/>
      <c r="F1278" s="8"/>
      <c r="G1278" s="8"/>
      <c r="H1278" s="8"/>
      <c r="I1278" s="8"/>
      <c r="J1278" s="8"/>
      <c r="K1278" s="8"/>
      <c r="L1278" s="8"/>
    </row>
    <row r="1279" spans="1:12" ht="15" customHeight="1" x14ac:dyDescent="0.2">
      <c r="A1279" s="38"/>
      <c r="B1279" s="38"/>
      <c r="C1279" s="8"/>
      <c r="D1279" s="8"/>
      <c r="E1279" s="8"/>
      <c r="F1279" s="8"/>
      <c r="G1279" s="8"/>
      <c r="H1279" s="8"/>
      <c r="I1279" s="8"/>
      <c r="J1279" s="8"/>
      <c r="K1279" s="8"/>
      <c r="L1279" s="8"/>
    </row>
    <row r="1280" spans="1:12" ht="15" customHeight="1" x14ac:dyDescent="0.2">
      <c r="A1280" s="38"/>
      <c r="B1280" s="38"/>
      <c r="C1280" s="8"/>
      <c r="D1280" s="8"/>
      <c r="E1280" s="8"/>
      <c r="F1280" s="8"/>
      <c r="G1280" s="8"/>
      <c r="H1280" s="8"/>
      <c r="I1280" s="8"/>
      <c r="J1280" s="8"/>
      <c r="K1280" s="8"/>
      <c r="L1280" s="8"/>
    </row>
    <row r="1281" spans="1:12" ht="15" customHeight="1" x14ac:dyDescent="0.2">
      <c r="A1281" s="38"/>
      <c r="B1281" s="38"/>
      <c r="C1281" s="8"/>
      <c r="D1281" s="8"/>
      <c r="E1281" s="8"/>
      <c r="F1281" s="8"/>
      <c r="G1281" s="8"/>
      <c r="H1281" s="8"/>
      <c r="I1281" s="8"/>
      <c r="J1281" s="8"/>
      <c r="K1281" s="8"/>
      <c r="L1281" s="8"/>
    </row>
    <row r="1282" spans="1:12" ht="15" customHeight="1" x14ac:dyDescent="0.2">
      <c r="A1282" s="38"/>
      <c r="B1282" s="38"/>
      <c r="C1282" s="8"/>
      <c r="D1282" s="8"/>
      <c r="E1282" s="8"/>
      <c r="F1282" s="8"/>
      <c r="G1282" s="8"/>
      <c r="H1282" s="8"/>
      <c r="I1282" s="8"/>
      <c r="J1282" s="8"/>
      <c r="K1282" s="8"/>
      <c r="L1282" s="8"/>
    </row>
    <row r="1283" spans="1:12" ht="15" customHeight="1" x14ac:dyDescent="0.2">
      <c r="A1283" s="38"/>
      <c r="B1283" s="38"/>
      <c r="C1283" s="8"/>
      <c r="D1283" s="8"/>
      <c r="E1283" s="8"/>
      <c r="F1283" s="8"/>
      <c r="G1283" s="8"/>
      <c r="H1283" s="8"/>
      <c r="I1283" s="8"/>
      <c r="J1283" s="8"/>
      <c r="K1283" s="8"/>
      <c r="L1283" s="8"/>
    </row>
    <row r="1284" spans="1:12" ht="15" customHeight="1" x14ac:dyDescent="0.2">
      <c r="A1284" s="38"/>
      <c r="B1284" s="38"/>
      <c r="C1284" s="8"/>
      <c r="D1284" s="8"/>
      <c r="E1284" s="8"/>
      <c r="F1284" s="8"/>
      <c r="G1284" s="8"/>
      <c r="H1284" s="8"/>
      <c r="I1284" s="8"/>
      <c r="J1284" s="8"/>
      <c r="K1284" s="8"/>
      <c r="L1284" s="8"/>
    </row>
    <row r="1285" spans="1:12" ht="15" customHeight="1" x14ac:dyDescent="0.2">
      <c r="A1285" s="38"/>
      <c r="B1285" s="38"/>
      <c r="C1285" s="8"/>
      <c r="D1285" s="8"/>
      <c r="E1285" s="8"/>
      <c r="F1285" s="8"/>
      <c r="G1285" s="8"/>
      <c r="H1285" s="8"/>
      <c r="I1285" s="8"/>
      <c r="J1285" s="8"/>
      <c r="K1285" s="8"/>
      <c r="L1285" s="8"/>
    </row>
    <row r="1286" spans="1:12" ht="15" customHeight="1" x14ac:dyDescent="0.2">
      <c r="A1286" s="38"/>
      <c r="B1286" s="38"/>
      <c r="C1286" s="8"/>
      <c r="D1286" s="8"/>
      <c r="E1286" s="8"/>
      <c r="F1286" s="8"/>
      <c r="G1286" s="8"/>
      <c r="H1286" s="8"/>
      <c r="I1286" s="8"/>
      <c r="J1286" s="8"/>
      <c r="K1286" s="8"/>
      <c r="L1286" s="8"/>
    </row>
    <row r="1287" spans="1:12" ht="15" customHeight="1" x14ac:dyDescent="0.2">
      <c r="A1287" s="38"/>
      <c r="B1287" s="38"/>
      <c r="C1287" s="8"/>
      <c r="D1287" s="8"/>
      <c r="E1287" s="8"/>
      <c r="F1287" s="8"/>
      <c r="G1287" s="8"/>
      <c r="H1287" s="8"/>
      <c r="I1287" s="8"/>
      <c r="J1287" s="8"/>
      <c r="K1287" s="8"/>
      <c r="L1287" s="8"/>
    </row>
    <row r="1288" spans="1:12" ht="15" customHeight="1" x14ac:dyDescent="0.2">
      <c r="A1288" s="38"/>
      <c r="B1288" s="38"/>
      <c r="C1288" s="8"/>
      <c r="D1288" s="8"/>
      <c r="E1288" s="8"/>
      <c r="F1288" s="8"/>
      <c r="G1288" s="8"/>
      <c r="H1288" s="8"/>
      <c r="I1288" s="8"/>
      <c r="J1288" s="8"/>
      <c r="K1288" s="8"/>
      <c r="L1288" s="8"/>
    </row>
    <row r="1289" spans="1:12" ht="15" customHeight="1" x14ac:dyDescent="0.2">
      <c r="A1289" s="38"/>
      <c r="B1289" s="38"/>
      <c r="C1289" s="8"/>
      <c r="D1289" s="8"/>
      <c r="E1289" s="8"/>
      <c r="F1289" s="8"/>
      <c r="G1289" s="8"/>
      <c r="H1289" s="8"/>
      <c r="I1289" s="8"/>
      <c r="J1289" s="8"/>
      <c r="K1289" s="8"/>
      <c r="L1289" s="8"/>
    </row>
    <row r="1290" spans="1:12" ht="15" customHeight="1" x14ac:dyDescent="0.2">
      <c r="A1290" s="38"/>
      <c r="B1290" s="38"/>
      <c r="C1290" s="8"/>
      <c r="D1290" s="8"/>
      <c r="E1290" s="8"/>
      <c r="F1290" s="8"/>
      <c r="G1290" s="8"/>
      <c r="H1290" s="8"/>
      <c r="I1290" s="8"/>
      <c r="J1290" s="8"/>
      <c r="K1290" s="8"/>
      <c r="L1290" s="8"/>
    </row>
    <row r="1291" spans="1:12" ht="15" customHeight="1" x14ac:dyDescent="0.2">
      <c r="A1291" s="38"/>
      <c r="B1291" s="38"/>
      <c r="C1291" s="8"/>
      <c r="D1291" s="8"/>
      <c r="E1291" s="8"/>
      <c r="F1291" s="8"/>
      <c r="G1291" s="8"/>
      <c r="H1291" s="8"/>
      <c r="I1291" s="8"/>
      <c r="J1291" s="8"/>
      <c r="K1291" s="8"/>
      <c r="L1291" s="8"/>
    </row>
    <row r="1292" spans="1:12" ht="15" customHeight="1" x14ac:dyDescent="0.2">
      <c r="A1292" s="38"/>
      <c r="B1292" s="38"/>
      <c r="C1292" s="8"/>
      <c r="D1292" s="8"/>
      <c r="E1292" s="8"/>
      <c r="F1292" s="8"/>
      <c r="G1292" s="8"/>
      <c r="H1292" s="8"/>
      <c r="I1292" s="8"/>
      <c r="J1292" s="8"/>
      <c r="K1292" s="8"/>
      <c r="L1292" s="8"/>
    </row>
    <row r="1293" spans="1:12" ht="15" customHeight="1" x14ac:dyDescent="0.2">
      <c r="A1293" s="38"/>
      <c r="B1293" s="38"/>
      <c r="C1293" s="8"/>
      <c r="D1293" s="8"/>
      <c r="E1293" s="8"/>
      <c r="F1293" s="8"/>
      <c r="G1293" s="8"/>
      <c r="H1293" s="8"/>
      <c r="I1293" s="8"/>
      <c r="J1293" s="8"/>
      <c r="K1293" s="8"/>
      <c r="L1293" s="8"/>
    </row>
    <row r="1294" spans="1:12" ht="15" customHeight="1" x14ac:dyDescent="0.2">
      <c r="A1294" s="38"/>
      <c r="B1294" s="38"/>
      <c r="C1294" s="8"/>
      <c r="D1294" s="8"/>
      <c r="E1294" s="8"/>
      <c r="F1294" s="8"/>
      <c r="G1294" s="8"/>
      <c r="H1294" s="8"/>
      <c r="I1294" s="8"/>
      <c r="J1294" s="8"/>
      <c r="K1294" s="8"/>
      <c r="L1294" s="8"/>
    </row>
    <row r="1295" spans="1:12" ht="15" customHeight="1" x14ac:dyDescent="0.2">
      <c r="A1295" s="38"/>
      <c r="B1295" s="38"/>
      <c r="C1295" s="8"/>
      <c r="D1295" s="8"/>
      <c r="E1295" s="8"/>
      <c r="F1295" s="8"/>
      <c r="G1295" s="8"/>
      <c r="H1295" s="8"/>
      <c r="I1295" s="8"/>
      <c r="J1295" s="8"/>
      <c r="K1295" s="8"/>
      <c r="L1295" s="8"/>
    </row>
    <row r="1296" spans="1:12" ht="15" customHeight="1" x14ac:dyDescent="0.2">
      <c r="A1296" s="38"/>
      <c r="B1296" s="38"/>
      <c r="C1296" s="8"/>
      <c r="D1296" s="8"/>
      <c r="E1296" s="8"/>
      <c r="F1296" s="8"/>
      <c r="G1296" s="8"/>
      <c r="H1296" s="8"/>
      <c r="I1296" s="8"/>
      <c r="J1296" s="8"/>
      <c r="K1296" s="8"/>
      <c r="L1296" s="8"/>
    </row>
    <row r="1297" spans="1:12" ht="15" customHeight="1" x14ac:dyDescent="0.2">
      <c r="A1297" s="38"/>
      <c r="B1297" s="38"/>
      <c r="C1297" s="8"/>
      <c r="D1297" s="8"/>
      <c r="E1297" s="8"/>
      <c r="F1297" s="8"/>
      <c r="G1297" s="8"/>
      <c r="H1297" s="8"/>
      <c r="I1297" s="8"/>
      <c r="J1297" s="8"/>
      <c r="K1297" s="8"/>
      <c r="L1297" s="8"/>
    </row>
    <row r="1298" spans="1:12" ht="15" customHeight="1" x14ac:dyDescent="0.2">
      <c r="A1298" s="38"/>
      <c r="B1298" s="38"/>
      <c r="C1298" s="8"/>
      <c r="D1298" s="8"/>
      <c r="E1298" s="8"/>
      <c r="F1298" s="8"/>
      <c r="G1298" s="8"/>
      <c r="H1298" s="8"/>
      <c r="I1298" s="8"/>
      <c r="J1298" s="8"/>
      <c r="K1298" s="8"/>
      <c r="L1298" s="8"/>
    </row>
    <row r="1299" spans="1:12" ht="15" customHeight="1" x14ac:dyDescent="0.2">
      <c r="A1299" s="38"/>
      <c r="B1299" s="38"/>
      <c r="C1299" s="8"/>
      <c r="D1299" s="8"/>
      <c r="E1299" s="8"/>
      <c r="F1299" s="8"/>
      <c r="G1299" s="8"/>
      <c r="H1299" s="8"/>
      <c r="I1299" s="8"/>
      <c r="J1299" s="8"/>
      <c r="K1299" s="8"/>
      <c r="L1299" s="8"/>
    </row>
    <row r="1300" spans="1:12" ht="15" customHeight="1" x14ac:dyDescent="0.2">
      <c r="A1300" s="38"/>
      <c r="B1300" s="38"/>
      <c r="C1300" s="8"/>
      <c r="D1300" s="8"/>
      <c r="E1300" s="8"/>
      <c r="F1300" s="8"/>
      <c r="G1300" s="8"/>
      <c r="H1300" s="8"/>
      <c r="I1300" s="8"/>
      <c r="J1300" s="8"/>
      <c r="K1300" s="8"/>
      <c r="L1300" s="8"/>
    </row>
    <row r="1301" spans="1:12" ht="15" customHeight="1" x14ac:dyDescent="0.2">
      <c r="A1301" s="38"/>
      <c r="B1301" s="38"/>
      <c r="C1301" s="8"/>
      <c r="D1301" s="8"/>
      <c r="E1301" s="8"/>
      <c r="F1301" s="8"/>
      <c r="G1301" s="8"/>
      <c r="H1301" s="8"/>
      <c r="I1301" s="8"/>
      <c r="J1301" s="8"/>
      <c r="K1301" s="8"/>
      <c r="L1301" s="8"/>
    </row>
    <row r="1302" spans="1:12" ht="15" customHeight="1" x14ac:dyDescent="0.2">
      <c r="A1302" s="38"/>
      <c r="B1302" s="38"/>
      <c r="C1302" s="8"/>
      <c r="D1302" s="8"/>
      <c r="E1302" s="8"/>
      <c r="F1302" s="8"/>
      <c r="G1302" s="8"/>
      <c r="H1302" s="8"/>
      <c r="I1302" s="8"/>
      <c r="J1302" s="8"/>
      <c r="K1302" s="8"/>
      <c r="L1302" s="8"/>
    </row>
    <row r="1303" spans="1:12" ht="15" customHeight="1" x14ac:dyDescent="0.2">
      <c r="A1303" s="38"/>
      <c r="B1303" s="38"/>
      <c r="C1303" s="8"/>
      <c r="D1303" s="8"/>
      <c r="E1303" s="8"/>
      <c r="F1303" s="8"/>
      <c r="G1303" s="8"/>
      <c r="H1303" s="8"/>
      <c r="I1303" s="8"/>
      <c r="J1303" s="8"/>
      <c r="K1303" s="8"/>
      <c r="L1303" s="8"/>
    </row>
    <row r="1304" spans="1:12" ht="15" customHeight="1" x14ac:dyDescent="0.2">
      <c r="A1304" s="38"/>
      <c r="B1304" s="38"/>
      <c r="C1304" s="8"/>
      <c r="D1304" s="8"/>
      <c r="E1304" s="8"/>
      <c r="F1304" s="8"/>
      <c r="G1304" s="8"/>
      <c r="H1304" s="8"/>
      <c r="I1304" s="8"/>
      <c r="J1304" s="8"/>
      <c r="K1304" s="8"/>
      <c r="L1304" s="8"/>
    </row>
    <row r="1305" spans="1:12" ht="15" customHeight="1" x14ac:dyDescent="0.2">
      <c r="A1305" s="38"/>
      <c r="B1305" s="38"/>
      <c r="C1305" s="8"/>
      <c r="D1305" s="8"/>
      <c r="E1305" s="8"/>
      <c r="F1305" s="8"/>
      <c r="G1305" s="8"/>
      <c r="H1305" s="8"/>
      <c r="I1305" s="8"/>
      <c r="J1305" s="8"/>
      <c r="K1305" s="8"/>
      <c r="L1305" s="8"/>
    </row>
    <row r="1306" spans="1:12" ht="15" customHeight="1" x14ac:dyDescent="0.2">
      <c r="A1306" s="38"/>
      <c r="B1306" s="38"/>
      <c r="C1306" s="8"/>
      <c r="D1306" s="8"/>
      <c r="E1306" s="8"/>
      <c r="F1306" s="8"/>
      <c r="G1306" s="8"/>
      <c r="H1306" s="8"/>
      <c r="I1306" s="8"/>
      <c r="J1306" s="8"/>
      <c r="K1306" s="8"/>
      <c r="L1306" s="8"/>
    </row>
    <row r="1307" spans="1:12" ht="15" customHeight="1" x14ac:dyDescent="0.2">
      <c r="A1307" s="38"/>
      <c r="B1307" s="38"/>
      <c r="C1307" s="8"/>
      <c r="D1307" s="8"/>
      <c r="E1307" s="8"/>
      <c r="F1307" s="8"/>
      <c r="G1307" s="8"/>
      <c r="H1307" s="8"/>
      <c r="I1307" s="8"/>
      <c r="J1307" s="8"/>
      <c r="K1307" s="8"/>
      <c r="L1307" s="8"/>
    </row>
    <row r="1308" spans="1:12" ht="15" customHeight="1" x14ac:dyDescent="0.2">
      <c r="A1308" s="38"/>
      <c r="B1308" s="38"/>
      <c r="C1308" s="8"/>
      <c r="D1308" s="8"/>
      <c r="E1308" s="8"/>
      <c r="F1308" s="8"/>
      <c r="G1308" s="8"/>
      <c r="H1308" s="8"/>
      <c r="I1308" s="8"/>
      <c r="J1308" s="8"/>
      <c r="K1308" s="8"/>
      <c r="L1308" s="8"/>
    </row>
    <row r="1309" spans="1:12" ht="15" customHeight="1" x14ac:dyDescent="0.2">
      <c r="A1309" s="38"/>
      <c r="B1309" s="38"/>
      <c r="C1309" s="8"/>
      <c r="D1309" s="8"/>
      <c r="E1309" s="8"/>
      <c r="F1309" s="8"/>
      <c r="G1309" s="8"/>
      <c r="H1309" s="8"/>
      <c r="I1309" s="8"/>
      <c r="J1309" s="8"/>
      <c r="K1309" s="8"/>
      <c r="L1309" s="8"/>
    </row>
    <row r="1310" spans="1:12" ht="15" customHeight="1" x14ac:dyDescent="0.2">
      <c r="A1310" s="38"/>
      <c r="B1310" s="38"/>
      <c r="C1310" s="8"/>
      <c r="D1310" s="8"/>
      <c r="E1310" s="8"/>
      <c r="F1310" s="8"/>
      <c r="G1310" s="8"/>
      <c r="H1310" s="8"/>
      <c r="I1310" s="8"/>
      <c r="J1310" s="8"/>
      <c r="K1310" s="8"/>
      <c r="L1310" s="8"/>
    </row>
    <row r="1311" spans="1:12" ht="15" customHeight="1" x14ac:dyDescent="0.2">
      <c r="A1311" s="38"/>
      <c r="B1311" s="38"/>
      <c r="C1311" s="8"/>
      <c r="D1311" s="8"/>
      <c r="E1311" s="8"/>
      <c r="F1311" s="8"/>
      <c r="G1311" s="8"/>
      <c r="H1311" s="8"/>
      <c r="I1311" s="8"/>
      <c r="J1311" s="8"/>
      <c r="K1311" s="8"/>
      <c r="L1311" s="8"/>
    </row>
    <row r="1312" spans="1:12" ht="15" customHeight="1" x14ac:dyDescent="0.2">
      <c r="A1312" s="38"/>
      <c r="B1312" s="38"/>
      <c r="C1312" s="8"/>
      <c r="D1312" s="8"/>
      <c r="E1312" s="8"/>
      <c r="F1312" s="8"/>
      <c r="G1312" s="8"/>
      <c r="H1312" s="8"/>
      <c r="I1312" s="8"/>
      <c r="J1312" s="8"/>
      <c r="K1312" s="8"/>
      <c r="L1312" s="8"/>
    </row>
    <row r="1313" spans="1:12" ht="15" customHeight="1" x14ac:dyDescent="0.2">
      <c r="A1313" s="38"/>
      <c r="B1313" s="38"/>
      <c r="C1313" s="8"/>
      <c r="D1313" s="8"/>
      <c r="E1313" s="8"/>
      <c r="F1313" s="8"/>
      <c r="G1313" s="8"/>
      <c r="H1313" s="8"/>
      <c r="I1313" s="8"/>
      <c r="J1313" s="8"/>
      <c r="K1313" s="8"/>
      <c r="L1313" s="8"/>
    </row>
    <row r="1314" spans="1:12" ht="15" customHeight="1" x14ac:dyDescent="0.2">
      <c r="A1314" s="38"/>
      <c r="B1314" s="38"/>
      <c r="C1314" s="8"/>
      <c r="D1314" s="8"/>
      <c r="E1314" s="8"/>
      <c r="F1314" s="8"/>
      <c r="G1314" s="8"/>
      <c r="H1314" s="8"/>
      <c r="I1314" s="8"/>
      <c r="J1314" s="8"/>
      <c r="K1314" s="8"/>
      <c r="L1314" s="8"/>
    </row>
    <row r="1315" spans="1:12" ht="15" customHeight="1" x14ac:dyDescent="0.2">
      <c r="A1315" s="38"/>
      <c r="B1315" s="38"/>
      <c r="C1315" s="8"/>
      <c r="D1315" s="8"/>
      <c r="E1315" s="8"/>
      <c r="F1315" s="8"/>
      <c r="G1315" s="8"/>
      <c r="H1315" s="8"/>
      <c r="I1315" s="8"/>
      <c r="J1315" s="8"/>
      <c r="K1315" s="8"/>
      <c r="L1315" s="8"/>
    </row>
    <row r="1316" spans="1:12" ht="15" customHeight="1" x14ac:dyDescent="0.2">
      <c r="A1316" s="38"/>
      <c r="B1316" s="38"/>
      <c r="C1316" s="8"/>
      <c r="D1316" s="8"/>
      <c r="E1316" s="8"/>
      <c r="F1316" s="8"/>
      <c r="G1316" s="8"/>
      <c r="H1316" s="8"/>
      <c r="I1316" s="8"/>
      <c r="J1316" s="8"/>
      <c r="K1316" s="8"/>
      <c r="L1316" s="8"/>
    </row>
    <row r="1317" spans="1:12" ht="15" customHeight="1" x14ac:dyDescent="0.2">
      <c r="A1317" s="38"/>
      <c r="B1317" s="38"/>
      <c r="C1317" s="8"/>
      <c r="D1317" s="8"/>
      <c r="E1317" s="8"/>
      <c r="F1317" s="8"/>
      <c r="G1317" s="8"/>
      <c r="H1317" s="8"/>
      <c r="I1317" s="8"/>
      <c r="J1317" s="8"/>
      <c r="K1317" s="8"/>
      <c r="L1317" s="8"/>
    </row>
    <row r="1318" spans="1:12" ht="15" customHeight="1" x14ac:dyDescent="0.2">
      <c r="A1318" s="38"/>
      <c r="B1318" s="38"/>
      <c r="C1318" s="8"/>
      <c r="D1318" s="8"/>
      <c r="E1318" s="8"/>
      <c r="F1318" s="8"/>
      <c r="G1318" s="8"/>
      <c r="H1318" s="8"/>
      <c r="I1318" s="8"/>
      <c r="J1318" s="8"/>
      <c r="K1318" s="8"/>
      <c r="L1318" s="8"/>
    </row>
    <row r="1319" spans="1:12" ht="15" customHeight="1" x14ac:dyDescent="0.2">
      <c r="A1319" s="38"/>
      <c r="B1319" s="38"/>
      <c r="C1319" s="8"/>
      <c r="D1319" s="8"/>
      <c r="E1319" s="8"/>
      <c r="F1319" s="8"/>
      <c r="G1319" s="8"/>
      <c r="H1319" s="8"/>
      <c r="I1319" s="8"/>
      <c r="J1319" s="8"/>
      <c r="K1319" s="8"/>
      <c r="L1319" s="8"/>
    </row>
    <row r="1320" spans="1:12" ht="15" customHeight="1" x14ac:dyDescent="0.2">
      <c r="A1320" s="38"/>
      <c r="B1320" s="38"/>
      <c r="C1320" s="8"/>
      <c r="D1320" s="8"/>
      <c r="E1320" s="8"/>
      <c r="F1320" s="8"/>
      <c r="G1320" s="8"/>
      <c r="H1320" s="8"/>
      <c r="I1320" s="8"/>
      <c r="J1320" s="8"/>
      <c r="K1320" s="8"/>
      <c r="L1320" s="8"/>
    </row>
    <row r="1321" spans="1:12" ht="15" customHeight="1" x14ac:dyDescent="0.2">
      <c r="A1321" s="38"/>
      <c r="B1321" s="38"/>
      <c r="C1321" s="8"/>
      <c r="D1321" s="8"/>
      <c r="E1321" s="8"/>
      <c r="F1321" s="8"/>
      <c r="G1321" s="8"/>
      <c r="H1321" s="8"/>
      <c r="I1321" s="8"/>
      <c r="J1321" s="8"/>
      <c r="K1321" s="8"/>
      <c r="L1321" s="8"/>
    </row>
    <row r="1322" spans="1:12" ht="15" customHeight="1" x14ac:dyDescent="0.2">
      <c r="A1322" s="38"/>
      <c r="B1322" s="38"/>
      <c r="C1322" s="8"/>
      <c r="D1322" s="8"/>
      <c r="E1322" s="8"/>
      <c r="F1322" s="8"/>
      <c r="G1322" s="8"/>
      <c r="H1322" s="8"/>
      <c r="I1322" s="8"/>
      <c r="J1322" s="8"/>
      <c r="K1322" s="8"/>
      <c r="L1322" s="8"/>
    </row>
    <row r="1323" spans="1:12" ht="15" customHeight="1" x14ac:dyDescent="0.2">
      <c r="A1323" s="38"/>
      <c r="B1323" s="38"/>
      <c r="C1323" s="8"/>
      <c r="D1323" s="8"/>
      <c r="E1323" s="8"/>
      <c r="F1323" s="8"/>
      <c r="G1323" s="8"/>
      <c r="H1323" s="8"/>
      <c r="I1323" s="8"/>
      <c r="J1323" s="8"/>
      <c r="K1323" s="8"/>
      <c r="L1323" s="8"/>
    </row>
    <row r="1324" spans="1:12" ht="15" customHeight="1" x14ac:dyDescent="0.2">
      <c r="A1324" s="38"/>
      <c r="B1324" s="38"/>
      <c r="C1324" s="8"/>
      <c r="D1324" s="8"/>
      <c r="E1324" s="8"/>
      <c r="F1324" s="8"/>
      <c r="G1324" s="8"/>
      <c r="H1324" s="8"/>
      <c r="I1324" s="8"/>
      <c r="J1324" s="8"/>
      <c r="K1324" s="8"/>
      <c r="L1324" s="8"/>
    </row>
    <row r="1325" spans="1:12" ht="15" customHeight="1" x14ac:dyDescent="0.2">
      <c r="A1325" s="38"/>
      <c r="B1325" s="38"/>
      <c r="C1325" s="8"/>
      <c r="D1325" s="8"/>
      <c r="E1325" s="8"/>
      <c r="F1325" s="8"/>
      <c r="G1325" s="8"/>
      <c r="H1325" s="8"/>
      <c r="I1325" s="8"/>
      <c r="J1325" s="8"/>
      <c r="K1325" s="8"/>
      <c r="L1325" s="8"/>
    </row>
    <row r="1326" spans="1:12" ht="15" customHeight="1" x14ac:dyDescent="0.2">
      <c r="A1326" s="38"/>
      <c r="B1326" s="38"/>
      <c r="C1326" s="8"/>
      <c r="D1326" s="8"/>
      <c r="E1326" s="8"/>
      <c r="F1326" s="8"/>
      <c r="G1326" s="8"/>
      <c r="H1326" s="8"/>
      <c r="I1326" s="8"/>
      <c r="J1326" s="8"/>
      <c r="K1326" s="8"/>
      <c r="L1326" s="8"/>
    </row>
    <row r="1327" spans="1:12" ht="15" customHeight="1" x14ac:dyDescent="0.2">
      <c r="A1327" s="38"/>
      <c r="B1327" s="38"/>
      <c r="C1327" s="8"/>
      <c r="D1327" s="8"/>
      <c r="E1327" s="8"/>
      <c r="F1327" s="8"/>
      <c r="G1327" s="8"/>
      <c r="H1327" s="8"/>
      <c r="I1327" s="8"/>
      <c r="J1327" s="8"/>
      <c r="K1327" s="8"/>
      <c r="L1327" s="8"/>
    </row>
    <row r="1328" spans="1:12" ht="15" customHeight="1" x14ac:dyDescent="0.2">
      <c r="A1328" s="38"/>
      <c r="B1328" s="38"/>
      <c r="C1328" s="8"/>
      <c r="D1328" s="8"/>
      <c r="E1328" s="8"/>
      <c r="F1328" s="8"/>
      <c r="G1328" s="8"/>
      <c r="H1328" s="8"/>
      <c r="I1328" s="8"/>
      <c r="J1328" s="8"/>
      <c r="K1328" s="8"/>
      <c r="L1328" s="8"/>
    </row>
    <row r="1329" spans="1:12" ht="15" customHeight="1" x14ac:dyDescent="0.2">
      <c r="A1329" s="38"/>
      <c r="B1329" s="38"/>
      <c r="C1329" s="8"/>
      <c r="D1329" s="8"/>
      <c r="E1329" s="8"/>
      <c r="F1329" s="8"/>
      <c r="G1329" s="8"/>
      <c r="H1329" s="8"/>
      <c r="I1329" s="8"/>
      <c r="J1329" s="8"/>
      <c r="K1329" s="8"/>
      <c r="L1329" s="8"/>
    </row>
    <row r="1330" spans="1:12" ht="15" customHeight="1" x14ac:dyDescent="0.2">
      <c r="A1330" s="38"/>
      <c r="B1330" s="38"/>
      <c r="C1330" s="8"/>
      <c r="D1330" s="8"/>
      <c r="E1330" s="8"/>
      <c r="F1330" s="8"/>
      <c r="G1330" s="8"/>
      <c r="H1330" s="8"/>
      <c r="I1330" s="8"/>
      <c r="J1330" s="8"/>
      <c r="K1330" s="8"/>
      <c r="L1330" s="8"/>
    </row>
    <row r="1331" spans="1:12" ht="15" customHeight="1" x14ac:dyDescent="0.2">
      <c r="A1331" s="38"/>
      <c r="B1331" s="38"/>
      <c r="C1331" s="8"/>
      <c r="D1331" s="8"/>
      <c r="E1331" s="8"/>
      <c r="F1331" s="8"/>
      <c r="G1331" s="8"/>
      <c r="H1331" s="8"/>
      <c r="I1331" s="8"/>
      <c r="J1331" s="8"/>
      <c r="K1331" s="8"/>
      <c r="L1331" s="8"/>
    </row>
    <row r="1332" spans="1:12" ht="15" customHeight="1" x14ac:dyDescent="0.2">
      <c r="A1332" s="38"/>
      <c r="B1332" s="38"/>
      <c r="C1332" s="8"/>
      <c r="D1332" s="8"/>
      <c r="E1332" s="8"/>
      <c r="F1332" s="8"/>
      <c r="G1332" s="8"/>
      <c r="H1332" s="8"/>
      <c r="I1332" s="8"/>
      <c r="J1332" s="8"/>
      <c r="K1332" s="8"/>
      <c r="L1332" s="8"/>
    </row>
    <row r="1333" spans="1:12" ht="15" customHeight="1" x14ac:dyDescent="0.2">
      <c r="A1333" s="38"/>
      <c r="B1333" s="38"/>
      <c r="C1333" s="8"/>
      <c r="D1333" s="8"/>
      <c r="E1333" s="8"/>
      <c r="F1333" s="8"/>
      <c r="G1333" s="8"/>
      <c r="H1333" s="8"/>
      <c r="I1333" s="8"/>
      <c r="J1333" s="8"/>
      <c r="K1333" s="8"/>
      <c r="L1333" s="8"/>
    </row>
    <row r="1334" spans="1:12" ht="15" customHeight="1" x14ac:dyDescent="0.2">
      <c r="A1334" s="38"/>
      <c r="B1334" s="38"/>
      <c r="C1334" s="8"/>
      <c r="D1334" s="8"/>
      <c r="E1334" s="8"/>
      <c r="F1334" s="8"/>
      <c r="G1334" s="8"/>
      <c r="H1334" s="8"/>
      <c r="I1334" s="8"/>
      <c r="J1334" s="8"/>
      <c r="K1334" s="8"/>
      <c r="L1334" s="8"/>
    </row>
    <row r="1335" spans="1:12" ht="15" customHeight="1" x14ac:dyDescent="0.2">
      <c r="A1335" s="38"/>
      <c r="B1335" s="38"/>
      <c r="C1335" s="8"/>
      <c r="D1335" s="8"/>
      <c r="E1335" s="8"/>
      <c r="F1335" s="8"/>
      <c r="G1335" s="8"/>
      <c r="H1335" s="8"/>
      <c r="I1335" s="8"/>
      <c r="J1335" s="8"/>
      <c r="K1335" s="8"/>
      <c r="L1335" s="8"/>
    </row>
    <row r="1336" spans="1:12" ht="15" customHeight="1" x14ac:dyDescent="0.2">
      <c r="A1336" s="38"/>
      <c r="B1336" s="38"/>
      <c r="C1336" s="8"/>
      <c r="D1336" s="8"/>
      <c r="E1336" s="8"/>
      <c r="F1336" s="8"/>
      <c r="G1336" s="8"/>
      <c r="H1336" s="8"/>
      <c r="I1336" s="8"/>
      <c r="J1336" s="8"/>
      <c r="K1336" s="8"/>
      <c r="L1336" s="8"/>
    </row>
    <row r="1337" spans="1:12" ht="15" customHeight="1" x14ac:dyDescent="0.2">
      <c r="A1337" s="38"/>
      <c r="B1337" s="38"/>
      <c r="C1337" s="8"/>
      <c r="D1337" s="8"/>
      <c r="E1337" s="8"/>
      <c r="F1337" s="8"/>
      <c r="G1337" s="8"/>
      <c r="H1337" s="8"/>
      <c r="I1337" s="8"/>
      <c r="J1337" s="8"/>
      <c r="K1337" s="8"/>
      <c r="L1337" s="8"/>
    </row>
    <row r="1338" spans="1:12" ht="15" customHeight="1" x14ac:dyDescent="0.2">
      <c r="A1338" s="38"/>
      <c r="B1338" s="38"/>
      <c r="C1338" s="8"/>
      <c r="D1338" s="8"/>
      <c r="E1338" s="8"/>
      <c r="F1338" s="8"/>
      <c r="G1338" s="8"/>
      <c r="H1338" s="8"/>
      <c r="I1338" s="8"/>
      <c r="J1338" s="8"/>
      <c r="K1338" s="8"/>
      <c r="L1338" s="8"/>
    </row>
    <row r="1339" spans="1:12" ht="15" customHeight="1" x14ac:dyDescent="0.2">
      <c r="A1339" s="38"/>
      <c r="B1339" s="38"/>
      <c r="C1339" s="8"/>
      <c r="D1339" s="8"/>
      <c r="E1339" s="8"/>
      <c r="F1339" s="8"/>
      <c r="G1339" s="8"/>
      <c r="H1339" s="8"/>
      <c r="I1339" s="8"/>
      <c r="J1339" s="8"/>
      <c r="K1339" s="8"/>
      <c r="L1339" s="8"/>
    </row>
    <row r="1340" spans="1:12" ht="15" customHeight="1" x14ac:dyDescent="0.2">
      <c r="A1340" s="38"/>
      <c r="B1340" s="38"/>
      <c r="C1340" s="8"/>
      <c r="D1340" s="8"/>
      <c r="E1340" s="8"/>
      <c r="F1340" s="8"/>
      <c r="G1340" s="8"/>
      <c r="H1340" s="8"/>
      <c r="I1340" s="8"/>
      <c r="J1340" s="8"/>
      <c r="K1340" s="8"/>
      <c r="L1340" s="8"/>
    </row>
    <row r="1341" spans="1:12" ht="15" customHeight="1" x14ac:dyDescent="0.2">
      <c r="A1341" s="38"/>
      <c r="B1341" s="38"/>
      <c r="C1341" s="8"/>
      <c r="D1341" s="8"/>
      <c r="E1341" s="8"/>
      <c r="F1341" s="8"/>
      <c r="G1341" s="8"/>
      <c r="H1341" s="8"/>
      <c r="I1341" s="8"/>
      <c r="J1341" s="8"/>
      <c r="K1341" s="8"/>
      <c r="L1341" s="8"/>
    </row>
    <row r="1342" spans="1:12" ht="15" customHeight="1" x14ac:dyDescent="0.2">
      <c r="A1342" s="38"/>
      <c r="B1342" s="38"/>
      <c r="C1342" s="8"/>
      <c r="D1342" s="8"/>
      <c r="E1342" s="8"/>
      <c r="F1342" s="8"/>
      <c r="G1342" s="8"/>
      <c r="H1342" s="8"/>
      <c r="I1342" s="8"/>
      <c r="J1342" s="8"/>
      <c r="K1342" s="8"/>
      <c r="L1342" s="8"/>
    </row>
    <row r="1343" spans="1:12" ht="15" customHeight="1" x14ac:dyDescent="0.2">
      <c r="A1343" s="38"/>
      <c r="B1343" s="38"/>
      <c r="C1343" s="8"/>
      <c r="D1343" s="8"/>
      <c r="E1343" s="8"/>
      <c r="F1343" s="8"/>
      <c r="G1343" s="8"/>
      <c r="H1343" s="8"/>
      <c r="I1343" s="8"/>
      <c r="J1343" s="8"/>
      <c r="K1343" s="8"/>
      <c r="L1343" s="8"/>
    </row>
    <row r="1344" spans="1:12" ht="15" customHeight="1" x14ac:dyDescent="0.2">
      <c r="A1344" s="38"/>
      <c r="B1344" s="38"/>
      <c r="C1344" s="8"/>
      <c r="D1344" s="8"/>
      <c r="E1344" s="8"/>
      <c r="F1344" s="8"/>
      <c r="G1344" s="8"/>
      <c r="H1344" s="8"/>
      <c r="I1344" s="8"/>
      <c r="J1344" s="8"/>
      <c r="K1344" s="8"/>
      <c r="L1344" s="8"/>
    </row>
    <row r="1345" spans="1:12" ht="15" customHeight="1" x14ac:dyDescent="0.2">
      <c r="A1345" s="38"/>
      <c r="B1345" s="38"/>
      <c r="C1345" s="8"/>
      <c r="D1345" s="8"/>
      <c r="E1345" s="8"/>
      <c r="F1345" s="8"/>
      <c r="G1345" s="8"/>
      <c r="H1345" s="8"/>
      <c r="I1345" s="8"/>
      <c r="J1345" s="8"/>
      <c r="K1345" s="8"/>
      <c r="L1345" s="8"/>
    </row>
    <row r="1346" spans="1:12" ht="15" customHeight="1" x14ac:dyDescent="0.2">
      <c r="A1346" s="38"/>
      <c r="B1346" s="38"/>
      <c r="C1346" s="8"/>
      <c r="D1346" s="8"/>
      <c r="E1346" s="8"/>
      <c r="F1346" s="8"/>
      <c r="G1346" s="8"/>
      <c r="H1346" s="8"/>
      <c r="I1346" s="8"/>
      <c r="J1346" s="8"/>
      <c r="K1346" s="8"/>
      <c r="L1346" s="8"/>
    </row>
    <row r="1347" spans="1:12" ht="15" customHeight="1" x14ac:dyDescent="0.2">
      <c r="A1347" s="38"/>
      <c r="B1347" s="38"/>
      <c r="C1347" s="8"/>
      <c r="D1347" s="8"/>
      <c r="E1347" s="8"/>
      <c r="F1347" s="8"/>
      <c r="G1347" s="8"/>
      <c r="H1347" s="8"/>
      <c r="I1347" s="8"/>
      <c r="J1347" s="8"/>
      <c r="K1347" s="8"/>
      <c r="L1347" s="8"/>
    </row>
    <row r="1348" spans="1:12" ht="15" customHeight="1" x14ac:dyDescent="0.2">
      <c r="A1348" s="38"/>
      <c r="B1348" s="38"/>
      <c r="C1348" s="8"/>
      <c r="D1348" s="8"/>
      <c r="E1348" s="8"/>
      <c r="F1348" s="8"/>
      <c r="G1348" s="8"/>
      <c r="H1348" s="8"/>
      <c r="I1348" s="8"/>
      <c r="J1348" s="8"/>
      <c r="K1348" s="8"/>
      <c r="L1348" s="8"/>
    </row>
    <row r="1349" spans="1:12" ht="15" customHeight="1" x14ac:dyDescent="0.2">
      <c r="A1349" s="38"/>
      <c r="B1349" s="38"/>
      <c r="C1349" s="8"/>
      <c r="D1349" s="8"/>
      <c r="E1349" s="8"/>
      <c r="F1349" s="8"/>
      <c r="G1349" s="8"/>
      <c r="H1349" s="8"/>
      <c r="I1349" s="8"/>
      <c r="J1349" s="8"/>
      <c r="K1349" s="8"/>
      <c r="L1349" s="8"/>
    </row>
    <row r="1350" spans="1:12" ht="15" customHeight="1" x14ac:dyDescent="0.2">
      <c r="A1350" s="38"/>
      <c r="B1350" s="38"/>
      <c r="C1350" s="8"/>
      <c r="D1350" s="8"/>
      <c r="E1350" s="8"/>
      <c r="F1350" s="8"/>
      <c r="G1350" s="8"/>
      <c r="H1350" s="8"/>
      <c r="I1350" s="8"/>
      <c r="J1350" s="8"/>
      <c r="K1350" s="8"/>
      <c r="L1350" s="8"/>
    </row>
    <row r="1351" spans="1:12" ht="15" customHeight="1" x14ac:dyDescent="0.2">
      <c r="A1351" s="38"/>
      <c r="B1351" s="38"/>
      <c r="C1351" s="8"/>
      <c r="D1351" s="8"/>
      <c r="E1351" s="8"/>
      <c r="F1351" s="8"/>
      <c r="G1351" s="8"/>
      <c r="H1351" s="8"/>
      <c r="I1351" s="8"/>
      <c r="J1351" s="8"/>
      <c r="K1351" s="8"/>
      <c r="L1351" s="8"/>
    </row>
    <row r="1352" spans="1:12" ht="15" customHeight="1" x14ac:dyDescent="0.2">
      <c r="A1352" s="38"/>
      <c r="B1352" s="38"/>
      <c r="C1352" s="8"/>
      <c r="D1352" s="8"/>
      <c r="E1352" s="8"/>
      <c r="F1352" s="8"/>
      <c r="G1352" s="8"/>
      <c r="H1352" s="8"/>
      <c r="I1352" s="8"/>
      <c r="J1352" s="8"/>
      <c r="K1352" s="8"/>
      <c r="L1352" s="8"/>
    </row>
    <row r="1353" spans="1:12" ht="15" customHeight="1" x14ac:dyDescent="0.2">
      <c r="A1353" s="38"/>
      <c r="B1353" s="38"/>
      <c r="C1353" s="8"/>
      <c r="D1353" s="8"/>
      <c r="E1353" s="8"/>
      <c r="F1353" s="8"/>
      <c r="G1353" s="8"/>
      <c r="H1353" s="8"/>
      <c r="I1353" s="8"/>
      <c r="J1353" s="8"/>
      <c r="K1353" s="8"/>
      <c r="L1353" s="8"/>
    </row>
    <row r="1354" spans="1:12" ht="15" customHeight="1" x14ac:dyDescent="0.2">
      <c r="A1354" s="38"/>
      <c r="B1354" s="38"/>
      <c r="C1354" s="8"/>
      <c r="D1354" s="8"/>
      <c r="E1354" s="8"/>
      <c r="F1354" s="8"/>
      <c r="G1354" s="8"/>
      <c r="H1354" s="8"/>
      <c r="I1354" s="8"/>
      <c r="J1354" s="8"/>
      <c r="K1354" s="8"/>
      <c r="L1354" s="8"/>
    </row>
    <row r="1355" spans="1:12" ht="15" customHeight="1" x14ac:dyDescent="0.2">
      <c r="A1355" s="38"/>
      <c r="B1355" s="38"/>
      <c r="C1355" s="8"/>
      <c r="D1355" s="8"/>
      <c r="E1355" s="8"/>
      <c r="F1355" s="8"/>
      <c r="G1355" s="8"/>
      <c r="H1355" s="8"/>
      <c r="I1355" s="8"/>
      <c r="J1355" s="8"/>
      <c r="K1355" s="8"/>
      <c r="L1355" s="8"/>
    </row>
    <row r="1356" spans="1:12" ht="15" customHeight="1" x14ac:dyDescent="0.2">
      <c r="A1356" s="38"/>
      <c r="B1356" s="38"/>
      <c r="C1356" s="8"/>
      <c r="D1356" s="8"/>
      <c r="E1356" s="8"/>
      <c r="F1356" s="8"/>
      <c r="G1356" s="8"/>
      <c r="H1356" s="8"/>
      <c r="I1356" s="8"/>
      <c r="J1356" s="8"/>
      <c r="K1356" s="8"/>
      <c r="L1356" s="8"/>
    </row>
    <row r="1357" spans="1:12" ht="15" customHeight="1" x14ac:dyDescent="0.2">
      <c r="A1357" s="38"/>
      <c r="B1357" s="38"/>
      <c r="C1357" s="8"/>
      <c r="D1357" s="8"/>
      <c r="E1357" s="8"/>
      <c r="F1357" s="8"/>
      <c r="G1357" s="8"/>
      <c r="H1357" s="8"/>
      <c r="I1357" s="8"/>
      <c r="J1357" s="8"/>
      <c r="K1357" s="8"/>
      <c r="L1357" s="8"/>
    </row>
    <row r="1358" spans="1:12" ht="15" customHeight="1" x14ac:dyDescent="0.2">
      <c r="A1358" s="38"/>
      <c r="B1358" s="38"/>
      <c r="C1358" s="8"/>
      <c r="D1358" s="8"/>
      <c r="E1358" s="8"/>
      <c r="F1358" s="8"/>
      <c r="G1358" s="8"/>
      <c r="H1358" s="8"/>
      <c r="I1358" s="8"/>
      <c r="J1358" s="8"/>
      <c r="K1358" s="8"/>
      <c r="L1358" s="8"/>
    </row>
    <row r="1359" spans="1:12" ht="15" customHeight="1" x14ac:dyDescent="0.2">
      <c r="A1359" s="38"/>
      <c r="B1359" s="38"/>
      <c r="C1359" s="8"/>
      <c r="D1359" s="8"/>
      <c r="E1359" s="8"/>
      <c r="F1359" s="8"/>
      <c r="G1359" s="8"/>
      <c r="H1359" s="8"/>
      <c r="I1359" s="8"/>
      <c r="J1359" s="8"/>
      <c r="K1359" s="8"/>
      <c r="L1359" s="8"/>
    </row>
    <row r="1360" spans="1:12" ht="15" customHeight="1" x14ac:dyDescent="0.2">
      <c r="A1360" s="38"/>
      <c r="B1360" s="38"/>
      <c r="C1360" s="8"/>
      <c r="D1360" s="8"/>
      <c r="E1360" s="8"/>
      <c r="F1360" s="8"/>
      <c r="G1360" s="8"/>
      <c r="H1360" s="8"/>
      <c r="I1360" s="8"/>
      <c r="J1360" s="8"/>
      <c r="K1360" s="8"/>
      <c r="L1360" s="8"/>
    </row>
    <row r="1361" spans="1:12" ht="15" customHeight="1" x14ac:dyDescent="0.2">
      <c r="A1361" s="38"/>
      <c r="B1361" s="38"/>
      <c r="C1361" s="8"/>
      <c r="D1361" s="8"/>
      <c r="E1361" s="8"/>
      <c r="F1361" s="8"/>
      <c r="G1361" s="8"/>
      <c r="H1361" s="8"/>
      <c r="I1361" s="8"/>
      <c r="J1361" s="8"/>
      <c r="K1361" s="8"/>
      <c r="L1361" s="8"/>
    </row>
    <row r="1362" spans="1:12" ht="15" customHeight="1" x14ac:dyDescent="0.2">
      <c r="A1362" s="38"/>
      <c r="B1362" s="38"/>
      <c r="C1362" s="8"/>
      <c r="D1362" s="8"/>
      <c r="E1362" s="8"/>
      <c r="F1362" s="8"/>
      <c r="G1362" s="8"/>
      <c r="H1362" s="8"/>
      <c r="I1362" s="8"/>
      <c r="J1362" s="8"/>
      <c r="K1362" s="8"/>
      <c r="L1362" s="8"/>
    </row>
    <row r="1363" spans="1:12" ht="15" customHeight="1" x14ac:dyDescent="0.2">
      <c r="A1363" s="38"/>
      <c r="B1363" s="38"/>
      <c r="C1363" s="8"/>
      <c r="D1363" s="8"/>
      <c r="E1363" s="8"/>
      <c r="F1363" s="8"/>
      <c r="G1363" s="8"/>
      <c r="H1363" s="8"/>
      <c r="I1363" s="8"/>
      <c r="J1363" s="8"/>
      <c r="K1363" s="8"/>
      <c r="L1363" s="8"/>
    </row>
    <row r="1364" spans="1:12" ht="15" customHeight="1" x14ac:dyDescent="0.2">
      <c r="A1364" s="38"/>
      <c r="B1364" s="38"/>
      <c r="C1364" s="8"/>
      <c r="D1364" s="8"/>
      <c r="E1364" s="8"/>
      <c r="F1364" s="8"/>
      <c r="G1364" s="8"/>
      <c r="H1364" s="8"/>
      <c r="I1364" s="8"/>
      <c r="J1364" s="8"/>
      <c r="K1364" s="8"/>
      <c r="L1364" s="8"/>
    </row>
    <row r="1365" spans="1:12" ht="15" customHeight="1" x14ac:dyDescent="0.2">
      <c r="A1365" s="38"/>
      <c r="B1365" s="38"/>
      <c r="C1365" s="8"/>
      <c r="D1365" s="8"/>
      <c r="E1365" s="8"/>
      <c r="F1365" s="8"/>
      <c r="G1365" s="8"/>
      <c r="H1365" s="8"/>
      <c r="I1365" s="8"/>
      <c r="J1365" s="8"/>
      <c r="K1365" s="8"/>
      <c r="L1365" s="8"/>
    </row>
    <row r="1366" spans="1:12" ht="15" customHeight="1" x14ac:dyDescent="0.2">
      <c r="A1366" s="38"/>
      <c r="B1366" s="38"/>
      <c r="C1366" s="8"/>
      <c r="D1366" s="8"/>
      <c r="E1366" s="8"/>
      <c r="F1366" s="8"/>
      <c r="G1366" s="8"/>
      <c r="H1366" s="8"/>
      <c r="I1366" s="8"/>
      <c r="J1366" s="8"/>
      <c r="K1366" s="8"/>
      <c r="L1366" s="8"/>
    </row>
    <row r="1367" spans="1:12" ht="15" customHeight="1" x14ac:dyDescent="0.2">
      <c r="A1367" s="38"/>
      <c r="B1367" s="38"/>
      <c r="C1367" s="8"/>
      <c r="D1367" s="8"/>
      <c r="E1367" s="8"/>
      <c r="F1367" s="8"/>
      <c r="G1367" s="8"/>
      <c r="H1367" s="8"/>
      <c r="I1367" s="8"/>
      <c r="J1367" s="8"/>
      <c r="K1367" s="8"/>
      <c r="L1367" s="8"/>
    </row>
    <row r="1368" spans="1:12" ht="15" customHeight="1" x14ac:dyDescent="0.2">
      <c r="A1368" s="38"/>
      <c r="B1368" s="38"/>
      <c r="C1368" s="8"/>
      <c r="D1368" s="8"/>
      <c r="E1368" s="8"/>
      <c r="F1368" s="8"/>
      <c r="G1368" s="8"/>
      <c r="H1368" s="8"/>
      <c r="I1368" s="8"/>
      <c r="J1368" s="8"/>
      <c r="K1368" s="8"/>
      <c r="L1368" s="8"/>
    </row>
    <row r="1369" spans="1:12" ht="15" customHeight="1" x14ac:dyDescent="0.2">
      <c r="A1369" s="38"/>
      <c r="B1369" s="38"/>
      <c r="C1369" s="8"/>
      <c r="D1369" s="8"/>
      <c r="E1369" s="8"/>
      <c r="F1369" s="8"/>
      <c r="G1369" s="8"/>
      <c r="H1369" s="8"/>
      <c r="I1369" s="8"/>
      <c r="J1369" s="8"/>
      <c r="K1369" s="8"/>
      <c r="L1369" s="8"/>
    </row>
    <row r="1370" spans="1:12" ht="15" customHeight="1" x14ac:dyDescent="0.2">
      <c r="A1370" s="38"/>
      <c r="B1370" s="38"/>
      <c r="C1370" s="8"/>
      <c r="D1370" s="8"/>
      <c r="E1370" s="8"/>
      <c r="F1370" s="8"/>
      <c r="G1370" s="8"/>
      <c r="H1370" s="8"/>
      <c r="I1370" s="8"/>
      <c r="J1370" s="8"/>
      <c r="K1370" s="8"/>
      <c r="L1370" s="8"/>
    </row>
    <row r="1371" spans="1:12" ht="15" customHeight="1" x14ac:dyDescent="0.2">
      <c r="A1371" s="38"/>
      <c r="B1371" s="38"/>
      <c r="C1371" s="8"/>
      <c r="D1371" s="8"/>
      <c r="E1371" s="8"/>
      <c r="F1371" s="8"/>
      <c r="G1371" s="8"/>
      <c r="H1371" s="8"/>
      <c r="I1371" s="8"/>
      <c r="J1371" s="8"/>
      <c r="K1371" s="8"/>
      <c r="L1371" s="8"/>
    </row>
    <row r="1372" spans="1:12" ht="15" customHeight="1" x14ac:dyDescent="0.2">
      <c r="A1372" s="38"/>
      <c r="B1372" s="38"/>
      <c r="C1372" s="8"/>
      <c r="D1372" s="8"/>
      <c r="E1372" s="8"/>
      <c r="F1372" s="8"/>
      <c r="G1372" s="8"/>
      <c r="H1372" s="8"/>
      <c r="I1372" s="8"/>
      <c r="J1372" s="8"/>
      <c r="K1372" s="8"/>
      <c r="L1372" s="8"/>
    </row>
    <row r="1373" spans="1:12" ht="15" customHeight="1" x14ac:dyDescent="0.2">
      <c r="A1373" s="38"/>
      <c r="B1373" s="38"/>
      <c r="C1373" s="8"/>
      <c r="D1373" s="8"/>
      <c r="E1373" s="8"/>
      <c r="F1373" s="8"/>
      <c r="G1373" s="8"/>
      <c r="H1373" s="8"/>
      <c r="I1373" s="8"/>
      <c r="J1373" s="8"/>
      <c r="K1373" s="8"/>
      <c r="L1373" s="8"/>
    </row>
    <row r="1374" spans="1:12" ht="15" customHeight="1" x14ac:dyDescent="0.2">
      <c r="A1374" s="38"/>
      <c r="B1374" s="38"/>
      <c r="C1374" s="8"/>
      <c r="D1374" s="8"/>
      <c r="E1374" s="8"/>
      <c r="F1374" s="8"/>
      <c r="G1374" s="8"/>
      <c r="H1374" s="8"/>
      <c r="I1374" s="8"/>
      <c r="J1374" s="8"/>
      <c r="K1374" s="8"/>
      <c r="L1374" s="8"/>
    </row>
    <row r="1375" spans="1:12" ht="15" customHeight="1" x14ac:dyDescent="0.2">
      <c r="A1375" s="38"/>
      <c r="B1375" s="38"/>
      <c r="C1375" s="8"/>
      <c r="D1375" s="8"/>
      <c r="E1375" s="8"/>
      <c r="F1375" s="8"/>
      <c r="G1375" s="8"/>
      <c r="H1375" s="8"/>
      <c r="I1375" s="8"/>
      <c r="J1375" s="8"/>
      <c r="K1375" s="8"/>
      <c r="L1375" s="8"/>
    </row>
    <row r="1376" spans="1:12" ht="15" customHeight="1" x14ac:dyDescent="0.2">
      <c r="A1376" s="38"/>
      <c r="B1376" s="38"/>
      <c r="C1376" s="8"/>
      <c r="D1376" s="8"/>
      <c r="E1376" s="8"/>
      <c r="F1376" s="8"/>
      <c r="G1376" s="8"/>
      <c r="H1376" s="8"/>
      <c r="I1376" s="8"/>
      <c r="J1376" s="8"/>
      <c r="K1376" s="8"/>
      <c r="L1376" s="8"/>
    </row>
    <row r="1377" spans="1:12" ht="15" customHeight="1" x14ac:dyDescent="0.2">
      <c r="A1377" s="38"/>
      <c r="B1377" s="38"/>
      <c r="C1377" s="8"/>
      <c r="D1377" s="8"/>
      <c r="E1377" s="8"/>
      <c r="F1377" s="8"/>
      <c r="G1377" s="8"/>
      <c r="H1377" s="8"/>
      <c r="I1377" s="8"/>
      <c r="J1377" s="8"/>
      <c r="K1377" s="8"/>
      <c r="L1377" s="8"/>
    </row>
    <row r="1378" spans="1:12" ht="15" customHeight="1" x14ac:dyDescent="0.2">
      <c r="A1378" s="38"/>
      <c r="B1378" s="38"/>
      <c r="C1378" s="8"/>
      <c r="D1378" s="8"/>
      <c r="E1378" s="8"/>
      <c r="F1378" s="8"/>
      <c r="G1378" s="8"/>
      <c r="H1378" s="8"/>
      <c r="I1378" s="8"/>
      <c r="J1378" s="8"/>
      <c r="K1378" s="8"/>
      <c r="L1378" s="8"/>
    </row>
    <row r="1379" spans="1:12" ht="15" customHeight="1" x14ac:dyDescent="0.2">
      <c r="A1379" s="38"/>
      <c r="B1379" s="38"/>
      <c r="C1379" s="8"/>
      <c r="D1379" s="8"/>
      <c r="E1379" s="8"/>
      <c r="F1379" s="8"/>
      <c r="G1379" s="8"/>
      <c r="H1379" s="8"/>
      <c r="I1379" s="8"/>
      <c r="J1379" s="8"/>
      <c r="K1379" s="8"/>
      <c r="L1379" s="8"/>
    </row>
    <row r="1380" spans="1:12" ht="15" customHeight="1" x14ac:dyDescent="0.2">
      <c r="A1380" s="38"/>
      <c r="B1380" s="38"/>
      <c r="C1380" s="8"/>
      <c r="D1380" s="8"/>
      <c r="E1380" s="8"/>
      <c r="F1380" s="8"/>
      <c r="G1380" s="8"/>
      <c r="H1380" s="8"/>
      <c r="I1380" s="8"/>
      <c r="J1380" s="8"/>
      <c r="K1380" s="8"/>
      <c r="L1380" s="8"/>
    </row>
    <row r="1381" spans="1:12" ht="15" customHeight="1" x14ac:dyDescent="0.2">
      <c r="A1381" s="38"/>
      <c r="B1381" s="38"/>
      <c r="C1381" s="8"/>
      <c r="D1381" s="8"/>
      <c r="E1381" s="8"/>
      <c r="F1381" s="8"/>
      <c r="G1381" s="8"/>
      <c r="H1381" s="8"/>
      <c r="I1381" s="8"/>
      <c r="J1381" s="8"/>
      <c r="K1381" s="8"/>
      <c r="L1381" s="8"/>
    </row>
    <row r="1382" spans="1:12" ht="15" customHeight="1" x14ac:dyDescent="0.2">
      <c r="A1382" s="38"/>
      <c r="B1382" s="38"/>
      <c r="C1382" s="8"/>
      <c r="D1382" s="8"/>
      <c r="E1382" s="8"/>
      <c r="F1382" s="8"/>
      <c r="G1382" s="8"/>
      <c r="H1382" s="8"/>
      <c r="I1382" s="8"/>
      <c r="J1382" s="8"/>
      <c r="K1382" s="8"/>
      <c r="L1382" s="8"/>
    </row>
    <row r="1383" spans="1:12" ht="15" customHeight="1" x14ac:dyDescent="0.2">
      <c r="A1383" s="38"/>
      <c r="B1383" s="38"/>
      <c r="C1383" s="8"/>
      <c r="D1383" s="8"/>
      <c r="E1383" s="8"/>
      <c r="F1383" s="8"/>
      <c r="G1383" s="8"/>
      <c r="H1383" s="8"/>
      <c r="I1383" s="8"/>
      <c r="J1383" s="8"/>
      <c r="K1383" s="8"/>
      <c r="L1383" s="8"/>
    </row>
    <row r="1384" spans="1:12" ht="15" customHeight="1" x14ac:dyDescent="0.2">
      <c r="A1384" s="38"/>
      <c r="B1384" s="38"/>
      <c r="C1384" s="8"/>
      <c r="D1384" s="8"/>
      <c r="E1384" s="8"/>
      <c r="F1384" s="8"/>
      <c r="G1384" s="8"/>
      <c r="H1384" s="8"/>
      <c r="I1384" s="8"/>
      <c r="J1384" s="8"/>
      <c r="K1384" s="8"/>
      <c r="L1384" s="8"/>
    </row>
    <row r="1385" spans="1:12" ht="15" customHeight="1" x14ac:dyDescent="0.2">
      <c r="A1385" s="38"/>
      <c r="B1385" s="38"/>
      <c r="C1385" s="8"/>
      <c r="D1385" s="8"/>
      <c r="E1385" s="8"/>
      <c r="F1385" s="8"/>
      <c r="G1385" s="8"/>
      <c r="H1385" s="8"/>
      <c r="I1385" s="8"/>
      <c r="J1385" s="8"/>
      <c r="K1385" s="8"/>
      <c r="L1385" s="8"/>
    </row>
    <row r="1386" spans="1:12" ht="15" customHeight="1" x14ac:dyDescent="0.2">
      <c r="A1386" s="38"/>
      <c r="B1386" s="38"/>
      <c r="C1386" s="8"/>
      <c r="D1386" s="8"/>
      <c r="E1386" s="8"/>
      <c r="F1386" s="8"/>
      <c r="G1386" s="8"/>
      <c r="H1386" s="8"/>
      <c r="I1386" s="8"/>
      <c r="J1386" s="8"/>
      <c r="K1386" s="8"/>
      <c r="L1386" s="8"/>
    </row>
    <row r="1387" spans="1:12" ht="15" customHeight="1" x14ac:dyDescent="0.2">
      <c r="A1387" s="38"/>
      <c r="B1387" s="38"/>
      <c r="C1387" s="8"/>
      <c r="D1387" s="8"/>
      <c r="E1387" s="8"/>
      <c r="F1387" s="8"/>
      <c r="G1387" s="8"/>
      <c r="H1387" s="8"/>
      <c r="I1387" s="8"/>
      <c r="J1387" s="8"/>
      <c r="K1387" s="8"/>
      <c r="L1387" s="8"/>
    </row>
    <row r="1388" spans="1:12" ht="15" customHeight="1" x14ac:dyDescent="0.2">
      <c r="A1388" s="38"/>
      <c r="B1388" s="38"/>
      <c r="C1388" s="8"/>
      <c r="D1388" s="8"/>
      <c r="E1388" s="8"/>
      <c r="F1388" s="8"/>
      <c r="G1388" s="8"/>
      <c r="H1388" s="8"/>
      <c r="I1388" s="8"/>
      <c r="J1388" s="8"/>
      <c r="K1388" s="8"/>
      <c r="L1388" s="8"/>
    </row>
    <row r="1389" spans="1:12" ht="15" customHeight="1" x14ac:dyDescent="0.2">
      <c r="A1389" s="38"/>
      <c r="B1389" s="38"/>
      <c r="C1389" s="8"/>
      <c r="D1389" s="8"/>
      <c r="E1389" s="8"/>
      <c r="F1389" s="8"/>
      <c r="G1389" s="8"/>
      <c r="H1389" s="8"/>
      <c r="I1389" s="8"/>
      <c r="J1389" s="8"/>
      <c r="K1389" s="8"/>
      <c r="L1389" s="8"/>
    </row>
    <row r="1390" spans="1:12" ht="15" customHeight="1" x14ac:dyDescent="0.2">
      <c r="A1390" s="38"/>
      <c r="B1390" s="38"/>
      <c r="C1390" s="8"/>
      <c r="D1390" s="8"/>
      <c r="E1390" s="8"/>
      <c r="F1390" s="8"/>
      <c r="G1390" s="8"/>
      <c r="H1390" s="8"/>
      <c r="I1390" s="8"/>
      <c r="J1390" s="8"/>
      <c r="K1390" s="8"/>
      <c r="L1390" s="8"/>
    </row>
    <row r="1391" spans="1:12" ht="15" customHeight="1" x14ac:dyDescent="0.2">
      <c r="A1391" s="38"/>
      <c r="B1391" s="38"/>
      <c r="C1391" s="8"/>
      <c r="D1391" s="8"/>
      <c r="E1391" s="8"/>
      <c r="F1391" s="8"/>
      <c r="G1391" s="8"/>
      <c r="H1391" s="8"/>
      <c r="I1391" s="8"/>
      <c r="J1391" s="8"/>
      <c r="K1391" s="8"/>
      <c r="L1391" s="8"/>
    </row>
    <row r="1392" spans="1:12" ht="15" customHeight="1" x14ac:dyDescent="0.2">
      <c r="A1392" s="38"/>
      <c r="B1392" s="38"/>
      <c r="C1392" s="8"/>
      <c r="D1392" s="8"/>
      <c r="E1392" s="8"/>
      <c r="F1392" s="8"/>
      <c r="G1392" s="8"/>
      <c r="H1392" s="8"/>
      <c r="I1392" s="8"/>
      <c r="J1392" s="8"/>
      <c r="K1392" s="8"/>
      <c r="L1392" s="8"/>
    </row>
    <row r="1393" spans="1:12" ht="15" customHeight="1" x14ac:dyDescent="0.2">
      <c r="A1393" s="38"/>
      <c r="B1393" s="38"/>
      <c r="C1393" s="8"/>
      <c r="D1393" s="8"/>
      <c r="E1393" s="8"/>
      <c r="F1393" s="8"/>
      <c r="G1393" s="8"/>
      <c r="H1393" s="8"/>
      <c r="I1393" s="8"/>
      <c r="J1393" s="8"/>
      <c r="K1393" s="8"/>
      <c r="L1393" s="8"/>
    </row>
    <row r="1394" spans="1:12" ht="15" customHeight="1" x14ac:dyDescent="0.2">
      <c r="A1394" s="38"/>
      <c r="B1394" s="38"/>
      <c r="C1394" s="8"/>
      <c r="D1394" s="8"/>
      <c r="E1394" s="8"/>
      <c r="F1394" s="8"/>
      <c r="G1394" s="8"/>
      <c r="H1394" s="8"/>
      <c r="I1394" s="8"/>
      <c r="J1394" s="8"/>
      <c r="K1394" s="8"/>
      <c r="L1394" s="8"/>
    </row>
    <row r="1395" spans="1:12" ht="15" customHeight="1" x14ac:dyDescent="0.2">
      <c r="A1395" s="38"/>
      <c r="B1395" s="38"/>
      <c r="C1395" s="8"/>
      <c r="D1395" s="8"/>
      <c r="E1395" s="8"/>
      <c r="F1395" s="8"/>
      <c r="G1395" s="8"/>
      <c r="H1395" s="8"/>
      <c r="I1395" s="8"/>
      <c r="J1395" s="8"/>
      <c r="K1395" s="8"/>
      <c r="L1395" s="8"/>
    </row>
    <row r="1396" spans="1:12" ht="15" customHeight="1" x14ac:dyDescent="0.2">
      <c r="A1396" s="38"/>
      <c r="B1396" s="38"/>
      <c r="C1396" s="8"/>
      <c r="D1396" s="8"/>
      <c r="E1396" s="8"/>
      <c r="F1396" s="8"/>
      <c r="G1396" s="8"/>
      <c r="H1396" s="8"/>
      <c r="I1396" s="8"/>
      <c r="J1396" s="8"/>
      <c r="K1396" s="8"/>
      <c r="L1396" s="8"/>
    </row>
    <row r="1397" spans="1:12" ht="15" customHeight="1" x14ac:dyDescent="0.2">
      <c r="A1397" s="38"/>
      <c r="B1397" s="38"/>
      <c r="C1397" s="8"/>
      <c r="D1397" s="8"/>
      <c r="E1397" s="8"/>
      <c r="F1397" s="8"/>
      <c r="G1397" s="8"/>
      <c r="H1397" s="8"/>
      <c r="I1397" s="8"/>
      <c r="J1397" s="8"/>
      <c r="K1397" s="8"/>
      <c r="L1397" s="8"/>
    </row>
    <row r="1398" spans="1:12" ht="15" customHeight="1" x14ac:dyDescent="0.2">
      <c r="A1398" s="38"/>
      <c r="B1398" s="38"/>
      <c r="C1398" s="8"/>
      <c r="D1398" s="8"/>
      <c r="E1398" s="8"/>
      <c r="F1398" s="8"/>
      <c r="G1398" s="8"/>
      <c r="H1398" s="8"/>
      <c r="I1398" s="8"/>
      <c r="J1398" s="8"/>
      <c r="K1398" s="8"/>
      <c r="L1398" s="8"/>
    </row>
    <row r="1399" spans="1:12" ht="15" customHeight="1" x14ac:dyDescent="0.2">
      <c r="A1399" s="38"/>
      <c r="B1399" s="38"/>
      <c r="C1399" s="8"/>
      <c r="D1399" s="8"/>
      <c r="E1399" s="8"/>
      <c r="F1399" s="8"/>
      <c r="G1399" s="8"/>
      <c r="H1399" s="8"/>
      <c r="I1399" s="8"/>
      <c r="J1399" s="8"/>
      <c r="K1399" s="8"/>
      <c r="L1399" s="8"/>
    </row>
    <row r="1400" spans="1:12" ht="15" customHeight="1" x14ac:dyDescent="0.2">
      <c r="A1400" s="38"/>
      <c r="B1400" s="38"/>
      <c r="C1400" s="8"/>
      <c r="D1400" s="8"/>
      <c r="E1400" s="8"/>
      <c r="F1400" s="8"/>
      <c r="G1400" s="8"/>
      <c r="H1400" s="8"/>
      <c r="I1400" s="8"/>
      <c r="J1400" s="8"/>
      <c r="K1400" s="8"/>
      <c r="L1400" s="8"/>
    </row>
    <row r="1401" spans="1:12" ht="15" customHeight="1" x14ac:dyDescent="0.2">
      <c r="A1401" s="38"/>
      <c r="B1401" s="38"/>
      <c r="C1401" s="8"/>
      <c r="D1401" s="8"/>
      <c r="E1401" s="8"/>
      <c r="F1401" s="8"/>
      <c r="G1401" s="8"/>
      <c r="H1401" s="8"/>
      <c r="I1401" s="8"/>
      <c r="J1401" s="8"/>
      <c r="K1401" s="8"/>
      <c r="L1401" s="8"/>
    </row>
    <row r="1402" spans="1:12" ht="15" customHeight="1" x14ac:dyDescent="0.2">
      <c r="A1402" s="38"/>
      <c r="B1402" s="38"/>
      <c r="C1402" s="8"/>
      <c r="D1402" s="8"/>
      <c r="E1402" s="8"/>
      <c r="F1402" s="8"/>
      <c r="G1402" s="8"/>
      <c r="H1402" s="8"/>
      <c r="I1402" s="8"/>
      <c r="J1402" s="8"/>
      <c r="K1402" s="8"/>
      <c r="L1402" s="8"/>
    </row>
    <row r="1403" spans="1:12" ht="15" customHeight="1" x14ac:dyDescent="0.2">
      <c r="A1403" s="38"/>
      <c r="B1403" s="38"/>
      <c r="C1403" s="8"/>
      <c r="D1403" s="8"/>
      <c r="E1403" s="8"/>
      <c r="F1403" s="8"/>
      <c r="G1403" s="8"/>
      <c r="H1403" s="8"/>
      <c r="I1403" s="8"/>
      <c r="J1403" s="8"/>
      <c r="K1403" s="8"/>
      <c r="L1403" s="8"/>
    </row>
    <row r="1404" spans="1:12" ht="15" customHeight="1" x14ac:dyDescent="0.2">
      <c r="A1404" s="38"/>
      <c r="B1404" s="38"/>
      <c r="C1404" s="8"/>
      <c r="D1404" s="8"/>
      <c r="E1404" s="8"/>
      <c r="F1404" s="8"/>
      <c r="G1404" s="8"/>
      <c r="H1404" s="8"/>
      <c r="I1404" s="8"/>
      <c r="J1404" s="8"/>
      <c r="K1404" s="8"/>
      <c r="L1404" s="8"/>
    </row>
    <row r="1405" spans="1:12" ht="15" customHeight="1" x14ac:dyDescent="0.2">
      <c r="A1405" s="38"/>
      <c r="B1405" s="38"/>
      <c r="C1405" s="8"/>
      <c r="D1405" s="8"/>
      <c r="E1405" s="8"/>
      <c r="F1405" s="8"/>
      <c r="G1405" s="8"/>
      <c r="H1405" s="8"/>
      <c r="I1405" s="8"/>
      <c r="J1405" s="8"/>
      <c r="K1405" s="8"/>
      <c r="L1405" s="8"/>
    </row>
    <row r="1406" spans="1:12" ht="15" customHeight="1" x14ac:dyDescent="0.2">
      <c r="A1406" s="38"/>
      <c r="B1406" s="38"/>
      <c r="C1406" s="8"/>
      <c r="D1406" s="8"/>
      <c r="E1406" s="8"/>
      <c r="F1406" s="8"/>
      <c r="G1406" s="8"/>
      <c r="H1406" s="8"/>
      <c r="I1406" s="8"/>
      <c r="J1406" s="8"/>
      <c r="K1406" s="8"/>
      <c r="L1406" s="8"/>
    </row>
    <row r="1407" spans="1:12" ht="15" customHeight="1" x14ac:dyDescent="0.2">
      <c r="A1407" s="38"/>
      <c r="B1407" s="38"/>
      <c r="C1407" s="8"/>
      <c r="D1407" s="8"/>
      <c r="E1407" s="8"/>
      <c r="F1407" s="8"/>
      <c r="G1407" s="8"/>
      <c r="H1407" s="8"/>
      <c r="I1407" s="8"/>
      <c r="J1407" s="8"/>
      <c r="K1407" s="8"/>
      <c r="L1407" s="8"/>
    </row>
    <row r="1408" spans="1:12" ht="15" customHeight="1" x14ac:dyDescent="0.2">
      <c r="A1408" s="38"/>
      <c r="B1408" s="38"/>
      <c r="C1408" s="8"/>
      <c r="D1408" s="8"/>
      <c r="E1408" s="8"/>
      <c r="F1408" s="8"/>
      <c r="G1408" s="8"/>
      <c r="H1408" s="8"/>
      <c r="I1408" s="8"/>
      <c r="J1408" s="8"/>
      <c r="K1408" s="8"/>
      <c r="L1408" s="8"/>
    </row>
    <row r="1409" spans="1:12" ht="15" customHeight="1" x14ac:dyDescent="0.2">
      <c r="A1409" s="38"/>
      <c r="B1409" s="38"/>
      <c r="C1409" s="8"/>
      <c r="D1409" s="8"/>
      <c r="E1409" s="8"/>
      <c r="F1409" s="8"/>
      <c r="G1409" s="8"/>
      <c r="H1409" s="8"/>
      <c r="I1409" s="8"/>
      <c r="J1409" s="8"/>
      <c r="K1409" s="8"/>
      <c r="L1409" s="8"/>
    </row>
    <row r="1410" spans="1:12" ht="15" customHeight="1" x14ac:dyDescent="0.2">
      <c r="A1410" s="38"/>
      <c r="B1410" s="38"/>
      <c r="C1410" s="8"/>
      <c r="D1410" s="8"/>
      <c r="E1410" s="8"/>
      <c r="F1410" s="8"/>
      <c r="G1410" s="8"/>
      <c r="H1410" s="8"/>
      <c r="I1410" s="8"/>
      <c r="J1410" s="8"/>
      <c r="K1410" s="8"/>
      <c r="L1410" s="8"/>
    </row>
    <row r="1411" spans="1:12" ht="15" customHeight="1" x14ac:dyDescent="0.2">
      <c r="A1411" s="38"/>
      <c r="B1411" s="38"/>
      <c r="C1411" s="8"/>
      <c r="D1411" s="8"/>
      <c r="E1411" s="8"/>
      <c r="F1411" s="8"/>
      <c r="G1411" s="8"/>
      <c r="H1411" s="8"/>
      <c r="I1411" s="8"/>
      <c r="J1411" s="8"/>
      <c r="K1411" s="8"/>
      <c r="L1411" s="8"/>
    </row>
    <row r="1412" spans="1:12" ht="15" customHeight="1" x14ac:dyDescent="0.2">
      <c r="A1412" s="38"/>
      <c r="B1412" s="38"/>
      <c r="C1412" s="8"/>
      <c r="D1412" s="8"/>
      <c r="E1412" s="8"/>
      <c r="F1412" s="8"/>
      <c r="G1412" s="8"/>
      <c r="H1412" s="8"/>
      <c r="I1412" s="8"/>
      <c r="J1412" s="8"/>
      <c r="K1412" s="8"/>
      <c r="L1412" s="8"/>
    </row>
    <row r="1413" spans="1:12" ht="15" customHeight="1" x14ac:dyDescent="0.2">
      <c r="A1413" s="38"/>
      <c r="B1413" s="38"/>
      <c r="C1413" s="8"/>
      <c r="D1413" s="8"/>
      <c r="E1413" s="8"/>
      <c r="F1413" s="8"/>
      <c r="G1413" s="8"/>
      <c r="H1413" s="8"/>
      <c r="I1413" s="8"/>
      <c r="J1413" s="8"/>
      <c r="K1413" s="8"/>
      <c r="L1413" s="8"/>
    </row>
    <row r="1414" spans="1:12" ht="15" customHeight="1" x14ac:dyDescent="0.2">
      <c r="A1414" s="38"/>
      <c r="B1414" s="38"/>
      <c r="C1414" s="8"/>
      <c r="D1414" s="8"/>
      <c r="E1414" s="8"/>
      <c r="F1414" s="8"/>
      <c r="G1414" s="8"/>
      <c r="H1414" s="8"/>
      <c r="I1414" s="8"/>
      <c r="J1414" s="8"/>
      <c r="K1414" s="8"/>
      <c r="L1414" s="8"/>
    </row>
    <row r="1415" spans="1:12" ht="15" customHeight="1" x14ac:dyDescent="0.2">
      <c r="A1415" s="38"/>
      <c r="B1415" s="38"/>
      <c r="C1415" s="8"/>
      <c r="D1415" s="8"/>
      <c r="E1415" s="8"/>
      <c r="F1415" s="8"/>
      <c r="G1415" s="8"/>
      <c r="H1415" s="8"/>
      <c r="I1415" s="8"/>
      <c r="J1415" s="8"/>
      <c r="K1415" s="8"/>
      <c r="L1415" s="8"/>
    </row>
    <row r="1416" spans="1:12" ht="15" customHeight="1" x14ac:dyDescent="0.2">
      <c r="A1416" s="38"/>
      <c r="B1416" s="38"/>
      <c r="C1416" s="8"/>
      <c r="D1416" s="8"/>
      <c r="E1416" s="8"/>
      <c r="F1416" s="8"/>
      <c r="G1416" s="8"/>
      <c r="H1416" s="8"/>
      <c r="I1416" s="8"/>
      <c r="J1416" s="8"/>
      <c r="K1416" s="8"/>
      <c r="L1416" s="8"/>
    </row>
    <row r="1417" spans="1:12" ht="15" customHeight="1" x14ac:dyDescent="0.2">
      <c r="A1417" s="38"/>
      <c r="B1417" s="38"/>
      <c r="C1417" s="8"/>
      <c r="D1417" s="8"/>
      <c r="E1417" s="8"/>
      <c r="F1417" s="8"/>
      <c r="G1417" s="8"/>
      <c r="H1417" s="8"/>
      <c r="I1417" s="8"/>
      <c r="J1417" s="8"/>
      <c r="K1417" s="8"/>
      <c r="L1417" s="8"/>
    </row>
    <row r="1418" spans="1:12" ht="15" customHeight="1" x14ac:dyDescent="0.2">
      <c r="A1418" s="38"/>
      <c r="B1418" s="38"/>
      <c r="C1418" s="8"/>
      <c r="D1418" s="8"/>
      <c r="E1418" s="8"/>
      <c r="F1418" s="8"/>
      <c r="G1418" s="8"/>
      <c r="H1418" s="8"/>
      <c r="I1418" s="8"/>
      <c r="J1418" s="8"/>
      <c r="K1418" s="8"/>
      <c r="L1418" s="8"/>
    </row>
    <row r="1419" spans="1:12" ht="15" customHeight="1" x14ac:dyDescent="0.2">
      <c r="A1419" s="38"/>
      <c r="B1419" s="38"/>
      <c r="C1419" s="8"/>
      <c r="D1419" s="8"/>
      <c r="E1419" s="8"/>
      <c r="F1419" s="8"/>
      <c r="G1419" s="8"/>
      <c r="H1419" s="8"/>
      <c r="I1419" s="8"/>
      <c r="J1419" s="8"/>
      <c r="K1419" s="8"/>
      <c r="L1419" s="8"/>
    </row>
    <row r="1420" spans="1:12" ht="15" customHeight="1" x14ac:dyDescent="0.2">
      <c r="A1420" s="38"/>
      <c r="B1420" s="38"/>
      <c r="C1420" s="8"/>
      <c r="D1420" s="8"/>
      <c r="E1420" s="8"/>
      <c r="F1420" s="8"/>
      <c r="G1420" s="8"/>
      <c r="H1420" s="8"/>
      <c r="I1420" s="8"/>
      <c r="J1420" s="8"/>
      <c r="K1420" s="8"/>
      <c r="L1420" s="8"/>
    </row>
    <row r="1421" spans="1:12" ht="15" customHeight="1" x14ac:dyDescent="0.2">
      <c r="A1421" s="38"/>
      <c r="B1421" s="38"/>
      <c r="C1421" s="8"/>
      <c r="D1421" s="8"/>
      <c r="E1421" s="8"/>
      <c r="F1421" s="8"/>
      <c r="G1421" s="8"/>
      <c r="H1421" s="8"/>
      <c r="I1421" s="8"/>
      <c r="J1421" s="8"/>
      <c r="K1421" s="8"/>
      <c r="L1421" s="8"/>
    </row>
    <row r="1422" spans="1:12" ht="15" customHeight="1" x14ac:dyDescent="0.2">
      <c r="A1422" s="38"/>
      <c r="B1422" s="38"/>
      <c r="C1422" s="8"/>
      <c r="D1422" s="8"/>
      <c r="E1422" s="8"/>
      <c r="F1422" s="8"/>
      <c r="G1422" s="8"/>
      <c r="H1422" s="8"/>
      <c r="I1422" s="8"/>
      <c r="J1422" s="8"/>
      <c r="K1422" s="8"/>
      <c r="L1422" s="8"/>
    </row>
    <row r="1423" spans="1:12" ht="15" customHeight="1" x14ac:dyDescent="0.2">
      <c r="A1423" s="38"/>
      <c r="B1423" s="38"/>
      <c r="C1423" s="8"/>
      <c r="D1423" s="8"/>
      <c r="E1423" s="8"/>
      <c r="F1423" s="8"/>
      <c r="G1423" s="8"/>
      <c r="H1423" s="8"/>
      <c r="I1423" s="8"/>
      <c r="J1423" s="8"/>
      <c r="K1423" s="8"/>
      <c r="L1423" s="8"/>
    </row>
    <row r="1424" spans="1:12" ht="15" customHeight="1" x14ac:dyDescent="0.2">
      <c r="A1424" s="38"/>
      <c r="B1424" s="38"/>
      <c r="C1424" s="8"/>
      <c r="D1424" s="8"/>
      <c r="E1424" s="8"/>
      <c r="F1424" s="8"/>
      <c r="G1424" s="8"/>
      <c r="H1424" s="8"/>
      <c r="I1424" s="8"/>
      <c r="J1424" s="8"/>
      <c r="K1424" s="8"/>
      <c r="L1424" s="8"/>
    </row>
    <row r="1425" spans="1:12" ht="15" customHeight="1" x14ac:dyDescent="0.2">
      <c r="A1425" s="38"/>
      <c r="B1425" s="38"/>
      <c r="C1425" s="8"/>
      <c r="D1425" s="8"/>
      <c r="E1425" s="8"/>
      <c r="F1425" s="8"/>
      <c r="G1425" s="8"/>
      <c r="H1425" s="8"/>
      <c r="I1425" s="8"/>
      <c r="J1425" s="8"/>
      <c r="K1425" s="8"/>
      <c r="L1425" s="8"/>
    </row>
    <row r="1426" spans="1:12" ht="15" customHeight="1" x14ac:dyDescent="0.2">
      <c r="A1426" s="38"/>
      <c r="B1426" s="38"/>
      <c r="C1426" s="8"/>
      <c r="D1426" s="8"/>
      <c r="E1426" s="8"/>
      <c r="F1426" s="8"/>
      <c r="G1426" s="8"/>
      <c r="H1426" s="8"/>
      <c r="I1426" s="8"/>
      <c r="J1426" s="8"/>
      <c r="K1426" s="8"/>
      <c r="L1426" s="8"/>
    </row>
    <row r="1427" spans="1:12" ht="15" customHeight="1" x14ac:dyDescent="0.2">
      <c r="A1427" s="38"/>
      <c r="B1427" s="38"/>
      <c r="C1427" s="8"/>
      <c r="D1427" s="8"/>
      <c r="E1427" s="8"/>
      <c r="F1427" s="8"/>
      <c r="G1427" s="8"/>
      <c r="H1427" s="8"/>
      <c r="I1427" s="8"/>
      <c r="J1427" s="8"/>
      <c r="K1427" s="8"/>
      <c r="L1427" s="8"/>
    </row>
    <row r="1428" spans="1:12" ht="15" customHeight="1" x14ac:dyDescent="0.2">
      <c r="A1428" s="38"/>
      <c r="B1428" s="38"/>
      <c r="C1428" s="8"/>
      <c r="D1428" s="8"/>
      <c r="E1428" s="8"/>
      <c r="F1428" s="8"/>
      <c r="G1428" s="8"/>
      <c r="H1428" s="8"/>
      <c r="I1428" s="8"/>
      <c r="J1428" s="8"/>
      <c r="K1428" s="8"/>
      <c r="L1428" s="8"/>
    </row>
    <row r="1429" spans="1:12" ht="15" customHeight="1" x14ac:dyDescent="0.2">
      <c r="A1429" s="38"/>
      <c r="B1429" s="38"/>
      <c r="C1429" s="8"/>
      <c r="D1429" s="8"/>
      <c r="E1429" s="8"/>
      <c r="F1429" s="8"/>
      <c r="G1429" s="8"/>
      <c r="H1429" s="8"/>
      <c r="I1429" s="8"/>
      <c r="J1429" s="8"/>
      <c r="K1429" s="8"/>
      <c r="L1429" s="8"/>
    </row>
    <row r="1430" spans="1:12" ht="15" customHeight="1" x14ac:dyDescent="0.2">
      <c r="A1430" s="38"/>
      <c r="B1430" s="38"/>
      <c r="C1430" s="8"/>
      <c r="D1430" s="8"/>
      <c r="E1430" s="8"/>
      <c r="F1430" s="8"/>
      <c r="G1430" s="8"/>
      <c r="H1430" s="8"/>
      <c r="I1430" s="8"/>
      <c r="J1430" s="8"/>
      <c r="K1430" s="8"/>
      <c r="L1430" s="8"/>
    </row>
    <row r="1431" spans="1:12" ht="15" customHeight="1" x14ac:dyDescent="0.2">
      <c r="A1431" s="38"/>
      <c r="B1431" s="38"/>
      <c r="C1431" s="8"/>
      <c r="D1431" s="8"/>
      <c r="E1431" s="8"/>
      <c r="F1431" s="8"/>
      <c r="G1431" s="8"/>
      <c r="H1431" s="8"/>
      <c r="I1431" s="8"/>
      <c r="J1431" s="8"/>
      <c r="K1431" s="8"/>
      <c r="L1431" s="8"/>
    </row>
    <row r="1432" spans="1:12" ht="15" customHeight="1" x14ac:dyDescent="0.2">
      <c r="A1432" s="38"/>
      <c r="B1432" s="38"/>
      <c r="C1432" s="8"/>
      <c r="D1432" s="8"/>
      <c r="E1432" s="8"/>
      <c r="F1432" s="8"/>
      <c r="G1432" s="8"/>
      <c r="H1432" s="8"/>
      <c r="I1432" s="8"/>
      <c r="J1432" s="8"/>
      <c r="K1432" s="8"/>
      <c r="L1432" s="8"/>
    </row>
    <row r="1433" spans="1:12" ht="15" customHeight="1" x14ac:dyDescent="0.2">
      <c r="A1433" s="38"/>
      <c r="B1433" s="38"/>
      <c r="C1433" s="8"/>
      <c r="D1433" s="8"/>
      <c r="E1433" s="8"/>
      <c r="F1433" s="8"/>
      <c r="G1433" s="8"/>
      <c r="H1433" s="8"/>
      <c r="I1433" s="8"/>
      <c r="J1433" s="8"/>
      <c r="K1433" s="8"/>
      <c r="L1433" s="8"/>
    </row>
    <row r="1434" spans="1:12" ht="15" customHeight="1" x14ac:dyDescent="0.2">
      <c r="A1434" s="38"/>
      <c r="B1434" s="38"/>
      <c r="C1434" s="8"/>
      <c r="D1434" s="8"/>
      <c r="E1434" s="8"/>
      <c r="F1434" s="8"/>
      <c r="G1434" s="8"/>
      <c r="H1434" s="8"/>
      <c r="I1434" s="8"/>
      <c r="J1434" s="8"/>
      <c r="K1434" s="8"/>
      <c r="L1434" s="8"/>
    </row>
    <row r="1435" spans="1:12" ht="15" customHeight="1" x14ac:dyDescent="0.2">
      <c r="A1435" s="38"/>
      <c r="B1435" s="38"/>
      <c r="C1435" s="8"/>
      <c r="D1435" s="8"/>
      <c r="E1435" s="8"/>
      <c r="F1435" s="8"/>
      <c r="G1435" s="8"/>
      <c r="H1435" s="8"/>
      <c r="I1435" s="8"/>
      <c r="J1435" s="8"/>
      <c r="K1435" s="8"/>
      <c r="L1435" s="8"/>
    </row>
    <row r="1436" spans="1:12" ht="15" customHeight="1" x14ac:dyDescent="0.2">
      <c r="A1436" s="38"/>
      <c r="B1436" s="38"/>
      <c r="C1436" s="8"/>
      <c r="D1436" s="8"/>
      <c r="E1436" s="8"/>
      <c r="F1436" s="8"/>
      <c r="G1436" s="8"/>
      <c r="H1436" s="8"/>
      <c r="I1436" s="8"/>
      <c r="J1436" s="8"/>
      <c r="K1436" s="8"/>
      <c r="L1436" s="8"/>
    </row>
    <row r="1437" spans="1:12" ht="15" customHeight="1" x14ac:dyDescent="0.2">
      <c r="A1437" s="38"/>
      <c r="B1437" s="38"/>
      <c r="C1437" s="8"/>
      <c r="D1437" s="8"/>
      <c r="E1437" s="8"/>
      <c r="F1437" s="8"/>
      <c r="G1437" s="8"/>
      <c r="H1437" s="8"/>
      <c r="I1437" s="8"/>
      <c r="J1437" s="8"/>
      <c r="K1437" s="8"/>
      <c r="L1437" s="8"/>
    </row>
    <row r="1438" spans="1:12" ht="15" customHeight="1" x14ac:dyDescent="0.2">
      <c r="A1438" s="38"/>
      <c r="B1438" s="38"/>
      <c r="C1438" s="8"/>
      <c r="D1438" s="8"/>
      <c r="E1438" s="8"/>
      <c r="F1438" s="8"/>
      <c r="G1438" s="8"/>
      <c r="H1438" s="8"/>
      <c r="I1438" s="8"/>
      <c r="J1438" s="8"/>
      <c r="K1438" s="8"/>
      <c r="L1438" s="8"/>
    </row>
    <row r="1439" spans="1:12" ht="15" customHeight="1" x14ac:dyDescent="0.2">
      <c r="A1439" s="38"/>
      <c r="B1439" s="38"/>
      <c r="C1439" s="8"/>
      <c r="D1439" s="8"/>
      <c r="E1439" s="8"/>
      <c r="F1439" s="8"/>
      <c r="G1439" s="8"/>
      <c r="H1439" s="8"/>
      <c r="I1439" s="8"/>
      <c r="J1439" s="8"/>
      <c r="K1439" s="8"/>
      <c r="L1439" s="8"/>
    </row>
    <row r="1440" spans="1:12" ht="15" customHeight="1" x14ac:dyDescent="0.2">
      <c r="A1440" s="38"/>
      <c r="B1440" s="38"/>
      <c r="C1440" s="8"/>
      <c r="D1440" s="8"/>
      <c r="E1440" s="8"/>
      <c r="F1440" s="8"/>
      <c r="G1440" s="8"/>
      <c r="H1440" s="8"/>
      <c r="I1440" s="8"/>
      <c r="J1440" s="8"/>
      <c r="K1440" s="8"/>
      <c r="L1440" s="8"/>
    </row>
    <row r="1441" spans="1:12" ht="15" customHeight="1" x14ac:dyDescent="0.2">
      <c r="A1441" s="38"/>
      <c r="B1441" s="38"/>
      <c r="C1441" s="8"/>
      <c r="D1441" s="8"/>
      <c r="E1441" s="8"/>
      <c r="F1441" s="8"/>
      <c r="G1441" s="8"/>
      <c r="H1441" s="8"/>
      <c r="I1441" s="8"/>
      <c r="J1441" s="8"/>
      <c r="K1441" s="8"/>
      <c r="L1441" s="8"/>
    </row>
    <row r="1442" spans="1:12" ht="15" customHeight="1" x14ac:dyDescent="0.2">
      <c r="A1442" s="38"/>
      <c r="B1442" s="38"/>
      <c r="C1442" s="8"/>
      <c r="D1442" s="8"/>
      <c r="E1442" s="8"/>
      <c r="F1442" s="8"/>
      <c r="G1442" s="8"/>
      <c r="H1442" s="8"/>
      <c r="I1442" s="8"/>
      <c r="J1442" s="8"/>
      <c r="K1442" s="8"/>
      <c r="L1442" s="8"/>
    </row>
    <row r="1443" spans="1:12" ht="15" customHeight="1" x14ac:dyDescent="0.2">
      <c r="A1443" s="38"/>
      <c r="B1443" s="38"/>
      <c r="C1443" s="8"/>
      <c r="D1443" s="8"/>
      <c r="E1443" s="8"/>
      <c r="F1443" s="8"/>
      <c r="G1443" s="8"/>
      <c r="H1443" s="8"/>
      <c r="I1443" s="8"/>
      <c r="J1443" s="8"/>
      <c r="K1443" s="8"/>
      <c r="L1443" s="8"/>
    </row>
    <row r="1444" spans="1:12" ht="15" customHeight="1" x14ac:dyDescent="0.2">
      <c r="A1444" s="38"/>
      <c r="B1444" s="38"/>
      <c r="C1444" s="8"/>
      <c r="D1444" s="8"/>
      <c r="E1444" s="8"/>
      <c r="F1444" s="8"/>
      <c r="G1444" s="8"/>
      <c r="H1444" s="8"/>
      <c r="I1444" s="8"/>
      <c r="J1444" s="8"/>
      <c r="K1444" s="8"/>
      <c r="L1444" s="8"/>
    </row>
    <row r="1445" spans="1:12" ht="15" customHeight="1" x14ac:dyDescent="0.2">
      <c r="A1445" s="38"/>
      <c r="B1445" s="38"/>
      <c r="C1445" s="8"/>
      <c r="D1445" s="8"/>
      <c r="E1445" s="8"/>
      <c r="F1445" s="8"/>
      <c r="G1445" s="8"/>
      <c r="H1445" s="8"/>
      <c r="I1445" s="8"/>
      <c r="J1445" s="8"/>
      <c r="K1445" s="8"/>
      <c r="L1445" s="8"/>
    </row>
    <row r="1446" spans="1:12" ht="15" customHeight="1" x14ac:dyDescent="0.2">
      <c r="A1446" s="38"/>
      <c r="B1446" s="38"/>
      <c r="C1446" s="8"/>
      <c r="D1446" s="8"/>
      <c r="E1446" s="8"/>
      <c r="F1446" s="8"/>
      <c r="G1446" s="8"/>
      <c r="H1446" s="8"/>
      <c r="I1446" s="8"/>
      <c r="J1446" s="8"/>
      <c r="K1446" s="8"/>
      <c r="L1446" s="8"/>
    </row>
    <row r="1447" spans="1:12" ht="15" customHeight="1" x14ac:dyDescent="0.2">
      <c r="A1447" s="38"/>
      <c r="B1447" s="38"/>
      <c r="C1447" s="8"/>
      <c r="D1447" s="8"/>
      <c r="E1447" s="8"/>
      <c r="F1447" s="8"/>
      <c r="G1447" s="8"/>
      <c r="H1447" s="8"/>
      <c r="I1447" s="8"/>
      <c r="J1447" s="8"/>
      <c r="K1447" s="8"/>
      <c r="L1447" s="8"/>
    </row>
    <row r="1448" spans="1:12" ht="15" customHeight="1" x14ac:dyDescent="0.2">
      <c r="A1448" s="38"/>
      <c r="B1448" s="38"/>
      <c r="C1448" s="8"/>
      <c r="D1448" s="8"/>
      <c r="E1448" s="8"/>
      <c r="F1448" s="8"/>
      <c r="G1448" s="8"/>
      <c r="H1448" s="8"/>
      <c r="I1448" s="8"/>
      <c r="J1448" s="8"/>
      <c r="K1448" s="8"/>
      <c r="L1448" s="8"/>
    </row>
    <row r="1449" spans="1:12" ht="15" customHeight="1" x14ac:dyDescent="0.2">
      <c r="A1449" s="38"/>
      <c r="B1449" s="38"/>
      <c r="C1449" s="8"/>
      <c r="D1449" s="8"/>
      <c r="E1449" s="8"/>
      <c r="F1449" s="8"/>
      <c r="G1449" s="8"/>
      <c r="H1449" s="8"/>
      <c r="I1449" s="8"/>
      <c r="J1449" s="8"/>
      <c r="K1449" s="8"/>
      <c r="L1449" s="8"/>
    </row>
    <row r="1450" spans="1:12" ht="15" customHeight="1" x14ac:dyDescent="0.2">
      <c r="A1450" s="38"/>
      <c r="B1450" s="38"/>
      <c r="C1450" s="8"/>
      <c r="D1450" s="8"/>
      <c r="E1450" s="8"/>
      <c r="F1450" s="8"/>
      <c r="G1450" s="8"/>
      <c r="H1450" s="8"/>
      <c r="I1450" s="8"/>
      <c r="J1450" s="8"/>
      <c r="K1450" s="8"/>
      <c r="L1450" s="8"/>
    </row>
    <row r="1451" spans="1:12" ht="15" customHeight="1" x14ac:dyDescent="0.2">
      <c r="A1451" s="38"/>
      <c r="B1451" s="38"/>
      <c r="C1451" s="8"/>
      <c r="D1451" s="8"/>
      <c r="E1451" s="8"/>
      <c r="F1451" s="8"/>
      <c r="G1451" s="8"/>
      <c r="H1451" s="8"/>
      <c r="I1451" s="8"/>
      <c r="J1451" s="8"/>
      <c r="K1451" s="8"/>
      <c r="L1451" s="8"/>
    </row>
    <row r="1452" spans="1:12" ht="15" customHeight="1" x14ac:dyDescent="0.2">
      <c r="A1452" s="38"/>
      <c r="B1452" s="38"/>
      <c r="C1452" s="8"/>
      <c r="D1452" s="8"/>
      <c r="E1452" s="8"/>
      <c r="F1452" s="8"/>
      <c r="G1452" s="8"/>
      <c r="H1452" s="8"/>
      <c r="I1452" s="8"/>
      <c r="J1452" s="8"/>
      <c r="K1452" s="8"/>
      <c r="L1452" s="8"/>
    </row>
    <row r="1453" spans="1:12" ht="15" customHeight="1" x14ac:dyDescent="0.2">
      <c r="A1453" s="38"/>
      <c r="B1453" s="38"/>
      <c r="C1453" s="8"/>
      <c r="D1453" s="8"/>
      <c r="E1453" s="8"/>
      <c r="F1453" s="8"/>
      <c r="G1453" s="8"/>
      <c r="H1453" s="8"/>
      <c r="I1453" s="8"/>
      <c r="J1453" s="8"/>
      <c r="K1453" s="8"/>
      <c r="L1453" s="8"/>
    </row>
    <row r="1454" spans="1:12" ht="15" customHeight="1" x14ac:dyDescent="0.2">
      <c r="A1454" s="38"/>
      <c r="B1454" s="38"/>
      <c r="C1454" s="8"/>
      <c r="D1454" s="8"/>
      <c r="E1454" s="8"/>
      <c r="F1454" s="8"/>
      <c r="G1454" s="8"/>
      <c r="H1454" s="8"/>
      <c r="I1454" s="8"/>
      <c r="J1454" s="8"/>
      <c r="K1454" s="8"/>
      <c r="L1454" s="8"/>
    </row>
    <row r="1455" spans="1:12" ht="15" customHeight="1" x14ac:dyDescent="0.2">
      <c r="A1455" s="38"/>
      <c r="B1455" s="38"/>
      <c r="C1455" s="8"/>
      <c r="D1455" s="8"/>
      <c r="E1455" s="8"/>
      <c r="F1455" s="8"/>
      <c r="G1455" s="8"/>
      <c r="H1455" s="8"/>
      <c r="I1455" s="8"/>
      <c r="J1455" s="8"/>
      <c r="K1455" s="8"/>
      <c r="L1455" s="8"/>
    </row>
    <row r="1456" spans="1:12" ht="15" customHeight="1" x14ac:dyDescent="0.2">
      <c r="A1456" s="38"/>
      <c r="B1456" s="38"/>
      <c r="C1456" s="8"/>
      <c r="D1456" s="8"/>
      <c r="E1456" s="8"/>
      <c r="F1456" s="8"/>
      <c r="G1456" s="8"/>
      <c r="H1456" s="8"/>
      <c r="I1456" s="8"/>
      <c r="J1456" s="8"/>
      <c r="K1456" s="8"/>
      <c r="L1456" s="8"/>
    </row>
    <row r="1457" spans="1:12" ht="15" customHeight="1" x14ac:dyDescent="0.2">
      <c r="A1457" s="38"/>
      <c r="B1457" s="38"/>
      <c r="C1457" s="8"/>
      <c r="D1457" s="8"/>
      <c r="E1457" s="8"/>
      <c r="F1457" s="8"/>
      <c r="G1457" s="8"/>
      <c r="H1457" s="8"/>
      <c r="I1457" s="8"/>
      <c r="J1457" s="8"/>
      <c r="K1457" s="8"/>
      <c r="L1457" s="8"/>
    </row>
    <row r="1458" spans="1:12" ht="15" customHeight="1" x14ac:dyDescent="0.2">
      <c r="A1458" s="38"/>
      <c r="B1458" s="38"/>
      <c r="C1458" s="8"/>
      <c r="D1458" s="8"/>
      <c r="E1458" s="8"/>
      <c r="F1458" s="8"/>
      <c r="G1458" s="8"/>
      <c r="H1458" s="8"/>
      <c r="I1458" s="8"/>
      <c r="J1458" s="8"/>
      <c r="K1458" s="8"/>
      <c r="L1458" s="8"/>
    </row>
    <row r="1459" spans="1:12" ht="15" customHeight="1" x14ac:dyDescent="0.2">
      <c r="A1459" s="38"/>
      <c r="B1459" s="38"/>
      <c r="C1459" s="8"/>
      <c r="D1459" s="8"/>
      <c r="E1459" s="8"/>
      <c r="F1459" s="8"/>
      <c r="G1459" s="8"/>
      <c r="H1459" s="8"/>
      <c r="I1459" s="8"/>
      <c r="J1459" s="8"/>
      <c r="K1459" s="8"/>
      <c r="L1459" s="8"/>
    </row>
    <row r="1460" spans="1:12" ht="15" customHeight="1" x14ac:dyDescent="0.2">
      <c r="A1460" s="38"/>
      <c r="B1460" s="38"/>
      <c r="C1460" s="8"/>
      <c r="D1460" s="8"/>
      <c r="E1460" s="8"/>
      <c r="F1460" s="8"/>
      <c r="G1460" s="8"/>
      <c r="H1460" s="8"/>
      <c r="I1460" s="8"/>
      <c r="J1460" s="8"/>
      <c r="K1460" s="8"/>
      <c r="L1460" s="8"/>
    </row>
    <row r="1461" spans="1:12" ht="15" customHeight="1" x14ac:dyDescent="0.2">
      <c r="A1461" s="38"/>
      <c r="B1461" s="38"/>
      <c r="C1461" s="8"/>
      <c r="D1461" s="8"/>
      <c r="E1461" s="8"/>
      <c r="F1461" s="8"/>
      <c r="G1461" s="8"/>
      <c r="H1461" s="8"/>
      <c r="I1461" s="8"/>
      <c r="J1461" s="8"/>
      <c r="K1461" s="8"/>
      <c r="L1461" s="8"/>
    </row>
    <row r="1462" spans="1:12" ht="15" customHeight="1" x14ac:dyDescent="0.2">
      <c r="A1462" s="38"/>
      <c r="B1462" s="38"/>
      <c r="C1462" s="8"/>
      <c r="D1462" s="8"/>
      <c r="E1462" s="8"/>
      <c r="F1462" s="8"/>
      <c r="G1462" s="8"/>
      <c r="H1462" s="8"/>
      <c r="I1462" s="8"/>
      <c r="J1462" s="8"/>
      <c r="K1462" s="8"/>
      <c r="L1462" s="8"/>
    </row>
    <row r="1463" spans="1:12" ht="15" customHeight="1" x14ac:dyDescent="0.2">
      <c r="A1463" s="38"/>
      <c r="B1463" s="38"/>
      <c r="C1463" s="8"/>
      <c r="D1463" s="8"/>
      <c r="E1463" s="8"/>
      <c r="F1463" s="8"/>
      <c r="G1463" s="8"/>
      <c r="H1463" s="8"/>
      <c r="I1463" s="8"/>
      <c r="J1463" s="8"/>
      <c r="K1463" s="8"/>
      <c r="L1463" s="8"/>
    </row>
    <row r="1464" spans="1:12" ht="15" customHeight="1" x14ac:dyDescent="0.2">
      <c r="A1464" s="38"/>
      <c r="B1464" s="38"/>
      <c r="C1464" s="8"/>
      <c r="D1464" s="8"/>
      <c r="E1464" s="8"/>
      <c r="F1464" s="8"/>
      <c r="G1464" s="8"/>
      <c r="H1464" s="8"/>
      <c r="I1464" s="8"/>
      <c r="J1464" s="8"/>
      <c r="K1464" s="8"/>
      <c r="L1464" s="8"/>
    </row>
    <row r="1465" spans="1:12" ht="15" customHeight="1" x14ac:dyDescent="0.2">
      <c r="A1465" s="38"/>
      <c r="B1465" s="38"/>
      <c r="C1465" s="8"/>
      <c r="D1465" s="8"/>
      <c r="E1465" s="8"/>
      <c r="F1465" s="8"/>
      <c r="G1465" s="8"/>
      <c r="H1465" s="8"/>
      <c r="I1465" s="8"/>
      <c r="J1465" s="8"/>
      <c r="K1465" s="8"/>
      <c r="L1465" s="8"/>
    </row>
    <row r="1466" spans="1:12" ht="15" customHeight="1" x14ac:dyDescent="0.2">
      <c r="A1466" s="38"/>
      <c r="B1466" s="38"/>
      <c r="C1466" s="8"/>
      <c r="D1466" s="8"/>
      <c r="E1466" s="8"/>
      <c r="F1466" s="8"/>
      <c r="G1466" s="8"/>
      <c r="H1466" s="8"/>
      <c r="I1466" s="8"/>
      <c r="J1466" s="8"/>
      <c r="K1466" s="8"/>
      <c r="L1466" s="8"/>
    </row>
    <row r="1467" spans="1:12" ht="15" customHeight="1" x14ac:dyDescent="0.2">
      <c r="A1467" s="38"/>
      <c r="B1467" s="38"/>
      <c r="C1467" s="8"/>
      <c r="D1467" s="8"/>
      <c r="E1467" s="8"/>
      <c r="F1467" s="8"/>
      <c r="G1467" s="8"/>
      <c r="H1467" s="8"/>
      <c r="I1467" s="8"/>
      <c r="J1467" s="8"/>
      <c r="K1467" s="8"/>
      <c r="L1467" s="8"/>
    </row>
    <row r="1468" spans="1:12" ht="15" customHeight="1" x14ac:dyDescent="0.2">
      <c r="A1468" s="38"/>
      <c r="B1468" s="38"/>
      <c r="C1468" s="8"/>
      <c r="D1468" s="8"/>
      <c r="E1468" s="8"/>
      <c r="F1468" s="8"/>
      <c r="G1468" s="8"/>
      <c r="H1468" s="8"/>
      <c r="I1468" s="8"/>
      <c r="J1468" s="8"/>
      <c r="K1468" s="8"/>
      <c r="L1468" s="8"/>
    </row>
    <row r="1469" spans="1:12" ht="15" customHeight="1" x14ac:dyDescent="0.2">
      <c r="A1469" s="38"/>
      <c r="B1469" s="38"/>
      <c r="C1469" s="8"/>
      <c r="D1469" s="8"/>
      <c r="E1469" s="8"/>
      <c r="F1469" s="8"/>
      <c r="G1469" s="8"/>
      <c r="H1469" s="8"/>
      <c r="I1469" s="8"/>
      <c r="J1469" s="8"/>
      <c r="K1469" s="8"/>
      <c r="L1469" s="8"/>
    </row>
    <row r="1470" spans="1:12" ht="15" customHeight="1" x14ac:dyDescent="0.2">
      <c r="A1470" s="38"/>
      <c r="B1470" s="38"/>
      <c r="C1470" s="8"/>
      <c r="D1470" s="8"/>
      <c r="E1470" s="8"/>
      <c r="F1470" s="8"/>
      <c r="G1470" s="8"/>
      <c r="H1470" s="8"/>
      <c r="I1470" s="8"/>
      <c r="J1470" s="8"/>
      <c r="K1470" s="8"/>
      <c r="L1470" s="8"/>
    </row>
    <row r="1471" spans="1:12" ht="15" customHeight="1" x14ac:dyDescent="0.2">
      <c r="A1471" s="38"/>
      <c r="B1471" s="38"/>
      <c r="C1471" s="8"/>
      <c r="D1471" s="8"/>
      <c r="E1471" s="8"/>
      <c r="F1471" s="8"/>
      <c r="G1471" s="8"/>
      <c r="H1471" s="8"/>
      <c r="I1471" s="8"/>
      <c r="J1471" s="8"/>
      <c r="K1471" s="8"/>
      <c r="L1471" s="8"/>
    </row>
    <row r="1472" spans="1:12" ht="15" customHeight="1" x14ac:dyDescent="0.2">
      <c r="A1472" s="38"/>
      <c r="B1472" s="38"/>
      <c r="C1472" s="8"/>
      <c r="D1472" s="8"/>
      <c r="E1472" s="8"/>
      <c r="F1472" s="8"/>
      <c r="G1472" s="8"/>
      <c r="H1472" s="8"/>
      <c r="I1472" s="8"/>
      <c r="J1472" s="8"/>
      <c r="K1472" s="8"/>
      <c r="L1472" s="8"/>
    </row>
    <row r="1473" spans="1:12" ht="15" customHeight="1" x14ac:dyDescent="0.2">
      <c r="A1473" s="38"/>
      <c r="B1473" s="38"/>
      <c r="C1473" s="8"/>
      <c r="D1473" s="8"/>
      <c r="E1473" s="8"/>
      <c r="F1473" s="8"/>
      <c r="G1473" s="8"/>
      <c r="H1473" s="8"/>
      <c r="I1473" s="8"/>
      <c r="J1473" s="8"/>
      <c r="K1473" s="8"/>
      <c r="L1473" s="8"/>
    </row>
    <row r="1474" spans="1:12" ht="15" customHeight="1" x14ac:dyDescent="0.2">
      <c r="A1474" s="38"/>
      <c r="B1474" s="38"/>
      <c r="C1474" s="8"/>
      <c r="D1474" s="8"/>
      <c r="E1474" s="8"/>
      <c r="F1474" s="8"/>
      <c r="G1474" s="8"/>
      <c r="H1474" s="8"/>
      <c r="I1474" s="8"/>
      <c r="J1474" s="8"/>
      <c r="K1474" s="8"/>
      <c r="L1474" s="8"/>
    </row>
    <row r="1475" spans="1:12" ht="15" customHeight="1" x14ac:dyDescent="0.2">
      <c r="A1475" s="38"/>
      <c r="B1475" s="38"/>
      <c r="C1475" s="8"/>
      <c r="D1475" s="8"/>
      <c r="E1475" s="8"/>
      <c r="F1475" s="8"/>
      <c r="G1475" s="8"/>
      <c r="H1475" s="8"/>
      <c r="I1475" s="8"/>
      <c r="J1475" s="8"/>
      <c r="K1475" s="8"/>
      <c r="L1475" s="8"/>
    </row>
    <row r="1476" spans="1:12" ht="15" customHeight="1" x14ac:dyDescent="0.2">
      <c r="A1476" s="38"/>
      <c r="B1476" s="38"/>
      <c r="C1476" s="8"/>
      <c r="D1476" s="8"/>
      <c r="E1476" s="8"/>
      <c r="F1476" s="8"/>
      <c r="G1476" s="8"/>
      <c r="H1476" s="8"/>
      <c r="I1476" s="8"/>
      <c r="J1476" s="8"/>
      <c r="K1476" s="8"/>
      <c r="L1476" s="8"/>
    </row>
    <row r="1477" spans="1:12" ht="15" customHeight="1" x14ac:dyDescent="0.2">
      <c r="A1477" s="38"/>
      <c r="B1477" s="38"/>
      <c r="C1477" s="8"/>
      <c r="D1477" s="8"/>
      <c r="E1477" s="8"/>
      <c r="F1477" s="8"/>
      <c r="G1477" s="8"/>
      <c r="H1477" s="8"/>
      <c r="I1477" s="8"/>
      <c r="J1477" s="8"/>
      <c r="K1477" s="8"/>
      <c r="L1477" s="8"/>
    </row>
    <row r="1478" spans="1:12" ht="15" customHeight="1" x14ac:dyDescent="0.2">
      <c r="A1478" s="38"/>
      <c r="B1478" s="38"/>
      <c r="C1478" s="8"/>
      <c r="D1478" s="8"/>
      <c r="E1478" s="8"/>
      <c r="F1478" s="8"/>
      <c r="G1478" s="8"/>
      <c r="H1478" s="8"/>
      <c r="I1478" s="8"/>
      <c r="J1478" s="8"/>
      <c r="K1478" s="8"/>
      <c r="L1478" s="8"/>
    </row>
    <row r="1479" spans="1:12" ht="15" customHeight="1" x14ac:dyDescent="0.2">
      <c r="A1479" s="38"/>
      <c r="B1479" s="38"/>
      <c r="C1479" s="8"/>
      <c r="D1479" s="8"/>
      <c r="E1479" s="8"/>
      <c r="F1479" s="8"/>
      <c r="G1479" s="8"/>
      <c r="H1479" s="8"/>
      <c r="I1479" s="8"/>
      <c r="J1479" s="8"/>
      <c r="K1479" s="8"/>
      <c r="L1479" s="8"/>
    </row>
    <row r="1480" spans="1:12" ht="15" customHeight="1" x14ac:dyDescent="0.2">
      <c r="A1480" s="38"/>
      <c r="B1480" s="38"/>
      <c r="C1480" s="8"/>
      <c r="D1480" s="8"/>
      <c r="E1480" s="8"/>
      <c r="F1480" s="8"/>
      <c r="G1480" s="8"/>
      <c r="H1480" s="8"/>
      <c r="I1480" s="8"/>
      <c r="J1480" s="8"/>
      <c r="K1480" s="8"/>
      <c r="L1480" s="8"/>
    </row>
  </sheetData>
  <autoFilter ref="A7:M7" xr:uid="{00000000-0001-0000-0200-000000000000}"/>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r:uid="{6BDA0F3C-4DE1-4352-BBEE-E6E20444F03C}">
          <x14:formula1>
            <xm:f>'Field Restrictions'!$S$2:$S$251</xm:f>
          </x14:formula1>
          <xm:sqref>C8</xm:sqref>
        </x14:dataValidation>
        <x14:dataValidation type="list" allowBlank="1" showInputMessage="1" showErrorMessage="1" xr:uid="{374EE2CD-30E1-42F1-8208-5BB2397E6DFF}">
          <x14:formula1>
            <xm:f>'Field Restrictions'!$T$2:$T$43</xm:f>
          </x14:formula1>
          <xm:sqref>F8</xm:sqref>
        </x14:dataValidation>
        <x14:dataValidation type="list" allowBlank="1" showInputMessage="1" showErrorMessage="1" xr:uid="{FDAD2E64-9DD4-4C05-916C-C543753DC518}">
          <x14:formula1>
            <xm:f>'Field Restrictions'!$U$2:$U$46</xm:f>
          </x14:formula1>
          <xm:sqref>L8</xm:sqref>
        </x14:dataValidation>
        <x14:dataValidation type="list" allowBlank="1" showInputMessage="1" showErrorMessage="1" xr:uid="{0FB35F22-A35D-4BD6-ACDE-792C4BDAF83B}">
          <x14:formula1>
            <xm:f>'ZCALC Instructions'!$I$6:$I$8</xm:f>
          </x14:formula1>
          <xm:sqref>J8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67D86-A12E-47EC-B8A0-06D05BF5C112}">
  <sheetPr codeName="Sheet6"/>
  <dimension ref="A1:BM1474"/>
  <sheetViews>
    <sheetView workbookViewId="0">
      <selection activeCell="A8" sqref="A8"/>
    </sheetView>
  </sheetViews>
  <sheetFormatPr defaultColWidth="14.42578125" defaultRowHeight="15" customHeight="1" x14ac:dyDescent="0.2"/>
  <cols>
    <col min="1" max="1" width="38.28515625" style="40" customWidth="1"/>
    <col min="2" max="2" width="93.28515625" style="40" bestFit="1" customWidth="1"/>
    <col min="3" max="3" width="35.5703125" style="78" customWidth="1"/>
    <col min="4" max="4" width="29.7109375" style="40" customWidth="1"/>
    <col min="5" max="5" width="29.7109375" style="77" customWidth="1"/>
    <col min="6" max="6" width="35.5703125" style="78" customWidth="1"/>
    <col min="7" max="7" width="29.7109375" style="40" customWidth="1"/>
    <col min="8" max="8" width="29.7109375" style="77" customWidth="1"/>
    <col min="9" max="9" width="35.5703125" style="78" customWidth="1"/>
    <col min="10" max="10" width="29.7109375" style="40" customWidth="1"/>
    <col min="11" max="11" width="29.7109375" style="77" customWidth="1"/>
    <col min="12" max="12" width="35.5703125" style="78" customWidth="1"/>
    <col min="13" max="13" width="29.7109375" style="40" customWidth="1"/>
    <col min="14" max="14" width="29.7109375" style="77" customWidth="1"/>
    <col min="15" max="15" width="35.5703125" style="78" customWidth="1"/>
    <col min="16" max="16" width="29.7109375" style="40" customWidth="1"/>
    <col min="17" max="17" width="29.7109375" style="77" customWidth="1"/>
    <col min="18" max="18" width="35.5703125" style="78" customWidth="1"/>
    <col min="19" max="19" width="29.7109375" style="40" customWidth="1"/>
    <col min="20" max="20" width="29.7109375" style="77" customWidth="1"/>
    <col min="21" max="21" width="35.5703125" style="78" customWidth="1"/>
    <col min="22" max="22" width="29.7109375" style="40" customWidth="1"/>
    <col min="23" max="23" width="29.7109375" style="77" customWidth="1"/>
    <col min="24" max="24" width="35.5703125" style="78" customWidth="1"/>
    <col min="25" max="25" width="29.7109375" style="40" customWidth="1"/>
    <col min="26" max="26" width="29.7109375" style="77" customWidth="1"/>
    <col min="27" max="27" width="35.5703125" style="78" customWidth="1"/>
    <col min="28" max="28" width="29.7109375" style="40" customWidth="1"/>
    <col min="29" max="29" width="29.7109375" style="77" customWidth="1"/>
    <col min="30" max="30" width="35.5703125" style="78" customWidth="1"/>
    <col min="31" max="31" width="29.7109375" style="40" customWidth="1"/>
    <col min="32" max="32" width="29.7109375" style="77" customWidth="1"/>
    <col min="33" max="33" width="35.5703125" style="78" customWidth="1"/>
    <col min="34" max="34" width="29.7109375" style="40" customWidth="1"/>
    <col min="35" max="35" width="29.7109375" style="77" customWidth="1"/>
    <col min="36" max="36" width="35.5703125" style="78" customWidth="1"/>
    <col min="37" max="37" width="29.7109375" style="40" customWidth="1"/>
    <col min="38" max="38" width="29.7109375" style="77" customWidth="1"/>
    <col min="39" max="39" width="35.5703125" style="78" customWidth="1"/>
    <col min="40" max="40" width="29.7109375" style="40" customWidth="1"/>
    <col min="41" max="41" width="29.7109375" style="77" customWidth="1"/>
    <col min="42" max="42" width="35.5703125" style="78" customWidth="1"/>
    <col min="43" max="43" width="29.7109375" style="40" customWidth="1"/>
    <col min="44" max="44" width="29.7109375" style="77" customWidth="1"/>
    <col min="45" max="45" width="35.5703125" style="78" customWidth="1"/>
    <col min="46" max="46" width="29.7109375" style="40" customWidth="1"/>
    <col min="47" max="47" width="29.7109375" style="77" customWidth="1"/>
    <col min="48" max="48" width="35.5703125" style="78" customWidth="1"/>
    <col min="49" max="49" width="29.7109375" style="40" customWidth="1"/>
    <col min="50" max="50" width="29.7109375" style="77" customWidth="1"/>
    <col min="51" max="51" width="35.5703125" style="78" customWidth="1"/>
    <col min="52" max="52" width="29.7109375" style="40" customWidth="1"/>
    <col min="53" max="53" width="29.7109375" style="77" customWidth="1"/>
    <col min="54" max="54" width="35.5703125" style="78" customWidth="1"/>
    <col min="55" max="55" width="29.7109375" style="40" customWidth="1"/>
    <col min="56" max="56" width="29.7109375" style="77" customWidth="1"/>
    <col min="57" max="57" width="35.5703125" style="78" customWidth="1"/>
    <col min="58" max="58" width="29.7109375" style="40" customWidth="1"/>
    <col min="59" max="59" width="29.7109375" style="77" customWidth="1"/>
    <col min="60" max="60" width="35.5703125" style="78" customWidth="1"/>
    <col min="61" max="61" width="29.7109375" style="40" customWidth="1"/>
    <col min="62" max="62" width="29.7109375" style="77" customWidth="1"/>
    <col min="63" max="63" width="35.5703125" style="78" customWidth="1"/>
    <col min="64" max="64" width="29.7109375" style="40" customWidth="1"/>
    <col min="65" max="65" width="29.7109375" style="77" customWidth="1"/>
    <col min="66" max="16384" width="14.42578125" style="40"/>
  </cols>
  <sheetData>
    <row r="1" spans="1:65" ht="12.75" customHeight="1" x14ac:dyDescent="0.2">
      <c r="A1" s="39" t="s">
        <v>79</v>
      </c>
      <c r="B1" s="39" t="s">
        <v>80</v>
      </c>
      <c r="C1" s="46" t="s">
        <v>23</v>
      </c>
      <c r="D1" s="47" t="s">
        <v>25</v>
      </c>
      <c r="E1" s="48" t="s">
        <v>143</v>
      </c>
      <c r="F1" s="49" t="s">
        <v>26</v>
      </c>
      <c r="G1" s="50" t="s">
        <v>28</v>
      </c>
      <c r="H1" s="51" t="s">
        <v>376</v>
      </c>
      <c r="I1" s="46" t="s">
        <v>29</v>
      </c>
      <c r="J1" s="47" t="s">
        <v>31</v>
      </c>
      <c r="K1" s="48" t="s">
        <v>377</v>
      </c>
      <c r="L1" s="49" t="s">
        <v>378</v>
      </c>
      <c r="M1" s="50" t="s">
        <v>379</v>
      </c>
      <c r="N1" s="51" t="s">
        <v>380</v>
      </c>
      <c r="O1" s="46" t="s">
        <v>381</v>
      </c>
      <c r="P1" s="47" t="s">
        <v>382</v>
      </c>
      <c r="Q1" s="48" t="s">
        <v>383</v>
      </c>
      <c r="R1" s="49" t="s">
        <v>384</v>
      </c>
      <c r="S1" s="50" t="s">
        <v>385</v>
      </c>
      <c r="T1" s="51" t="s">
        <v>386</v>
      </c>
      <c r="U1" s="46" t="s">
        <v>387</v>
      </c>
      <c r="V1" s="47" t="s">
        <v>388</v>
      </c>
      <c r="W1" s="48" t="s">
        <v>389</v>
      </c>
      <c r="X1" s="49" t="s">
        <v>390</v>
      </c>
      <c r="Y1" s="50" t="s">
        <v>391</v>
      </c>
      <c r="Z1" s="51" t="s">
        <v>392</v>
      </c>
      <c r="AA1" s="46" t="s">
        <v>393</v>
      </c>
      <c r="AB1" s="47" t="s">
        <v>394</v>
      </c>
      <c r="AC1" s="48" t="s">
        <v>395</v>
      </c>
      <c r="AD1" s="49" t="s">
        <v>396</v>
      </c>
      <c r="AE1" s="50" t="s">
        <v>397</v>
      </c>
      <c r="AF1" s="51" t="s">
        <v>398</v>
      </c>
      <c r="AG1" s="46" t="s">
        <v>399</v>
      </c>
      <c r="AH1" s="47" t="s">
        <v>400</v>
      </c>
      <c r="AI1" s="48" t="s">
        <v>401</v>
      </c>
      <c r="AJ1" s="49" t="s">
        <v>402</v>
      </c>
      <c r="AK1" s="50" t="s">
        <v>403</v>
      </c>
      <c r="AL1" s="51" t="s">
        <v>404</v>
      </c>
      <c r="AM1" s="46" t="s">
        <v>405</v>
      </c>
      <c r="AN1" s="47" t="s">
        <v>406</v>
      </c>
      <c r="AO1" s="48" t="s">
        <v>407</v>
      </c>
      <c r="AP1" s="49" t="s">
        <v>408</v>
      </c>
      <c r="AQ1" s="50" t="s">
        <v>409</v>
      </c>
      <c r="AR1" s="51" t="s">
        <v>410</v>
      </c>
      <c r="AS1" s="46" t="s">
        <v>411</v>
      </c>
      <c r="AT1" s="47" t="s">
        <v>412</v>
      </c>
      <c r="AU1" s="48" t="s">
        <v>413</v>
      </c>
      <c r="AV1" s="49" t="s">
        <v>414</v>
      </c>
      <c r="AW1" s="50" t="s">
        <v>415</v>
      </c>
      <c r="AX1" s="51" t="s">
        <v>416</v>
      </c>
      <c r="AY1" s="46" t="s">
        <v>417</v>
      </c>
      <c r="AZ1" s="47" t="s">
        <v>418</v>
      </c>
      <c r="BA1" s="48" t="s">
        <v>419</v>
      </c>
      <c r="BB1" s="49" t="s">
        <v>420</v>
      </c>
      <c r="BC1" s="50" t="s">
        <v>421</v>
      </c>
      <c r="BD1" s="51" t="s">
        <v>422</v>
      </c>
      <c r="BE1" s="46" t="s">
        <v>423</v>
      </c>
      <c r="BF1" s="47" t="s">
        <v>424</v>
      </c>
      <c r="BG1" s="48" t="s">
        <v>425</v>
      </c>
      <c r="BH1" s="49" t="s">
        <v>426</v>
      </c>
      <c r="BI1" s="50" t="s">
        <v>427</v>
      </c>
      <c r="BJ1" s="51" t="s">
        <v>428</v>
      </c>
      <c r="BK1" s="46" t="s">
        <v>429</v>
      </c>
      <c r="BL1" s="47" t="s">
        <v>430</v>
      </c>
      <c r="BM1" s="48" t="s">
        <v>431</v>
      </c>
    </row>
    <row r="2" spans="1:65" ht="12.75" customHeight="1" x14ac:dyDescent="0.2">
      <c r="A2" s="39" t="s">
        <v>148</v>
      </c>
      <c r="B2" s="39" t="s">
        <v>149</v>
      </c>
      <c r="C2" s="52" t="s">
        <v>214</v>
      </c>
      <c r="D2" s="53" t="s">
        <v>215</v>
      </c>
      <c r="E2" s="54" t="s">
        <v>216</v>
      </c>
      <c r="F2" s="55" t="s">
        <v>214</v>
      </c>
      <c r="G2" s="56" t="s">
        <v>215</v>
      </c>
      <c r="H2" s="57" t="s">
        <v>216</v>
      </c>
      <c r="I2" s="52" t="s">
        <v>214</v>
      </c>
      <c r="J2" s="53" t="s">
        <v>215</v>
      </c>
      <c r="K2" s="54" t="s">
        <v>216</v>
      </c>
      <c r="L2" s="55" t="s">
        <v>214</v>
      </c>
      <c r="M2" s="56" t="s">
        <v>215</v>
      </c>
      <c r="N2" s="57" t="s">
        <v>216</v>
      </c>
      <c r="O2" s="52" t="s">
        <v>214</v>
      </c>
      <c r="P2" s="53" t="s">
        <v>215</v>
      </c>
      <c r="Q2" s="54" t="s">
        <v>216</v>
      </c>
      <c r="R2" s="55" t="s">
        <v>214</v>
      </c>
      <c r="S2" s="56" t="s">
        <v>215</v>
      </c>
      <c r="T2" s="57" t="s">
        <v>216</v>
      </c>
      <c r="U2" s="52" t="s">
        <v>214</v>
      </c>
      <c r="V2" s="53" t="s">
        <v>215</v>
      </c>
      <c r="W2" s="54" t="s">
        <v>216</v>
      </c>
      <c r="X2" s="55" t="s">
        <v>214</v>
      </c>
      <c r="Y2" s="56" t="s">
        <v>215</v>
      </c>
      <c r="Z2" s="57" t="s">
        <v>216</v>
      </c>
      <c r="AA2" s="52" t="s">
        <v>214</v>
      </c>
      <c r="AB2" s="53" t="s">
        <v>215</v>
      </c>
      <c r="AC2" s="54" t="s">
        <v>216</v>
      </c>
      <c r="AD2" s="55" t="s">
        <v>214</v>
      </c>
      <c r="AE2" s="56" t="s">
        <v>215</v>
      </c>
      <c r="AF2" s="57" t="s">
        <v>216</v>
      </c>
      <c r="AG2" s="52" t="s">
        <v>214</v>
      </c>
      <c r="AH2" s="53" t="s">
        <v>215</v>
      </c>
      <c r="AI2" s="54" t="s">
        <v>216</v>
      </c>
      <c r="AJ2" s="55" t="s">
        <v>214</v>
      </c>
      <c r="AK2" s="56" t="s">
        <v>215</v>
      </c>
      <c r="AL2" s="57" t="s">
        <v>216</v>
      </c>
      <c r="AM2" s="52" t="s">
        <v>214</v>
      </c>
      <c r="AN2" s="53" t="s">
        <v>215</v>
      </c>
      <c r="AO2" s="54" t="s">
        <v>216</v>
      </c>
      <c r="AP2" s="55" t="s">
        <v>214</v>
      </c>
      <c r="AQ2" s="56" t="s">
        <v>215</v>
      </c>
      <c r="AR2" s="57" t="s">
        <v>216</v>
      </c>
      <c r="AS2" s="52" t="s">
        <v>214</v>
      </c>
      <c r="AT2" s="53" t="s">
        <v>215</v>
      </c>
      <c r="AU2" s="54" t="s">
        <v>216</v>
      </c>
      <c r="AV2" s="55" t="s">
        <v>214</v>
      </c>
      <c r="AW2" s="56" t="s">
        <v>215</v>
      </c>
      <c r="AX2" s="57" t="s">
        <v>216</v>
      </c>
      <c r="AY2" s="52" t="s">
        <v>214</v>
      </c>
      <c r="AZ2" s="53" t="s">
        <v>215</v>
      </c>
      <c r="BA2" s="54" t="s">
        <v>216</v>
      </c>
      <c r="BB2" s="55" t="s">
        <v>214</v>
      </c>
      <c r="BC2" s="56" t="s">
        <v>215</v>
      </c>
      <c r="BD2" s="57" t="s">
        <v>216</v>
      </c>
      <c r="BE2" s="52" t="s">
        <v>214</v>
      </c>
      <c r="BF2" s="53" t="s">
        <v>215</v>
      </c>
      <c r="BG2" s="54" t="s">
        <v>216</v>
      </c>
      <c r="BH2" s="55" t="s">
        <v>214</v>
      </c>
      <c r="BI2" s="56" t="s">
        <v>215</v>
      </c>
      <c r="BJ2" s="57" t="s">
        <v>216</v>
      </c>
      <c r="BK2" s="52" t="s">
        <v>214</v>
      </c>
      <c r="BL2" s="53" t="s">
        <v>215</v>
      </c>
      <c r="BM2" s="54" t="s">
        <v>216</v>
      </c>
    </row>
    <row r="3" spans="1:65" ht="117" customHeight="1" x14ac:dyDescent="0.2">
      <c r="A3" s="41" t="s">
        <v>221</v>
      </c>
      <c r="B3" s="42" t="s">
        <v>222</v>
      </c>
      <c r="C3" s="58" t="s">
        <v>432</v>
      </c>
      <c r="D3" s="59" t="s">
        <v>433</v>
      </c>
      <c r="E3" s="60" t="s">
        <v>434</v>
      </c>
      <c r="F3" s="61" t="s">
        <v>432</v>
      </c>
      <c r="G3" s="62" t="s">
        <v>433</v>
      </c>
      <c r="H3" s="63" t="s">
        <v>435</v>
      </c>
      <c r="I3" s="58" t="s">
        <v>432</v>
      </c>
      <c r="J3" s="59" t="s">
        <v>433</v>
      </c>
      <c r="K3" s="60" t="s">
        <v>434</v>
      </c>
      <c r="L3" s="61" t="s">
        <v>432</v>
      </c>
      <c r="M3" s="62" t="s">
        <v>433</v>
      </c>
      <c r="N3" s="63" t="s">
        <v>435</v>
      </c>
      <c r="O3" s="58" t="s">
        <v>432</v>
      </c>
      <c r="P3" s="59" t="s">
        <v>433</v>
      </c>
      <c r="Q3" s="60" t="s">
        <v>434</v>
      </c>
      <c r="R3" s="61" t="s">
        <v>432</v>
      </c>
      <c r="S3" s="62" t="s">
        <v>433</v>
      </c>
      <c r="T3" s="63" t="s">
        <v>435</v>
      </c>
      <c r="U3" s="58" t="s">
        <v>432</v>
      </c>
      <c r="V3" s="59" t="s">
        <v>433</v>
      </c>
      <c r="W3" s="60" t="s">
        <v>434</v>
      </c>
      <c r="X3" s="61" t="s">
        <v>432</v>
      </c>
      <c r="Y3" s="62" t="s">
        <v>433</v>
      </c>
      <c r="Z3" s="63" t="s">
        <v>435</v>
      </c>
      <c r="AA3" s="58" t="s">
        <v>432</v>
      </c>
      <c r="AB3" s="59" t="s">
        <v>433</v>
      </c>
      <c r="AC3" s="60" t="s">
        <v>434</v>
      </c>
      <c r="AD3" s="61" t="s">
        <v>432</v>
      </c>
      <c r="AE3" s="62" t="s">
        <v>433</v>
      </c>
      <c r="AF3" s="63" t="s">
        <v>435</v>
      </c>
      <c r="AG3" s="58" t="s">
        <v>432</v>
      </c>
      <c r="AH3" s="59" t="s">
        <v>433</v>
      </c>
      <c r="AI3" s="60" t="s">
        <v>434</v>
      </c>
      <c r="AJ3" s="61" t="s">
        <v>432</v>
      </c>
      <c r="AK3" s="62" t="s">
        <v>433</v>
      </c>
      <c r="AL3" s="63" t="s">
        <v>435</v>
      </c>
      <c r="AM3" s="58" t="s">
        <v>432</v>
      </c>
      <c r="AN3" s="59" t="s">
        <v>433</v>
      </c>
      <c r="AO3" s="60" t="s">
        <v>434</v>
      </c>
      <c r="AP3" s="61" t="s">
        <v>432</v>
      </c>
      <c r="AQ3" s="62" t="s">
        <v>433</v>
      </c>
      <c r="AR3" s="63" t="s">
        <v>435</v>
      </c>
      <c r="AS3" s="58" t="s">
        <v>432</v>
      </c>
      <c r="AT3" s="59" t="s">
        <v>433</v>
      </c>
      <c r="AU3" s="60" t="s">
        <v>434</v>
      </c>
      <c r="AV3" s="61" t="s">
        <v>432</v>
      </c>
      <c r="AW3" s="62" t="s">
        <v>433</v>
      </c>
      <c r="AX3" s="63" t="s">
        <v>435</v>
      </c>
      <c r="AY3" s="58" t="s">
        <v>432</v>
      </c>
      <c r="AZ3" s="59" t="s">
        <v>433</v>
      </c>
      <c r="BA3" s="60" t="s">
        <v>434</v>
      </c>
      <c r="BB3" s="61" t="s">
        <v>432</v>
      </c>
      <c r="BC3" s="62" t="s">
        <v>433</v>
      </c>
      <c r="BD3" s="63" t="s">
        <v>435</v>
      </c>
      <c r="BE3" s="58" t="s">
        <v>432</v>
      </c>
      <c r="BF3" s="59" t="s">
        <v>433</v>
      </c>
      <c r="BG3" s="60" t="s">
        <v>434</v>
      </c>
      <c r="BH3" s="61" t="s">
        <v>432</v>
      </c>
      <c r="BI3" s="62" t="s">
        <v>433</v>
      </c>
      <c r="BJ3" s="63" t="s">
        <v>435</v>
      </c>
      <c r="BK3" s="58" t="s">
        <v>432</v>
      </c>
      <c r="BL3" s="59" t="s">
        <v>433</v>
      </c>
      <c r="BM3" s="60" t="s">
        <v>434</v>
      </c>
    </row>
    <row r="4" spans="1:65" ht="12.75" customHeight="1" x14ac:dyDescent="0.2">
      <c r="A4" s="39" t="s">
        <v>4</v>
      </c>
      <c r="B4" s="43" t="s">
        <v>4</v>
      </c>
      <c r="C4" s="64" t="s">
        <v>9</v>
      </c>
      <c r="D4" s="65" t="s">
        <v>289</v>
      </c>
      <c r="E4" s="66" t="s">
        <v>12</v>
      </c>
      <c r="F4" s="67" t="s">
        <v>9</v>
      </c>
      <c r="G4" s="68" t="s">
        <v>289</v>
      </c>
      <c r="H4" s="69" t="s">
        <v>12</v>
      </c>
      <c r="I4" s="64" t="s">
        <v>9</v>
      </c>
      <c r="J4" s="65" t="s">
        <v>289</v>
      </c>
      <c r="K4" s="66" t="s">
        <v>12</v>
      </c>
      <c r="L4" s="67" t="s">
        <v>9</v>
      </c>
      <c r="M4" s="68" t="s">
        <v>289</v>
      </c>
      <c r="N4" s="69" t="s">
        <v>12</v>
      </c>
      <c r="O4" s="64" t="s">
        <v>9</v>
      </c>
      <c r="P4" s="65" t="s">
        <v>289</v>
      </c>
      <c r="Q4" s="66" t="s">
        <v>12</v>
      </c>
      <c r="R4" s="67" t="s">
        <v>9</v>
      </c>
      <c r="S4" s="68" t="s">
        <v>289</v>
      </c>
      <c r="T4" s="69" t="s">
        <v>12</v>
      </c>
      <c r="U4" s="64" t="s">
        <v>9</v>
      </c>
      <c r="V4" s="65" t="s">
        <v>289</v>
      </c>
      <c r="W4" s="66" t="s">
        <v>12</v>
      </c>
      <c r="X4" s="67" t="s">
        <v>9</v>
      </c>
      <c r="Y4" s="68" t="s">
        <v>289</v>
      </c>
      <c r="Z4" s="69" t="s">
        <v>12</v>
      </c>
      <c r="AA4" s="64" t="s">
        <v>9</v>
      </c>
      <c r="AB4" s="65" t="s">
        <v>289</v>
      </c>
      <c r="AC4" s="66" t="s">
        <v>12</v>
      </c>
      <c r="AD4" s="67" t="s">
        <v>9</v>
      </c>
      <c r="AE4" s="68" t="s">
        <v>289</v>
      </c>
      <c r="AF4" s="69" t="s">
        <v>12</v>
      </c>
      <c r="AG4" s="64" t="s">
        <v>9</v>
      </c>
      <c r="AH4" s="65" t="s">
        <v>289</v>
      </c>
      <c r="AI4" s="66" t="s">
        <v>12</v>
      </c>
      <c r="AJ4" s="67" t="s">
        <v>9</v>
      </c>
      <c r="AK4" s="68" t="s">
        <v>289</v>
      </c>
      <c r="AL4" s="69" t="s">
        <v>12</v>
      </c>
      <c r="AM4" s="64" t="s">
        <v>9</v>
      </c>
      <c r="AN4" s="65" t="s">
        <v>289</v>
      </c>
      <c r="AO4" s="66" t="s">
        <v>12</v>
      </c>
      <c r="AP4" s="67" t="s">
        <v>9</v>
      </c>
      <c r="AQ4" s="68" t="s">
        <v>289</v>
      </c>
      <c r="AR4" s="69" t="s">
        <v>12</v>
      </c>
      <c r="AS4" s="64" t="s">
        <v>9</v>
      </c>
      <c r="AT4" s="65" t="s">
        <v>289</v>
      </c>
      <c r="AU4" s="66" t="s">
        <v>12</v>
      </c>
      <c r="AV4" s="67" t="s">
        <v>9</v>
      </c>
      <c r="AW4" s="68" t="s">
        <v>289</v>
      </c>
      <c r="AX4" s="69" t="s">
        <v>12</v>
      </c>
      <c r="AY4" s="64" t="s">
        <v>9</v>
      </c>
      <c r="AZ4" s="65" t="s">
        <v>289</v>
      </c>
      <c r="BA4" s="66" t="s">
        <v>12</v>
      </c>
      <c r="BB4" s="67" t="s">
        <v>9</v>
      </c>
      <c r="BC4" s="68" t="s">
        <v>289</v>
      </c>
      <c r="BD4" s="69" t="s">
        <v>12</v>
      </c>
      <c r="BE4" s="64" t="s">
        <v>9</v>
      </c>
      <c r="BF4" s="65" t="s">
        <v>289</v>
      </c>
      <c r="BG4" s="66" t="s">
        <v>12</v>
      </c>
      <c r="BH4" s="67" t="s">
        <v>9</v>
      </c>
      <c r="BI4" s="68" t="s">
        <v>289</v>
      </c>
      <c r="BJ4" s="69" t="s">
        <v>12</v>
      </c>
      <c r="BK4" s="64" t="s">
        <v>9</v>
      </c>
      <c r="BL4" s="65" t="s">
        <v>289</v>
      </c>
      <c r="BM4" s="66" t="s">
        <v>12</v>
      </c>
    </row>
    <row r="5" spans="1:65" ht="12.75" customHeight="1" x14ac:dyDescent="0.2">
      <c r="A5" s="39" t="s">
        <v>290</v>
      </c>
      <c r="B5" s="43" t="s">
        <v>291</v>
      </c>
      <c r="C5" s="64" t="s">
        <v>9</v>
      </c>
      <c r="D5" s="70">
        <v>40</v>
      </c>
      <c r="E5" s="66"/>
      <c r="F5" s="67" t="s">
        <v>9</v>
      </c>
      <c r="G5" s="71">
        <v>39</v>
      </c>
      <c r="H5" s="69"/>
      <c r="I5" s="64" t="s">
        <v>9</v>
      </c>
      <c r="J5" s="70">
        <v>75</v>
      </c>
      <c r="K5" s="66"/>
      <c r="L5" s="67" t="s">
        <v>9</v>
      </c>
      <c r="M5" s="71">
        <v>59</v>
      </c>
      <c r="N5" s="69"/>
      <c r="O5" s="64" t="s">
        <v>9</v>
      </c>
      <c r="P5" s="70">
        <v>50</v>
      </c>
      <c r="Q5" s="66"/>
      <c r="R5" s="67" t="s">
        <v>9</v>
      </c>
      <c r="S5" s="71">
        <v>56</v>
      </c>
      <c r="T5" s="69"/>
      <c r="U5" s="64" t="s">
        <v>9</v>
      </c>
      <c r="V5" s="70">
        <v>63</v>
      </c>
      <c r="W5" s="66"/>
      <c r="X5" s="67" t="s">
        <v>9</v>
      </c>
      <c r="Y5" s="71">
        <v>92</v>
      </c>
      <c r="Z5" s="69"/>
      <c r="AA5" s="64" t="s">
        <v>9</v>
      </c>
      <c r="AB5" s="70">
        <v>42</v>
      </c>
      <c r="AC5" s="66"/>
      <c r="AD5" s="67" t="s">
        <v>9</v>
      </c>
      <c r="AE5" s="71">
        <v>89</v>
      </c>
      <c r="AF5" s="69"/>
      <c r="AG5" s="64" t="s">
        <v>9</v>
      </c>
      <c r="AH5" s="70">
        <v>71</v>
      </c>
      <c r="AI5" s="66"/>
      <c r="AJ5" s="67" t="s">
        <v>9</v>
      </c>
      <c r="AK5" s="71">
        <v>0</v>
      </c>
      <c r="AL5" s="69"/>
      <c r="AM5" s="64" t="s">
        <v>9</v>
      </c>
      <c r="AN5" s="70">
        <v>0</v>
      </c>
      <c r="AO5" s="66"/>
      <c r="AP5" s="67" t="s">
        <v>9</v>
      </c>
      <c r="AQ5" s="71">
        <v>0</v>
      </c>
      <c r="AR5" s="69"/>
      <c r="AS5" s="64" t="s">
        <v>9</v>
      </c>
      <c r="AT5" s="70">
        <v>87</v>
      </c>
      <c r="AU5" s="66"/>
      <c r="AV5" s="67" t="s">
        <v>9</v>
      </c>
      <c r="AW5" s="71">
        <v>67</v>
      </c>
      <c r="AX5" s="69"/>
      <c r="AY5" s="64" t="s">
        <v>9</v>
      </c>
      <c r="AZ5" s="70">
        <v>77</v>
      </c>
      <c r="BA5" s="66"/>
      <c r="BB5" s="67" t="s">
        <v>9</v>
      </c>
      <c r="BC5" s="71">
        <v>81</v>
      </c>
      <c r="BD5" s="69"/>
      <c r="BE5" s="64" t="s">
        <v>9</v>
      </c>
      <c r="BF5" s="70">
        <v>69</v>
      </c>
      <c r="BG5" s="66"/>
      <c r="BH5" s="67" t="s">
        <v>9</v>
      </c>
      <c r="BI5" s="71">
        <v>52</v>
      </c>
      <c r="BJ5" s="69"/>
      <c r="BK5" s="64" t="s">
        <v>9</v>
      </c>
      <c r="BL5" s="70">
        <v>79</v>
      </c>
      <c r="BM5" s="66"/>
    </row>
    <row r="6" spans="1:65" ht="12.75" customHeight="1" x14ac:dyDescent="0.2">
      <c r="A6" s="44" t="s">
        <v>474</v>
      </c>
      <c r="B6" s="44" t="s">
        <v>474</v>
      </c>
      <c r="C6" s="72"/>
      <c r="D6" s="45"/>
      <c r="E6" s="73" t="s">
        <v>361</v>
      </c>
      <c r="F6" s="72"/>
      <c r="G6" s="45"/>
      <c r="H6" s="73" t="s">
        <v>361</v>
      </c>
      <c r="I6" s="72"/>
      <c r="J6" s="45"/>
      <c r="K6" s="73" t="s">
        <v>361</v>
      </c>
      <c r="L6" s="72"/>
      <c r="M6" s="45"/>
      <c r="N6" s="73" t="s">
        <v>361</v>
      </c>
      <c r="O6" s="72"/>
      <c r="P6" s="45"/>
      <c r="Q6" s="73" t="s">
        <v>361</v>
      </c>
      <c r="R6" s="72"/>
      <c r="S6" s="45"/>
      <c r="T6" s="73" t="s">
        <v>361</v>
      </c>
      <c r="U6" s="72"/>
      <c r="V6" s="45"/>
      <c r="W6" s="73" t="s">
        <v>361</v>
      </c>
      <c r="X6" s="72"/>
      <c r="Y6" s="45"/>
      <c r="Z6" s="73" t="s">
        <v>361</v>
      </c>
      <c r="AA6" s="72"/>
      <c r="AB6" s="45"/>
      <c r="AC6" s="73" t="s">
        <v>361</v>
      </c>
      <c r="AD6" s="72"/>
      <c r="AE6" s="45"/>
      <c r="AF6" s="73" t="s">
        <v>361</v>
      </c>
      <c r="AG6" s="72"/>
      <c r="AH6" s="45"/>
      <c r="AI6" s="73" t="s">
        <v>361</v>
      </c>
      <c r="AJ6" s="72"/>
      <c r="AK6" s="45"/>
      <c r="AL6" s="73" t="s">
        <v>361</v>
      </c>
      <c r="AM6" s="72"/>
      <c r="AN6" s="45"/>
      <c r="AO6" s="73" t="s">
        <v>361</v>
      </c>
      <c r="AP6" s="72"/>
      <c r="AQ6" s="45"/>
      <c r="AR6" s="73" t="s">
        <v>361</v>
      </c>
      <c r="AS6" s="72"/>
      <c r="AT6" s="45"/>
      <c r="AU6" s="73" t="s">
        <v>361</v>
      </c>
      <c r="AV6" s="72"/>
      <c r="AW6" s="45"/>
      <c r="AX6" s="73" t="s">
        <v>361</v>
      </c>
      <c r="AY6" s="72"/>
      <c r="AZ6" s="45"/>
      <c r="BA6" s="73" t="s">
        <v>361</v>
      </c>
      <c r="BB6" s="72"/>
      <c r="BC6" s="45"/>
      <c r="BD6" s="73" t="s">
        <v>361</v>
      </c>
      <c r="BE6" s="72"/>
      <c r="BF6" s="45"/>
      <c r="BG6" s="73" t="s">
        <v>361</v>
      </c>
      <c r="BH6" s="72"/>
      <c r="BI6" s="45"/>
      <c r="BJ6" s="73" t="s">
        <v>361</v>
      </c>
      <c r="BK6" s="72"/>
      <c r="BL6" s="45"/>
      <c r="BM6" s="73" t="s">
        <v>361</v>
      </c>
    </row>
    <row r="7" spans="1:65" ht="12.75" customHeight="1" x14ac:dyDescent="0.2">
      <c r="A7" s="45" t="s">
        <v>478</v>
      </c>
      <c r="B7" s="45" t="s">
        <v>478</v>
      </c>
      <c r="C7" s="72"/>
      <c r="D7" s="45"/>
      <c r="E7" s="74"/>
      <c r="F7" s="72"/>
      <c r="G7" s="45"/>
      <c r="H7" s="74"/>
      <c r="I7" s="72"/>
      <c r="J7" s="45"/>
      <c r="K7" s="74"/>
      <c r="L7" s="72"/>
      <c r="M7" s="45"/>
      <c r="N7" s="74"/>
      <c r="O7" s="72"/>
      <c r="P7" s="45"/>
      <c r="Q7" s="74"/>
      <c r="R7" s="72"/>
      <c r="S7" s="45"/>
      <c r="T7" s="74"/>
      <c r="U7" s="72"/>
      <c r="V7" s="45"/>
      <c r="W7" s="74"/>
      <c r="X7" s="72"/>
      <c r="Y7" s="45"/>
      <c r="Z7" s="74"/>
      <c r="AA7" s="72"/>
      <c r="AB7" s="45"/>
      <c r="AC7" s="74"/>
      <c r="AD7" s="72"/>
      <c r="AE7" s="45"/>
      <c r="AF7" s="74"/>
      <c r="AG7" s="72"/>
      <c r="AH7" s="45"/>
      <c r="AI7" s="74"/>
      <c r="AJ7" s="72"/>
      <c r="AK7" s="45"/>
      <c r="AL7" s="74"/>
      <c r="AM7" s="72"/>
      <c r="AN7" s="45"/>
      <c r="AO7" s="74"/>
      <c r="AP7" s="72"/>
      <c r="AQ7" s="45"/>
      <c r="AR7" s="74"/>
      <c r="AS7" s="72"/>
      <c r="AT7" s="45"/>
      <c r="AU7" s="74"/>
      <c r="AV7" s="72"/>
      <c r="AW7" s="45"/>
      <c r="AX7" s="74"/>
      <c r="AY7" s="72"/>
      <c r="AZ7" s="45"/>
      <c r="BA7" s="74"/>
      <c r="BB7" s="72"/>
      <c r="BC7" s="45"/>
      <c r="BD7" s="74"/>
      <c r="BE7" s="72"/>
      <c r="BF7" s="45"/>
      <c r="BG7" s="74"/>
      <c r="BH7" s="72"/>
      <c r="BI7" s="45"/>
      <c r="BJ7" s="74"/>
      <c r="BK7" s="72"/>
      <c r="BL7" s="45"/>
      <c r="BM7" s="74"/>
    </row>
    <row r="8" spans="1:65" s="76" customFormat="1" ht="12.75" customHeight="1" x14ac:dyDescent="0.2">
      <c r="A8" s="91" t="str">
        <f>Main!A8</f>
        <v>ZCUS-Vinny-Test</v>
      </c>
      <c r="B8" s="91" t="str">
        <f>A8</f>
        <v>ZCUS-Vinny-Test</v>
      </c>
      <c r="C8" s="96" t="s">
        <v>448</v>
      </c>
      <c r="D8" s="163" cm="1">
        <f t="array" ref="D8">Table3[Sell Price]</f>
        <v>38.295357142857149</v>
      </c>
      <c r="E8" s="96">
        <v>0</v>
      </c>
      <c r="F8" s="96" t="s">
        <v>449</v>
      </c>
      <c r="G8" s="163">
        <f>D8</f>
        <v>38.295357142857149</v>
      </c>
      <c r="H8" s="96">
        <v>0</v>
      </c>
      <c r="I8" s="75" t="s">
        <v>450</v>
      </c>
      <c r="J8" s="75" t="s">
        <v>439</v>
      </c>
      <c r="K8" s="75">
        <v>0</v>
      </c>
      <c r="L8" s="75" t="s">
        <v>451</v>
      </c>
      <c r="M8" s="75" t="s">
        <v>439</v>
      </c>
      <c r="N8" s="75">
        <v>0</v>
      </c>
      <c r="O8" s="75" t="s">
        <v>452</v>
      </c>
      <c r="P8" s="75"/>
      <c r="Q8" s="75">
        <v>0</v>
      </c>
      <c r="R8" s="75" t="s">
        <v>453</v>
      </c>
      <c r="S8" s="75"/>
      <c r="T8" s="75">
        <v>0</v>
      </c>
      <c r="U8" s="75" t="s">
        <v>454</v>
      </c>
      <c r="V8" s="75" t="s">
        <v>439</v>
      </c>
      <c r="W8" s="75">
        <v>0</v>
      </c>
      <c r="X8" s="75" t="s">
        <v>455</v>
      </c>
      <c r="Y8" s="75" t="s">
        <v>439</v>
      </c>
      <c r="Z8" s="75">
        <v>0</v>
      </c>
      <c r="AA8" s="75" t="s">
        <v>456</v>
      </c>
      <c r="AB8" s="75"/>
      <c r="AC8" s="75">
        <v>0</v>
      </c>
      <c r="AD8" s="75" t="s">
        <v>457</v>
      </c>
      <c r="AE8" s="75"/>
      <c r="AF8" s="75">
        <v>0</v>
      </c>
      <c r="AG8" s="75" t="s">
        <v>458</v>
      </c>
      <c r="AH8" s="75" t="s">
        <v>439</v>
      </c>
      <c r="AI8" s="75">
        <v>0</v>
      </c>
      <c r="AJ8" s="75" t="s">
        <v>459</v>
      </c>
      <c r="AK8" s="75" t="s">
        <v>439</v>
      </c>
      <c r="AL8" s="75">
        <v>0</v>
      </c>
      <c r="AM8" s="75" t="s">
        <v>460</v>
      </c>
      <c r="AN8" s="75" t="s">
        <v>439</v>
      </c>
      <c r="AO8" s="75">
        <v>0</v>
      </c>
      <c r="AP8" s="75" t="s">
        <v>461</v>
      </c>
      <c r="AQ8" s="75"/>
      <c r="AR8" s="75">
        <v>0</v>
      </c>
      <c r="AS8" s="75" t="s">
        <v>462</v>
      </c>
      <c r="AT8" s="75" t="s">
        <v>439</v>
      </c>
      <c r="AU8" s="75">
        <v>0</v>
      </c>
      <c r="AV8" s="75" t="s">
        <v>463</v>
      </c>
      <c r="AW8" s="75" t="s">
        <v>439</v>
      </c>
      <c r="AX8" s="75">
        <v>0</v>
      </c>
      <c r="AY8" s="75" t="s">
        <v>464</v>
      </c>
      <c r="AZ8" s="75" t="s">
        <v>439</v>
      </c>
      <c r="BA8" s="75">
        <v>0</v>
      </c>
      <c r="BB8" s="75" t="s">
        <v>465</v>
      </c>
      <c r="BC8" s="75" t="s">
        <v>439</v>
      </c>
      <c r="BD8" s="75">
        <v>0</v>
      </c>
      <c r="BE8" s="75" t="s">
        <v>436</v>
      </c>
      <c r="BF8" s="75" t="s">
        <v>439</v>
      </c>
      <c r="BG8" s="75">
        <v>0</v>
      </c>
      <c r="BH8" s="75" t="s">
        <v>437</v>
      </c>
      <c r="BI8" s="75" t="s">
        <v>439</v>
      </c>
      <c r="BJ8" s="75">
        <v>0</v>
      </c>
      <c r="BK8" s="75" t="s">
        <v>438</v>
      </c>
      <c r="BL8" s="75" t="s">
        <v>439</v>
      </c>
      <c r="BM8" s="75">
        <v>0</v>
      </c>
    </row>
    <row r="9" spans="1:65" ht="12.75" customHeight="1" x14ac:dyDescent="0.2">
      <c r="A9" s="38"/>
      <c r="B9" s="38"/>
      <c r="C9" s="75"/>
      <c r="D9" s="75"/>
      <c r="E9" s="75"/>
      <c r="F9" s="75"/>
      <c r="G9" s="75"/>
      <c r="H9" s="75"/>
      <c r="I9" s="75"/>
      <c r="J9" s="75"/>
      <c r="K9" s="75"/>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t="s">
        <v>439</v>
      </c>
      <c r="BG9" s="75"/>
      <c r="BH9" s="75"/>
      <c r="BI9" s="75" t="s">
        <v>439</v>
      </c>
      <c r="BJ9" s="75"/>
      <c r="BK9" s="75"/>
      <c r="BL9" s="75" t="s">
        <v>439</v>
      </c>
      <c r="BM9" s="75"/>
    </row>
    <row r="10" spans="1:65" ht="12.75" customHeight="1" x14ac:dyDescent="0.2">
      <c r="A10" s="38"/>
      <c r="B10" s="38"/>
      <c r="C10" s="75"/>
      <c r="D10" s="75"/>
      <c r="E10" s="75"/>
      <c r="F10" s="75"/>
      <c r="G10" s="75"/>
      <c r="H10" s="75"/>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t="s">
        <v>439</v>
      </c>
      <c r="BG10" s="75"/>
      <c r="BH10" s="75"/>
      <c r="BI10" s="75" t="s">
        <v>439</v>
      </c>
      <c r="BJ10" s="75"/>
      <c r="BK10" s="75"/>
      <c r="BL10" s="75" t="s">
        <v>439</v>
      </c>
      <c r="BM10" s="75"/>
    </row>
    <row r="11" spans="1:65" ht="12.75" customHeight="1" x14ac:dyDescent="0.2">
      <c r="A11" s="38"/>
      <c r="B11" s="38"/>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t="s">
        <v>439</v>
      </c>
      <c r="BG11" s="75"/>
      <c r="BH11" s="75"/>
      <c r="BI11" s="75" t="s">
        <v>439</v>
      </c>
      <c r="BJ11" s="75"/>
      <c r="BK11" s="75"/>
      <c r="BL11" s="75" t="s">
        <v>439</v>
      </c>
      <c r="BM11" s="75"/>
    </row>
    <row r="12" spans="1:65" ht="12.75" customHeight="1" x14ac:dyDescent="0.2">
      <c r="A12" s="38"/>
      <c r="B12" s="38"/>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t="s">
        <v>439</v>
      </c>
      <c r="BG12" s="75"/>
      <c r="BH12" s="75"/>
      <c r="BI12" s="75" t="s">
        <v>439</v>
      </c>
      <c r="BJ12" s="75"/>
      <c r="BK12" s="75"/>
      <c r="BL12" s="75" t="s">
        <v>439</v>
      </c>
      <c r="BM12" s="75"/>
    </row>
    <row r="13" spans="1:65" ht="12.75" customHeight="1" x14ac:dyDescent="0.2">
      <c r="A13" s="38"/>
      <c r="B13" s="38"/>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t="s">
        <v>439</v>
      </c>
      <c r="BG13" s="75"/>
      <c r="BH13" s="75"/>
      <c r="BI13" s="75" t="s">
        <v>439</v>
      </c>
      <c r="BJ13" s="75"/>
      <c r="BK13" s="75"/>
      <c r="BL13" s="75" t="s">
        <v>439</v>
      </c>
      <c r="BM13" s="75"/>
    </row>
    <row r="14" spans="1:65" ht="12.75" customHeight="1" x14ac:dyDescent="0.2">
      <c r="A14" s="38"/>
      <c r="B14" s="38"/>
      <c r="C14" s="75"/>
      <c r="D14" s="75"/>
      <c r="E14" s="75"/>
      <c r="F14" s="75"/>
      <c r="G14" s="75"/>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t="s">
        <v>439</v>
      </c>
      <c r="BG14" s="75"/>
      <c r="BH14" s="75"/>
      <c r="BI14" s="75" t="s">
        <v>439</v>
      </c>
      <c r="BJ14" s="75"/>
      <c r="BK14" s="75"/>
      <c r="BL14" s="75" t="s">
        <v>439</v>
      </c>
      <c r="BM14" s="75"/>
    </row>
    <row r="15" spans="1:65" ht="12.75" customHeight="1" x14ac:dyDescent="0.2">
      <c r="A15" s="38"/>
      <c r="B15" s="38"/>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t="s">
        <v>439</v>
      </c>
      <c r="BG15" s="75"/>
      <c r="BH15" s="75"/>
      <c r="BI15" s="75" t="s">
        <v>439</v>
      </c>
      <c r="BJ15" s="75"/>
      <c r="BK15" s="75"/>
      <c r="BL15" s="75" t="s">
        <v>439</v>
      </c>
      <c r="BM15" s="75"/>
    </row>
    <row r="16" spans="1:65" ht="12.75" customHeight="1" x14ac:dyDescent="0.2">
      <c r="A16" s="38"/>
      <c r="B16" s="38"/>
      <c r="C16" s="75"/>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t="s">
        <v>439</v>
      </c>
      <c r="BG16" s="75"/>
      <c r="BH16" s="75"/>
      <c r="BI16" s="75" t="s">
        <v>439</v>
      </c>
      <c r="BJ16" s="75"/>
      <c r="BK16" s="75"/>
      <c r="BL16" s="75" t="s">
        <v>439</v>
      </c>
      <c r="BM16" s="75"/>
    </row>
    <row r="17" spans="1:65" ht="12.75" customHeight="1" x14ac:dyDescent="0.2">
      <c r="A17" s="38"/>
      <c r="B17" s="38"/>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t="s">
        <v>439</v>
      </c>
      <c r="BG17" s="75"/>
      <c r="BH17" s="75"/>
      <c r="BI17" s="75" t="s">
        <v>439</v>
      </c>
      <c r="BJ17" s="75"/>
      <c r="BK17" s="75"/>
      <c r="BL17" s="75" t="s">
        <v>439</v>
      </c>
      <c r="BM17" s="75"/>
    </row>
    <row r="18" spans="1:65" ht="12.75" customHeight="1" x14ac:dyDescent="0.2">
      <c r="A18" s="38"/>
      <c r="B18" s="38"/>
      <c r="C18" s="75"/>
      <c r="D18" s="75"/>
      <c r="E18" s="75"/>
      <c r="F18" s="75"/>
      <c r="G18" s="75"/>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t="s">
        <v>439</v>
      </c>
      <c r="BG18" s="75"/>
      <c r="BH18" s="75"/>
      <c r="BI18" s="75" t="s">
        <v>439</v>
      </c>
      <c r="BJ18" s="75"/>
      <c r="BK18" s="75"/>
      <c r="BL18" s="75" t="s">
        <v>439</v>
      </c>
      <c r="BM18" s="75"/>
    </row>
    <row r="19" spans="1:65" ht="12.75" customHeight="1" x14ac:dyDescent="0.2">
      <c r="A19" s="38"/>
      <c r="B19" s="38"/>
      <c r="C19" s="75"/>
      <c r="D19" s="75"/>
      <c r="E19" s="75"/>
      <c r="F19" s="75"/>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t="s">
        <v>439</v>
      </c>
      <c r="BG19" s="75"/>
      <c r="BH19" s="75"/>
      <c r="BI19" s="75" t="s">
        <v>439</v>
      </c>
      <c r="BJ19" s="75"/>
      <c r="BK19" s="75"/>
      <c r="BL19" s="75" t="s">
        <v>439</v>
      </c>
      <c r="BM19" s="75"/>
    </row>
    <row r="20" spans="1:65" ht="12.75" customHeight="1" x14ac:dyDescent="0.2">
      <c r="A20" s="38"/>
      <c r="B20" s="38"/>
      <c r="C20" s="75"/>
      <c r="D20" s="75"/>
      <c r="E20" s="75"/>
      <c r="F20" s="75"/>
      <c r="G20" s="75"/>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t="s">
        <v>439</v>
      </c>
      <c r="BG20" s="75"/>
      <c r="BH20" s="75"/>
      <c r="BI20" s="75" t="s">
        <v>439</v>
      </c>
      <c r="BJ20" s="75"/>
      <c r="BK20" s="75"/>
      <c r="BL20" s="75" t="s">
        <v>439</v>
      </c>
      <c r="BM20" s="75"/>
    </row>
    <row r="21" spans="1:65" ht="12.75" customHeight="1" x14ac:dyDescent="0.2">
      <c r="A21" s="38"/>
      <c r="B21" s="38"/>
      <c r="C21" s="75"/>
      <c r="D21" s="75"/>
      <c r="E21" s="75"/>
      <c r="F21" s="75"/>
      <c r="G21" s="7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t="s">
        <v>439</v>
      </c>
      <c r="BG21" s="75"/>
      <c r="BH21" s="75"/>
      <c r="BI21" s="75" t="s">
        <v>439</v>
      </c>
      <c r="BJ21" s="75"/>
      <c r="BK21" s="75"/>
      <c r="BL21" s="75" t="s">
        <v>439</v>
      </c>
      <c r="BM21" s="75"/>
    </row>
    <row r="22" spans="1:65" ht="12.75" customHeight="1" x14ac:dyDescent="0.2">
      <c r="A22" s="38"/>
      <c r="B22" s="38"/>
      <c r="C22" s="75"/>
      <c r="D22" s="75"/>
      <c r="E22" s="75"/>
      <c r="F22" s="75"/>
      <c r="G22" s="75"/>
      <c r="H22" s="75"/>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t="s">
        <v>439</v>
      </c>
      <c r="BG22" s="75"/>
      <c r="BH22" s="75"/>
      <c r="BI22" s="75" t="s">
        <v>439</v>
      </c>
      <c r="BJ22" s="75"/>
      <c r="BK22" s="75"/>
      <c r="BL22" s="75" t="s">
        <v>439</v>
      </c>
      <c r="BM22" s="75"/>
    </row>
    <row r="23" spans="1:65" ht="12.75" customHeight="1" x14ac:dyDescent="0.2">
      <c r="A23" s="38"/>
      <c r="B23" s="38"/>
      <c r="C23" s="75"/>
      <c r="D23" s="75"/>
      <c r="E23" s="75"/>
      <c r="F23" s="75"/>
      <c r="G23" s="75"/>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t="s">
        <v>439</v>
      </c>
      <c r="BG23" s="75"/>
      <c r="BH23" s="75"/>
      <c r="BI23" s="75" t="s">
        <v>439</v>
      </c>
      <c r="BJ23" s="75"/>
      <c r="BK23" s="75"/>
      <c r="BL23" s="75" t="s">
        <v>439</v>
      </c>
      <c r="BM23" s="75"/>
    </row>
    <row r="24" spans="1:65" ht="12.75" customHeight="1" x14ac:dyDescent="0.2">
      <c r="A24" s="38"/>
      <c r="B24" s="38"/>
      <c r="C24" s="75"/>
      <c r="D24" s="75"/>
      <c r="E24" s="75"/>
      <c r="F24" s="75"/>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t="s">
        <v>439</v>
      </c>
      <c r="BG24" s="75"/>
      <c r="BH24" s="75"/>
      <c r="BI24" s="75" t="s">
        <v>439</v>
      </c>
      <c r="BJ24" s="75"/>
      <c r="BK24" s="75"/>
      <c r="BL24" s="75" t="s">
        <v>439</v>
      </c>
      <c r="BM24" s="75"/>
    </row>
    <row r="25" spans="1:65" ht="12.75" customHeight="1" x14ac:dyDescent="0.2">
      <c r="A25" s="38"/>
      <c r="B25" s="38"/>
      <c r="C25" s="75"/>
      <c r="D25" s="75"/>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t="s">
        <v>439</v>
      </c>
      <c r="BG25" s="75"/>
      <c r="BH25" s="75"/>
      <c r="BI25" s="75" t="s">
        <v>439</v>
      </c>
      <c r="BJ25" s="75"/>
      <c r="BK25" s="75"/>
      <c r="BL25" s="75" t="s">
        <v>439</v>
      </c>
      <c r="BM25" s="75"/>
    </row>
    <row r="26" spans="1:65" ht="12.75" customHeight="1" x14ac:dyDescent="0.2">
      <c r="A26" s="38"/>
      <c r="B26" s="38"/>
      <c r="C26" s="75"/>
      <c r="D26" s="75"/>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t="s">
        <v>439</v>
      </c>
      <c r="BG26" s="75"/>
      <c r="BH26" s="75"/>
      <c r="BI26" s="75" t="s">
        <v>439</v>
      </c>
      <c r="BJ26" s="75"/>
      <c r="BK26" s="75"/>
      <c r="BL26" s="75" t="s">
        <v>439</v>
      </c>
      <c r="BM26" s="75"/>
    </row>
    <row r="27" spans="1:65" ht="12.75" customHeight="1" x14ac:dyDescent="0.2">
      <c r="A27" s="38"/>
      <c r="B27" s="38"/>
      <c r="C27" s="75"/>
      <c r="D27" s="75"/>
      <c r="E27" s="75"/>
      <c r="F27" s="75"/>
      <c r="G27" s="75"/>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t="s">
        <v>439</v>
      </c>
      <c r="BG27" s="75"/>
      <c r="BH27" s="75"/>
      <c r="BI27" s="75" t="s">
        <v>439</v>
      </c>
      <c r="BJ27" s="75"/>
      <c r="BK27" s="75"/>
      <c r="BL27" s="75" t="s">
        <v>439</v>
      </c>
      <c r="BM27" s="75"/>
    </row>
    <row r="28" spans="1:65" ht="12.75" customHeight="1" x14ac:dyDescent="0.2">
      <c r="A28" s="38"/>
      <c r="B28" s="38"/>
      <c r="C28" s="75"/>
      <c r="D28" s="75"/>
      <c r="E28" s="75"/>
      <c r="F28" s="75"/>
      <c r="G28" s="75"/>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t="s">
        <v>439</v>
      </c>
      <c r="BG28" s="75"/>
      <c r="BH28" s="75"/>
      <c r="BI28" s="75" t="s">
        <v>439</v>
      </c>
      <c r="BJ28" s="75"/>
      <c r="BK28" s="75"/>
      <c r="BL28" s="75" t="s">
        <v>439</v>
      </c>
      <c r="BM28" s="75"/>
    </row>
    <row r="29" spans="1:65" ht="12.75" customHeight="1" x14ac:dyDescent="0.2">
      <c r="A29" s="38"/>
      <c r="B29" s="38"/>
      <c r="C29" s="75"/>
      <c r="D29" s="75"/>
      <c r="E29" s="75"/>
      <c r="F29" s="75"/>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t="s">
        <v>439</v>
      </c>
      <c r="BG29" s="75"/>
      <c r="BH29" s="75"/>
      <c r="BI29" s="75" t="s">
        <v>439</v>
      </c>
      <c r="BJ29" s="75"/>
      <c r="BK29" s="75"/>
      <c r="BL29" s="75" t="s">
        <v>439</v>
      </c>
      <c r="BM29" s="75"/>
    </row>
    <row r="30" spans="1:65" ht="12.75" customHeight="1" x14ac:dyDescent="0.2">
      <c r="A30" s="38"/>
      <c r="B30" s="38"/>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t="s">
        <v>439</v>
      </c>
      <c r="BG30" s="75"/>
      <c r="BH30" s="75"/>
      <c r="BI30" s="75" t="s">
        <v>439</v>
      </c>
      <c r="BJ30" s="75"/>
      <c r="BK30" s="75"/>
      <c r="BL30" s="75" t="s">
        <v>439</v>
      </c>
      <c r="BM30" s="75"/>
    </row>
    <row r="31" spans="1:65" ht="12.75" customHeight="1" x14ac:dyDescent="0.2">
      <c r="A31" s="38"/>
      <c r="B31" s="38"/>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t="s">
        <v>439</v>
      </c>
      <c r="BG31" s="75"/>
      <c r="BH31" s="75"/>
      <c r="BI31" s="75" t="s">
        <v>439</v>
      </c>
      <c r="BJ31" s="75"/>
      <c r="BK31" s="75"/>
      <c r="BL31" s="75" t="s">
        <v>439</v>
      </c>
      <c r="BM31" s="75"/>
    </row>
    <row r="32" spans="1:65" ht="12.75" customHeight="1" x14ac:dyDescent="0.2">
      <c r="A32" s="38"/>
      <c r="B32" s="38"/>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t="s">
        <v>439</v>
      </c>
      <c r="BG32" s="75"/>
      <c r="BH32" s="75"/>
      <c r="BI32" s="75" t="s">
        <v>439</v>
      </c>
      <c r="BJ32" s="75"/>
      <c r="BK32" s="75"/>
      <c r="BL32" s="75" t="s">
        <v>439</v>
      </c>
      <c r="BM32" s="75"/>
    </row>
    <row r="33" spans="1:65" ht="12.75" customHeight="1" x14ac:dyDescent="0.2">
      <c r="A33" s="38"/>
      <c r="B33" s="38"/>
      <c r="C33" s="75"/>
      <c r="D33" s="75"/>
      <c r="E33" s="75"/>
      <c r="F33" s="75"/>
      <c r="G33" s="75"/>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t="s">
        <v>439</v>
      </c>
      <c r="BG33" s="75"/>
      <c r="BH33" s="75"/>
      <c r="BI33" s="75" t="s">
        <v>439</v>
      </c>
      <c r="BJ33" s="75"/>
      <c r="BK33" s="75"/>
      <c r="BL33" s="75" t="s">
        <v>439</v>
      </c>
      <c r="BM33" s="75"/>
    </row>
    <row r="34" spans="1:65" ht="12.75" customHeight="1" x14ac:dyDescent="0.2">
      <c r="A34" s="38"/>
      <c r="B34" s="38"/>
      <c r="C34" s="75"/>
      <c r="D34" s="75"/>
      <c r="E34" s="75"/>
      <c r="F34" s="75"/>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t="s">
        <v>439</v>
      </c>
      <c r="BG34" s="75"/>
      <c r="BH34" s="75"/>
      <c r="BI34" s="75" t="s">
        <v>439</v>
      </c>
      <c r="BJ34" s="75"/>
      <c r="BK34" s="75"/>
      <c r="BL34" s="75" t="s">
        <v>439</v>
      </c>
      <c r="BM34" s="75"/>
    </row>
    <row r="35" spans="1:65" ht="12.75" customHeight="1" x14ac:dyDescent="0.2">
      <c r="A35" s="38"/>
      <c r="B35" s="38"/>
      <c r="C35" s="75"/>
      <c r="D35" s="75"/>
      <c r="E35" s="75"/>
      <c r="F35" s="75"/>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t="s">
        <v>439</v>
      </c>
      <c r="BG35" s="75"/>
      <c r="BH35" s="75"/>
      <c r="BI35" s="75" t="s">
        <v>439</v>
      </c>
      <c r="BJ35" s="75"/>
      <c r="BK35" s="75"/>
      <c r="BL35" s="75" t="s">
        <v>439</v>
      </c>
      <c r="BM35" s="75"/>
    </row>
    <row r="36" spans="1:65" ht="12.75" customHeight="1" x14ac:dyDescent="0.2">
      <c r="A36" s="38"/>
      <c r="B36" s="38"/>
      <c r="C36" s="75"/>
      <c r="D36" s="75"/>
      <c r="E36" s="75"/>
      <c r="F36" s="75"/>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t="s">
        <v>439</v>
      </c>
      <c r="BG36" s="75"/>
      <c r="BH36" s="75"/>
      <c r="BI36" s="75" t="s">
        <v>439</v>
      </c>
      <c r="BJ36" s="75"/>
      <c r="BK36" s="75"/>
      <c r="BL36" s="75" t="s">
        <v>439</v>
      </c>
      <c r="BM36" s="75"/>
    </row>
    <row r="37" spans="1:65" ht="12.75" customHeight="1" x14ac:dyDescent="0.2">
      <c r="A37" s="38"/>
      <c r="B37" s="38"/>
      <c r="C37" s="75"/>
      <c r="D37" s="75"/>
      <c r="E37" s="75"/>
      <c r="F37" s="75"/>
      <c r="G37" s="75"/>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t="s">
        <v>439</v>
      </c>
      <c r="BG37" s="75"/>
      <c r="BH37" s="75"/>
      <c r="BI37" s="75" t="s">
        <v>439</v>
      </c>
      <c r="BJ37" s="75"/>
      <c r="BK37" s="75"/>
      <c r="BL37" s="75" t="s">
        <v>439</v>
      </c>
      <c r="BM37" s="75"/>
    </row>
    <row r="38" spans="1:65" ht="12.75" customHeight="1" x14ac:dyDescent="0.2">
      <c r="A38" s="38"/>
      <c r="B38" s="38"/>
      <c r="C38" s="75"/>
      <c r="D38" s="75"/>
      <c r="E38" s="75"/>
      <c r="F38" s="75"/>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t="s">
        <v>439</v>
      </c>
      <c r="BG38" s="75"/>
      <c r="BH38" s="75"/>
      <c r="BI38" s="75" t="s">
        <v>439</v>
      </c>
      <c r="BJ38" s="75"/>
      <c r="BK38" s="75"/>
      <c r="BL38" s="75" t="s">
        <v>439</v>
      </c>
      <c r="BM38" s="75"/>
    </row>
    <row r="39" spans="1:65" ht="12.75" customHeight="1" x14ac:dyDescent="0.2">
      <c r="A39" s="38"/>
      <c r="B39" s="38"/>
      <c r="C39" s="75"/>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t="s">
        <v>439</v>
      </c>
      <c r="BG39" s="75"/>
      <c r="BH39" s="75"/>
      <c r="BI39" s="75" t="s">
        <v>439</v>
      </c>
      <c r="BJ39" s="75"/>
      <c r="BK39" s="75"/>
      <c r="BL39" s="75" t="s">
        <v>439</v>
      </c>
      <c r="BM39" s="75"/>
    </row>
    <row r="40" spans="1:65" ht="12.75" customHeight="1" x14ac:dyDescent="0.2">
      <c r="A40" s="38"/>
      <c r="B40" s="38"/>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t="s">
        <v>439</v>
      </c>
      <c r="BG40" s="75"/>
      <c r="BH40" s="75"/>
      <c r="BI40" s="75" t="s">
        <v>439</v>
      </c>
      <c r="BJ40" s="75"/>
      <c r="BK40" s="75"/>
      <c r="BL40" s="75" t="s">
        <v>439</v>
      </c>
      <c r="BM40" s="75"/>
    </row>
    <row r="41" spans="1:65" ht="12.75" customHeight="1" x14ac:dyDescent="0.2">
      <c r="A41" s="38"/>
      <c r="B41" s="38"/>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t="s">
        <v>439</v>
      </c>
      <c r="BG41" s="75"/>
      <c r="BH41" s="75"/>
      <c r="BI41" s="75" t="s">
        <v>439</v>
      </c>
      <c r="BJ41" s="75"/>
      <c r="BK41" s="75"/>
      <c r="BL41" s="75" t="s">
        <v>439</v>
      </c>
      <c r="BM41" s="75"/>
    </row>
    <row r="42" spans="1:65" ht="12.75" customHeight="1" x14ac:dyDescent="0.2">
      <c r="A42" s="38"/>
      <c r="B42" s="38"/>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t="s">
        <v>439</v>
      </c>
      <c r="BG42" s="75"/>
      <c r="BH42" s="75"/>
      <c r="BI42" s="75" t="s">
        <v>439</v>
      </c>
      <c r="BJ42" s="75"/>
      <c r="BK42" s="75"/>
      <c r="BL42" s="75" t="s">
        <v>439</v>
      </c>
      <c r="BM42" s="75"/>
    </row>
    <row r="43" spans="1:65" ht="12.75" customHeight="1" x14ac:dyDescent="0.2">
      <c r="A43" s="38"/>
      <c r="B43" s="38"/>
      <c r="C43" s="75"/>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t="s">
        <v>439</v>
      </c>
      <c r="BG43" s="75"/>
      <c r="BH43" s="75"/>
      <c r="BI43" s="75" t="s">
        <v>439</v>
      </c>
      <c r="BJ43" s="75"/>
      <c r="BK43" s="75"/>
      <c r="BL43" s="75" t="s">
        <v>439</v>
      </c>
      <c r="BM43" s="75"/>
    </row>
    <row r="44" spans="1:65" ht="12.75" customHeight="1" x14ac:dyDescent="0.2">
      <c r="A44" s="38"/>
      <c r="B44" s="38"/>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t="s">
        <v>439</v>
      </c>
      <c r="BG44" s="75"/>
      <c r="BH44" s="75"/>
      <c r="BI44" s="75" t="s">
        <v>439</v>
      </c>
      <c r="BJ44" s="75"/>
      <c r="BK44" s="75"/>
      <c r="BL44" s="75" t="s">
        <v>439</v>
      </c>
      <c r="BM44" s="75"/>
    </row>
    <row r="45" spans="1:65" ht="12.75" customHeight="1" x14ac:dyDescent="0.2">
      <c r="A45" s="38"/>
      <c r="B45" s="38"/>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t="s">
        <v>439</v>
      </c>
      <c r="BG45" s="75"/>
      <c r="BH45" s="75"/>
      <c r="BI45" s="75" t="s">
        <v>439</v>
      </c>
      <c r="BJ45" s="75"/>
      <c r="BK45" s="75"/>
      <c r="BL45" s="75" t="s">
        <v>439</v>
      </c>
      <c r="BM45" s="75"/>
    </row>
    <row r="46" spans="1:65" ht="12.75" customHeight="1" x14ac:dyDescent="0.2">
      <c r="A46" s="38"/>
      <c r="B46" s="38"/>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t="s">
        <v>439</v>
      </c>
      <c r="BG46" s="75"/>
      <c r="BH46" s="75"/>
      <c r="BI46" s="75" t="s">
        <v>439</v>
      </c>
      <c r="BJ46" s="75"/>
      <c r="BK46" s="75"/>
      <c r="BL46" s="75" t="s">
        <v>439</v>
      </c>
      <c r="BM46" s="75"/>
    </row>
    <row r="47" spans="1:65" ht="12.75" customHeight="1" x14ac:dyDescent="0.2">
      <c r="A47" s="38"/>
      <c r="B47" s="38"/>
      <c r="C47" s="75"/>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t="s">
        <v>439</v>
      </c>
      <c r="BG47" s="75"/>
      <c r="BH47" s="75"/>
      <c r="BI47" s="75" t="s">
        <v>439</v>
      </c>
      <c r="BJ47" s="75"/>
      <c r="BK47" s="75"/>
      <c r="BL47" s="75" t="s">
        <v>439</v>
      </c>
      <c r="BM47" s="75"/>
    </row>
    <row r="48" spans="1:65" ht="12.75" customHeight="1" x14ac:dyDescent="0.2">
      <c r="A48" s="38"/>
      <c r="B48" s="38"/>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t="s">
        <v>439</v>
      </c>
      <c r="BG48" s="75"/>
      <c r="BH48" s="75"/>
      <c r="BI48" s="75" t="s">
        <v>439</v>
      </c>
      <c r="BJ48" s="75"/>
      <c r="BK48" s="75"/>
      <c r="BL48" s="75" t="s">
        <v>439</v>
      </c>
      <c r="BM48" s="75"/>
    </row>
    <row r="49" spans="1:65" ht="12.75" customHeight="1" x14ac:dyDescent="0.2">
      <c r="A49" s="38"/>
      <c r="B49" s="38"/>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t="s">
        <v>439</v>
      </c>
      <c r="BG49" s="75"/>
      <c r="BH49" s="75"/>
      <c r="BI49" s="75" t="s">
        <v>439</v>
      </c>
      <c r="BJ49" s="75"/>
      <c r="BK49" s="75"/>
      <c r="BL49" s="75" t="s">
        <v>439</v>
      </c>
      <c r="BM49" s="75"/>
    </row>
    <row r="50" spans="1:65" ht="12.75" customHeight="1" x14ac:dyDescent="0.2">
      <c r="A50" s="38"/>
      <c r="B50" s="38"/>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t="s">
        <v>439</v>
      </c>
      <c r="BG50" s="75"/>
      <c r="BH50" s="75"/>
      <c r="BI50" s="75" t="s">
        <v>439</v>
      </c>
      <c r="BJ50" s="75"/>
      <c r="BK50" s="75"/>
      <c r="BL50" s="75" t="s">
        <v>439</v>
      </c>
      <c r="BM50" s="75"/>
    </row>
    <row r="51" spans="1:65" ht="12.75" customHeight="1" x14ac:dyDescent="0.2">
      <c r="A51" s="38"/>
      <c r="B51" s="38"/>
      <c r="C51" s="75"/>
      <c r="D51" s="75"/>
      <c r="E51" s="75"/>
      <c r="F51" s="75"/>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t="s">
        <v>439</v>
      </c>
      <c r="BG51" s="75"/>
      <c r="BH51" s="75"/>
      <c r="BI51" s="75" t="s">
        <v>439</v>
      </c>
      <c r="BJ51" s="75"/>
      <c r="BK51" s="75"/>
      <c r="BL51" s="75" t="s">
        <v>439</v>
      </c>
      <c r="BM51" s="75"/>
    </row>
    <row r="52" spans="1:65" ht="12.75" customHeight="1" x14ac:dyDescent="0.2">
      <c r="A52" s="38"/>
      <c r="B52" s="38"/>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t="s">
        <v>439</v>
      </c>
      <c r="BG52" s="75"/>
      <c r="BH52" s="75"/>
      <c r="BI52" s="75" t="s">
        <v>439</v>
      </c>
      <c r="BJ52" s="75"/>
      <c r="BK52" s="75"/>
      <c r="BL52" s="75" t="s">
        <v>439</v>
      </c>
      <c r="BM52" s="75"/>
    </row>
    <row r="53" spans="1:65" ht="12.75" customHeight="1" x14ac:dyDescent="0.2">
      <c r="A53" s="38"/>
      <c r="B53" s="38"/>
      <c r="C53" s="75"/>
      <c r="D53" s="75"/>
      <c r="E53" s="75"/>
      <c r="F53" s="75"/>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t="s">
        <v>439</v>
      </c>
      <c r="BG53" s="75"/>
      <c r="BH53" s="75"/>
      <c r="BI53" s="75" t="s">
        <v>439</v>
      </c>
      <c r="BJ53" s="75"/>
      <c r="BK53" s="75"/>
      <c r="BL53" s="75" t="s">
        <v>439</v>
      </c>
      <c r="BM53" s="75"/>
    </row>
    <row r="54" spans="1:65" ht="12.75" customHeight="1" x14ac:dyDescent="0.2">
      <c r="A54" s="38"/>
      <c r="B54" s="38"/>
      <c r="C54" s="75"/>
      <c r="D54" s="75"/>
      <c r="E54" s="75"/>
      <c r="F54" s="75"/>
      <c r="G54" s="75"/>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t="s">
        <v>439</v>
      </c>
      <c r="BG54" s="75"/>
      <c r="BH54" s="75"/>
      <c r="BI54" s="75" t="s">
        <v>439</v>
      </c>
      <c r="BJ54" s="75"/>
      <c r="BK54" s="75"/>
      <c r="BL54" s="75" t="s">
        <v>439</v>
      </c>
      <c r="BM54" s="75"/>
    </row>
    <row r="55" spans="1:65" ht="12.75" customHeight="1" x14ac:dyDescent="0.2">
      <c r="A55" s="38"/>
      <c r="B55" s="38"/>
      <c r="C55" s="75"/>
      <c r="D55" s="75"/>
      <c r="E55" s="75"/>
      <c r="F55" s="75"/>
      <c r="G55" s="75"/>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t="s">
        <v>439</v>
      </c>
      <c r="BG55" s="75"/>
      <c r="BH55" s="75"/>
      <c r="BI55" s="75" t="s">
        <v>439</v>
      </c>
      <c r="BJ55" s="75"/>
      <c r="BK55" s="75"/>
      <c r="BL55" s="75" t="s">
        <v>439</v>
      </c>
      <c r="BM55" s="75"/>
    </row>
    <row r="56" spans="1:65" ht="12.75" customHeight="1" x14ac:dyDescent="0.2">
      <c r="A56" s="38"/>
      <c r="B56" s="38"/>
      <c r="C56" s="75"/>
      <c r="D56" s="75"/>
      <c r="E56" s="75"/>
      <c r="F56" s="75"/>
      <c r="G56" s="75"/>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t="s">
        <v>439</v>
      </c>
      <c r="BG56" s="75"/>
      <c r="BH56" s="75"/>
      <c r="BI56" s="75" t="s">
        <v>439</v>
      </c>
      <c r="BJ56" s="75"/>
      <c r="BK56" s="75"/>
      <c r="BL56" s="75" t="s">
        <v>439</v>
      </c>
      <c r="BM56" s="75"/>
    </row>
    <row r="57" spans="1:65" ht="12.75" customHeight="1" x14ac:dyDescent="0.2">
      <c r="A57" s="38"/>
      <c r="B57" s="38"/>
      <c r="C57" s="75"/>
      <c r="D57" s="75"/>
      <c r="E57" s="75"/>
      <c r="F57" s="75"/>
      <c r="G57" s="75"/>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t="s">
        <v>439</v>
      </c>
      <c r="BG57" s="75"/>
      <c r="BH57" s="75"/>
      <c r="BI57" s="75" t="s">
        <v>439</v>
      </c>
      <c r="BJ57" s="75"/>
      <c r="BK57" s="75"/>
      <c r="BL57" s="75" t="s">
        <v>439</v>
      </c>
      <c r="BM57" s="75"/>
    </row>
    <row r="58" spans="1:65" ht="12.75" customHeight="1" x14ac:dyDescent="0.2">
      <c r="A58" s="38"/>
      <c r="B58" s="38"/>
      <c r="C58" s="75"/>
      <c r="D58" s="75"/>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t="s">
        <v>439</v>
      </c>
      <c r="BG58" s="75"/>
      <c r="BH58" s="75"/>
      <c r="BI58" s="75" t="s">
        <v>439</v>
      </c>
      <c r="BJ58" s="75"/>
      <c r="BK58" s="75"/>
      <c r="BL58" s="75" t="s">
        <v>439</v>
      </c>
      <c r="BM58" s="75"/>
    </row>
    <row r="59" spans="1:65" ht="12.75" customHeight="1" x14ac:dyDescent="0.2">
      <c r="A59" s="38"/>
      <c r="B59" s="38"/>
      <c r="C59" s="75"/>
      <c r="D59" s="75"/>
      <c r="E59" s="75"/>
      <c r="F59" s="75"/>
      <c r="G59" s="75"/>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t="s">
        <v>439</v>
      </c>
      <c r="BG59" s="75"/>
      <c r="BH59" s="75"/>
      <c r="BI59" s="75" t="s">
        <v>439</v>
      </c>
      <c r="BJ59" s="75"/>
      <c r="BK59" s="75"/>
      <c r="BL59" s="75" t="s">
        <v>439</v>
      </c>
      <c r="BM59" s="75"/>
    </row>
    <row r="60" spans="1:65" ht="12.75" customHeight="1" x14ac:dyDescent="0.2">
      <c r="A60" s="38"/>
      <c r="B60" s="38"/>
      <c r="C60" s="75"/>
      <c r="D60" s="75"/>
      <c r="E60" s="75"/>
      <c r="F60" s="75"/>
      <c r="G60" s="75"/>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t="s">
        <v>439</v>
      </c>
      <c r="BG60" s="75"/>
      <c r="BH60" s="75"/>
      <c r="BI60" s="75" t="s">
        <v>439</v>
      </c>
      <c r="BJ60" s="75"/>
      <c r="BK60" s="75"/>
      <c r="BL60" s="75" t="s">
        <v>439</v>
      </c>
      <c r="BM60" s="75"/>
    </row>
    <row r="61" spans="1:65" ht="12.75" customHeight="1" x14ac:dyDescent="0.2">
      <c r="A61" s="38"/>
      <c r="B61" s="38"/>
      <c r="C61" s="75"/>
      <c r="D61" s="75"/>
      <c r="E61" s="75"/>
      <c r="F61" s="75"/>
      <c r="G61" s="75"/>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t="s">
        <v>439</v>
      </c>
      <c r="BG61" s="75"/>
      <c r="BH61" s="75"/>
      <c r="BI61" s="75" t="s">
        <v>439</v>
      </c>
      <c r="BJ61" s="75"/>
      <c r="BK61" s="75"/>
      <c r="BL61" s="75" t="s">
        <v>439</v>
      </c>
      <c r="BM61" s="75"/>
    </row>
    <row r="62" spans="1:65" ht="12.75" customHeight="1" x14ac:dyDescent="0.2">
      <c r="A62" s="38"/>
      <c r="B62" s="38"/>
      <c r="C62" s="75"/>
      <c r="D62" s="75"/>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t="s">
        <v>439</v>
      </c>
      <c r="BG62" s="75"/>
      <c r="BH62" s="75"/>
      <c r="BI62" s="75" t="s">
        <v>439</v>
      </c>
      <c r="BJ62" s="75"/>
      <c r="BK62" s="75"/>
      <c r="BL62" s="75" t="s">
        <v>439</v>
      </c>
      <c r="BM62" s="75"/>
    </row>
    <row r="63" spans="1:65" ht="12.75" customHeight="1" x14ac:dyDescent="0.2">
      <c r="A63" s="38"/>
      <c r="B63" s="38"/>
      <c r="C63" s="75"/>
      <c r="D63" s="75"/>
      <c r="E63" s="75"/>
      <c r="F63" s="75"/>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t="s">
        <v>439</v>
      </c>
      <c r="BG63" s="75"/>
      <c r="BH63" s="75"/>
      <c r="BI63" s="75" t="s">
        <v>439</v>
      </c>
      <c r="BJ63" s="75"/>
      <c r="BK63" s="75"/>
      <c r="BL63" s="75" t="s">
        <v>439</v>
      </c>
      <c r="BM63" s="75"/>
    </row>
    <row r="64" spans="1:65" ht="12.75" customHeight="1" x14ac:dyDescent="0.2">
      <c r="A64" s="38"/>
      <c r="B64" s="38"/>
      <c r="C64" s="75"/>
      <c r="D64" s="75"/>
      <c r="E64" s="75"/>
      <c r="F64" s="75"/>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t="s">
        <v>439</v>
      </c>
      <c r="BG64" s="75"/>
      <c r="BH64" s="75"/>
      <c r="BI64" s="75" t="s">
        <v>439</v>
      </c>
      <c r="BJ64" s="75"/>
      <c r="BK64" s="75"/>
      <c r="BL64" s="75" t="s">
        <v>439</v>
      </c>
      <c r="BM64" s="75"/>
    </row>
    <row r="65" spans="1:65" ht="12.75" customHeight="1" x14ac:dyDescent="0.2">
      <c r="A65" s="38"/>
      <c r="B65" s="38"/>
      <c r="C65" s="75"/>
      <c r="D65" s="75"/>
      <c r="E65" s="75"/>
      <c r="F65" s="75"/>
      <c r="G65" s="75"/>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t="s">
        <v>439</v>
      </c>
      <c r="BG65" s="75"/>
      <c r="BH65" s="75"/>
      <c r="BI65" s="75" t="s">
        <v>439</v>
      </c>
      <c r="BJ65" s="75"/>
      <c r="BK65" s="75"/>
      <c r="BL65" s="75" t="s">
        <v>439</v>
      </c>
      <c r="BM65" s="75"/>
    </row>
    <row r="66" spans="1:65" ht="12.75" customHeight="1" x14ac:dyDescent="0.2">
      <c r="A66" s="38"/>
      <c r="B66" s="38"/>
      <c r="C66" s="75"/>
      <c r="D66" s="75"/>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t="s">
        <v>439</v>
      </c>
      <c r="BG66" s="75"/>
      <c r="BH66" s="75"/>
      <c r="BI66" s="75" t="s">
        <v>439</v>
      </c>
      <c r="BJ66" s="75"/>
      <c r="BK66" s="75"/>
      <c r="BL66" s="75" t="s">
        <v>439</v>
      </c>
      <c r="BM66" s="75"/>
    </row>
    <row r="67" spans="1:65" ht="12.75" customHeight="1" x14ac:dyDescent="0.2">
      <c r="A67" s="38"/>
      <c r="B67" s="38"/>
      <c r="C67" s="75"/>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t="s">
        <v>439</v>
      </c>
      <c r="BG67" s="75"/>
      <c r="BH67" s="75"/>
      <c r="BI67" s="75" t="s">
        <v>439</v>
      </c>
      <c r="BJ67" s="75"/>
      <c r="BK67" s="75"/>
      <c r="BL67" s="75" t="s">
        <v>439</v>
      </c>
      <c r="BM67" s="75"/>
    </row>
    <row r="68" spans="1:65" ht="12.75" customHeight="1" x14ac:dyDescent="0.2">
      <c r="A68" s="38"/>
      <c r="B68" s="38"/>
      <c r="C68" s="75"/>
      <c r="D68" s="75"/>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t="s">
        <v>439</v>
      </c>
      <c r="BG68" s="75"/>
      <c r="BH68" s="75"/>
      <c r="BI68" s="75" t="s">
        <v>439</v>
      </c>
      <c r="BJ68" s="75"/>
      <c r="BK68" s="75"/>
      <c r="BL68" s="75" t="s">
        <v>439</v>
      </c>
      <c r="BM68" s="75"/>
    </row>
    <row r="69" spans="1:65" ht="12.75" customHeight="1" x14ac:dyDescent="0.2">
      <c r="A69" s="38"/>
      <c r="B69" s="38"/>
      <c r="C69" s="75"/>
      <c r="D69" s="75"/>
      <c r="E69" s="75"/>
      <c r="F69" s="75"/>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t="s">
        <v>439</v>
      </c>
      <c r="BG69" s="75"/>
      <c r="BH69" s="75"/>
      <c r="BI69" s="75" t="s">
        <v>439</v>
      </c>
      <c r="BJ69" s="75"/>
      <c r="BK69" s="75"/>
      <c r="BL69" s="75" t="s">
        <v>439</v>
      </c>
      <c r="BM69" s="75"/>
    </row>
    <row r="70" spans="1:65" ht="12.75" customHeight="1" x14ac:dyDescent="0.2">
      <c r="A70" s="38"/>
      <c r="B70" s="38"/>
      <c r="C70" s="75"/>
      <c r="D70" s="75"/>
      <c r="E70" s="75"/>
      <c r="F70" s="75"/>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t="s">
        <v>439</v>
      </c>
      <c r="BG70" s="75"/>
      <c r="BH70" s="75"/>
      <c r="BI70" s="75" t="s">
        <v>439</v>
      </c>
      <c r="BJ70" s="75"/>
      <c r="BK70" s="75"/>
      <c r="BL70" s="75" t="s">
        <v>439</v>
      </c>
      <c r="BM70" s="75"/>
    </row>
    <row r="71" spans="1:65" ht="12.75" customHeight="1" x14ac:dyDescent="0.2">
      <c r="A71" s="38"/>
      <c r="B71" s="38"/>
      <c r="C71" s="75"/>
      <c r="D71" s="75"/>
      <c r="E71" s="75"/>
      <c r="F71" s="75"/>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t="s">
        <v>439</v>
      </c>
      <c r="BG71" s="75"/>
      <c r="BH71" s="75"/>
      <c r="BI71" s="75" t="s">
        <v>439</v>
      </c>
      <c r="BJ71" s="75"/>
      <c r="BK71" s="75"/>
      <c r="BL71" s="75" t="s">
        <v>439</v>
      </c>
      <c r="BM71" s="75"/>
    </row>
    <row r="72" spans="1:65" ht="12.75" customHeight="1" x14ac:dyDescent="0.2">
      <c r="A72" s="38"/>
      <c r="B72" s="38"/>
      <c r="C72" s="75"/>
      <c r="D72" s="75"/>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t="s">
        <v>439</v>
      </c>
      <c r="BG72" s="75"/>
      <c r="BH72" s="75"/>
      <c r="BI72" s="75" t="s">
        <v>439</v>
      </c>
      <c r="BJ72" s="75"/>
      <c r="BK72" s="75"/>
      <c r="BL72" s="75" t="s">
        <v>439</v>
      </c>
      <c r="BM72" s="75"/>
    </row>
    <row r="73" spans="1:65" ht="12.75" customHeight="1" x14ac:dyDescent="0.2">
      <c r="A73" s="38"/>
      <c r="B73" s="38"/>
      <c r="C73" s="75"/>
      <c r="D73" s="75"/>
      <c r="E73" s="75"/>
      <c r="F73" s="75"/>
      <c r="G73" s="75"/>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t="s">
        <v>439</v>
      </c>
      <c r="BG73" s="75"/>
      <c r="BH73" s="75"/>
      <c r="BI73" s="75" t="s">
        <v>439</v>
      </c>
      <c r="BJ73" s="75"/>
      <c r="BK73" s="75"/>
      <c r="BL73" s="75" t="s">
        <v>439</v>
      </c>
      <c r="BM73" s="75"/>
    </row>
    <row r="74" spans="1:65" ht="12.75" customHeight="1" x14ac:dyDescent="0.2">
      <c r="A74" s="38"/>
      <c r="B74" s="38"/>
      <c r="C74" s="75"/>
      <c r="D74" s="75"/>
      <c r="E74" s="75"/>
      <c r="F74" s="75"/>
      <c r="G74" s="75"/>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t="s">
        <v>439</v>
      </c>
      <c r="BG74" s="75"/>
      <c r="BH74" s="75"/>
      <c r="BI74" s="75" t="s">
        <v>439</v>
      </c>
      <c r="BJ74" s="75"/>
      <c r="BK74" s="75"/>
      <c r="BL74" s="75" t="s">
        <v>439</v>
      </c>
      <c r="BM74" s="75"/>
    </row>
    <row r="75" spans="1:65" ht="12.75" customHeight="1" x14ac:dyDescent="0.2">
      <c r="A75" s="38"/>
      <c r="B75" s="38"/>
      <c r="C75" s="75"/>
      <c r="D75" s="75"/>
      <c r="E75" s="75"/>
      <c r="F75" s="75"/>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t="s">
        <v>439</v>
      </c>
      <c r="BG75" s="75"/>
      <c r="BH75" s="75"/>
      <c r="BI75" s="75" t="s">
        <v>439</v>
      </c>
      <c r="BJ75" s="75"/>
      <c r="BK75" s="75"/>
      <c r="BL75" s="75" t="s">
        <v>439</v>
      </c>
      <c r="BM75" s="75"/>
    </row>
    <row r="76" spans="1:65" ht="12.75" customHeight="1" x14ac:dyDescent="0.2">
      <c r="A76" s="38"/>
      <c r="B76" s="38"/>
      <c r="C76" s="75"/>
      <c r="D76" s="75"/>
      <c r="E76" s="75"/>
      <c r="F76" s="75"/>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t="s">
        <v>439</v>
      </c>
      <c r="BG76" s="75"/>
      <c r="BH76" s="75"/>
      <c r="BI76" s="75" t="s">
        <v>439</v>
      </c>
      <c r="BJ76" s="75"/>
      <c r="BK76" s="75"/>
      <c r="BL76" s="75" t="s">
        <v>439</v>
      </c>
      <c r="BM76" s="75"/>
    </row>
    <row r="77" spans="1:65" ht="12.75" customHeight="1" x14ac:dyDescent="0.2">
      <c r="A77" s="38"/>
      <c r="B77" s="38"/>
      <c r="C77" s="75"/>
      <c r="D77" s="75"/>
      <c r="E77" s="75"/>
      <c r="F77" s="75"/>
      <c r="G77" s="75"/>
      <c r="H77" s="75"/>
      <c r="I77" s="75"/>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t="s">
        <v>439</v>
      </c>
      <c r="BG77" s="75"/>
      <c r="BH77" s="75"/>
      <c r="BI77" s="75" t="s">
        <v>439</v>
      </c>
      <c r="BJ77" s="75"/>
      <c r="BK77" s="75"/>
      <c r="BL77" s="75" t="s">
        <v>439</v>
      </c>
      <c r="BM77" s="75"/>
    </row>
    <row r="78" spans="1:65" ht="12.75" customHeight="1" x14ac:dyDescent="0.2">
      <c r="A78" s="38"/>
      <c r="B78" s="38"/>
      <c r="C78" s="75"/>
      <c r="D78" s="75"/>
      <c r="E78" s="75"/>
      <c r="F78" s="75"/>
      <c r="G78" s="75"/>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t="s">
        <v>439</v>
      </c>
      <c r="BG78" s="75"/>
      <c r="BH78" s="75"/>
      <c r="BI78" s="75" t="s">
        <v>439</v>
      </c>
      <c r="BJ78" s="75"/>
      <c r="BK78" s="75"/>
      <c r="BL78" s="75" t="s">
        <v>439</v>
      </c>
      <c r="BM78" s="75"/>
    </row>
    <row r="79" spans="1:65" ht="12.75" customHeight="1" x14ac:dyDescent="0.2">
      <c r="A79" s="38"/>
      <c r="B79" s="38"/>
      <c r="C79" s="75"/>
      <c r="D79" s="75"/>
      <c r="E79" s="75"/>
      <c r="F79" s="75"/>
      <c r="G79" s="75"/>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t="s">
        <v>439</v>
      </c>
      <c r="BG79" s="75"/>
      <c r="BH79" s="75"/>
      <c r="BI79" s="75" t="s">
        <v>439</v>
      </c>
      <c r="BJ79" s="75"/>
      <c r="BK79" s="75"/>
      <c r="BL79" s="75" t="s">
        <v>439</v>
      </c>
      <c r="BM79" s="75"/>
    </row>
    <row r="80" spans="1:65" ht="12.75" customHeight="1" x14ac:dyDescent="0.2">
      <c r="A80" s="38"/>
      <c r="B80" s="38"/>
      <c r="C80" s="75"/>
      <c r="D80" s="75"/>
      <c r="E80" s="75"/>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t="s">
        <v>439</v>
      </c>
      <c r="BG80" s="75"/>
      <c r="BH80" s="75"/>
      <c r="BI80" s="75" t="s">
        <v>439</v>
      </c>
      <c r="BJ80" s="75"/>
      <c r="BK80" s="75"/>
      <c r="BL80" s="75" t="s">
        <v>439</v>
      </c>
      <c r="BM80" s="75"/>
    </row>
    <row r="81" spans="1:65" ht="12.75" customHeight="1" x14ac:dyDescent="0.2">
      <c r="A81" s="38"/>
      <c r="B81" s="38"/>
      <c r="C81" s="75"/>
      <c r="D81" s="75"/>
      <c r="E81" s="75"/>
      <c r="F81" s="75"/>
      <c r="G81" s="75"/>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t="s">
        <v>439</v>
      </c>
      <c r="BG81" s="75"/>
      <c r="BH81" s="75"/>
      <c r="BI81" s="75" t="s">
        <v>439</v>
      </c>
      <c r="BJ81" s="75"/>
      <c r="BK81" s="75"/>
      <c r="BL81" s="75" t="s">
        <v>439</v>
      </c>
      <c r="BM81" s="75"/>
    </row>
    <row r="82" spans="1:65" ht="12.75" customHeight="1" x14ac:dyDescent="0.2">
      <c r="A82" s="38"/>
      <c r="B82" s="38"/>
      <c r="C82" s="75"/>
      <c r="D82" s="75"/>
      <c r="E82" s="75"/>
      <c r="F82" s="75"/>
      <c r="G82" s="75"/>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t="s">
        <v>439</v>
      </c>
      <c r="BG82" s="75"/>
      <c r="BH82" s="75"/>
      <c r="BI82" s="75" t="s">
        <v>439</v>
      </c>
      <c r="BJ82" s="75"/>
      <c r="BK82" s="75"/>
      <c r="BL82" s="75" t="s">
        <v>439</v>
      </c>
      <c r="BM82" s="75"/>
    </row>
    <row r="83" spans="1:65" ht="12.75" customHeight="1" x14ac:dyDescent="0.2">
      <c r="A83" s="38"/>
      <c r="B83" s="38"/>
      <c r="C83" s="75"/>
      <c r="D83" s="75"/>
      <c r="E83" s="75"/>
      <c r="F83" s="75"/>
      <c r="G83" s="75"/>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t="s">
        <v>439</v>
      </c>
      <c r="BG83" s="75"/>
      <c r="BH83" s="75"/>
      <c r="BI83" s="75" t="s">
        <v>439</v>
      </c>
      <c r="BJ83" s="75"/>
      <c r="BK83" s="75"/>
      <c r="BL83" s="75" t="s">
        <v>439</v>
      </c>
      <c r="BM83" s="75"/>
    </row>
    <row r="84" spans="1:65" ht="12.75" customHeight="1" x14ac:dyDescent="0.2">
      <c r="A84" s="38"/>
      <c r="B84" s="38"/>
      <c r="C84" s="75"/>
      <c r="D84" s="75"/>
      <c r="E84" s="75"/>
      <c r="F84" s="75"/>
      <c r="G84" s="75"/>
      <c r="H84" s="75"/>
      <c r="I84" s="75"/>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t="s">
        <v>439</v>
      </c>
      <c r="BG84" s="75"/>
      <c r="BH84" s="75"/>
      <c r="BI84" s="75" t="s">
        <v>439</v>
      </c>
      <c r="BJ84" s="75"/>
      <c r="BK84" s="75"/>
      <c r="BL84" s="75" t="s">
        <v>439</v>
      </c>
      <c r="BM84" s="75"/>
    </row>
    <row r="85" spans="1:65" ht="12.75" customHeight="1" x14ac:dyDescent="0.2">
      <c r="A85" s="38"/>
      <c r="B85" s="38"/>
      <c r="C85" s="75"/>
      <c r="D85" s="75"/>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t="s">
        <v>439</v>
      </c>
      <c r="BG85" s="75"/>
      <c r="BH85" s="75"/>
      <c r="BI85" s="75" t="s">
        <v>439</v>
      </c>
      <c r="BJ85" s="75"/>
      <c r="BK85" s="75"/>
      <c r="BL85" s="75" t="s">
        <v>439</v>
      </c>
      <c r="BM85" s="75"/>
    </row>
    <row r="86" spans="1:65" ht="12.75" customHeight="1" x14ac:dyDescent="0.2">
      <c r="A86" s="38"/>
      <c r="B86" s="38"/>
      <c r="C86" s="75"/>
      <c r="D86" s="75"/>
      <c r="E86" s="75"/>
      <c r="F86" s="75"/>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t="s">
        <v>439</v>
      </c>
      <c r="BG86" s="75"/>
      <c r="BH86" s="75"/>
      <c r="BI86" s="75" t="s">
        <v>439</v>
      </c>
      <c r="BJ86" s="75"/>
      <c r="BK86" s="75"/>
      <c r="BL86" s="75" t="s">
        <v>439</v>
      </c>
      <c r="BM86" s="75"/>
    </row>
    <row r="87" spans="1:65" ht="12.75" customHeight="1" x14ac:dyDescent="0.2">
      <c r="A87" s="38"/>
      <c r="B87" s="38"/>
      <c r="C87" s="75"/>
      <c r="D87" s="75"/>
      <c r="E87" s="75"/>
      <c r="F87" s="75"/>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t="s">
        <v>439</v>
      </c>
      <c r="BG87" s="75"/>
      <c r="BH87" s="75"/>
      <c r="BI87" s="75" t="s">
        <v>439</v>
      </c>
      <c r="BJ87" s="75"/>
      <c r="BK87" s="75"/>
      <c r="BL87" s="75" t="s">
        <v>439</v>
      </c>
      <c r="BM87" s="75"/>
    </row>
    <row r="88" spans="1:65" ht="12.75" customHeight="1" x14ac:dyDescent="0.2">
      <c r="A88" s="38"/>
      <c r="B88" s="38"/>
      <c r="C88" s="75"/>
      <c r="D88" s="75"/>
      <c r="E88" s="75"/>
      <c r="F88" s="75"/>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t="s">
        <v>439</v>
      </c>
      <c r="BG88" s="75"/>
      <c r="BH88" s="75"/>
      <c r="BI88" s="75" t="s">
        <v>439</v>
      </c>
      <c r="BJ88" s="75"/>
      <c r="BK88" s="75"/>
      <c r="BL88" s="75" t="s">
        <v>439</v>
      </c>
      <c r="BM88" s="75"/>
    </row>
    <row r="89" spans="1:65" ht="12.75" customHeight="1" x14ac:dyDescent="0.2">
      <c r="A89" s="38"/>
      <c r="B89" s="38"/>
      <c r="C89" s="75"/>
      <c r="D89" s="75"/>
      <c r="E89" s="75"/>
      <c r="F89" s="75"/>
      <c r="G89" s="75"/>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t="s">
        <v>439</v>
      </c>
      <c r="BG89" s="75"/>
      <c r="BH89" s="75"/>
      <c r="BI89" s="75" t="s">
        <v>439</v>
      </c>
      <c r="BJ89" s="75"/>
      <c r="BK89" s="75"/>
      <c r="BL89" s="75" t="s">
        <v>439</v>
      </c>
      <c r="BM89" s="75"/>
    </row>
    <row r="90" spans="1:65" ht="12.75" customHeight="1" x14ac:dyDescent="0.2">
      <c r="A90" s="38"/>
      <c r="B90" s="38"/>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t="s">
        <v>439</v>
      </c>
      <c r="BG90" s="75"/>
      <c r="BH90" s="75"/>
      <c r="BI90" s="75" t="s">
        <v>439</v>
      </c>
      <c r="BJ90" s="75"/>
      <c r="BK90" s="75"/>
      <c r="BL90" s="75" t="s">
        <v>439</v>
      </c>
      <c r="BM90" s="75"/>
    </row>
    <row r="91" spans="1:65" ht="12.75" customHeight="1" x14ac:dyDescent="0.2">
      <c r="A91" s="38"/>
      <c r="B91" s="38"/>
      <c r="C91" s="75"/>
      <c r="D91" s="75"/>
      <c r="E91" s="75"/>
      <c r="F91" s="75"/>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t="s">
        <v>439</v>
      </c>
      <c r="BG91" s="75"/>
      <c r="BH91" s="75"/>
      <c r="BI91" s="75" t="s">
        <v>439</v>
      </c>
      <c r="BJ91" s="75"/>
      <c r="BK91" s="75"/>
      <c r="BL91" s="75" t="s">
        <v>439</v>
      </c>
      <c r="BM91" s="75"/>
    </row>
    <row r="92" spans="1:65" ht="12.75" customHeight="1" x14ac:dyDescent="0.2">
      <c r="A92" s="38"/>
      <c r="B92" s="38"/>
      <c r="C92" s="75"/>
      <c r="D92" s="75"/>
      <c r="E92" s="75"/>
      <c r="F92" s="75"/>
      <c r="G92" s="75"/>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t="s">
        <v>439</v>
      </c>
      <c r="BG92" s="75"/>
      <c r="BH92" s="75"/>
      <c r="BI92" s="75" t="s">
        <v>439</v>
      </c>
      <c r="BJ92" s="75"/>
      <c r="BK92" s="75"/>
      <c r="BL92" s="75" t="s">
        <v>439</v>
      </c>
      <c r="BM92" s="75"/>
    </row>
    <row r="93" spans="1:65" ht="12.75" customHeight="1" x14ac:dyDescent="0.2">
      <c r="A93" s="38"/>
      <c r="B93" s="38"/>
      <c r="C93" s="75"/>
      <c r="D93" s="75"/>
      <c r="E93" s="75"/>
      <c r="F93" s="75"/>
      <c r="G93" s="75"/>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t="s">
        <v>439</v>
      </c>
      <c r="BG93" s="75"/>
      <c r="BH93" s="75"/>
      <c r="BI93" s="75" t="s">
        <v>439</v>
      </c>
      <c r="BJ93" s="75"/>
      <c r="BK93" s="75"/>
      <c r="BL93" s="75" t="s">
        <v>439</v>
      </c>
      <c r="BM93" s="75"/>
    </row>
    <row r="94" spans="1:65" ht="12.75" customHeight="1" x14ac:dyDescent="0.2">
      <c r="A94" s="38"/>
      <c r="B94" s="38"/>
      <c r="C94" s="75"/>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t="s">
        <v>439</v>
      </c>
      <c r="BG94" s="75"/>
      <c r="BH94" s="75"/>
      <c r="BI94" s="75" t="s">
        <v>439</v>
      </c>
      <c r="BJ94" s="75"/>
      <c r="BK94" s="75"/>
      <c r="BL94" s="75" t="s">
        <v>439</v>
      </c>
      <c r="BM94" s="75"/>
    </row>
    <row r="95" spans="1:65" ht="12.75" customHeight="1" x14ac:dyDescent="0.2">
      <c r="A95" s="38"/>
      <c r="B95" s="38"/>
      <c r="C95" s="75"/>
      <c r="D95" s="75"/>
      <c r="E95" s="75"/>
      <c r="F95" s="75"/>
      <c r="G95" s="75"/>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t="s">
        <v>439</v>
      </c>
      <c r="BG95" s="75"/>
      <c r="BH95" s="75"/>
      <c r="BI95" s="75" t="s">
        <v>439</v>
      </c>
      <c r="BJ95" s="75"/>
      <c r="BK95" s="75"/>
      <c r="BL95" s="75" t="s">
        <v>439</v>
      </c>
      <c r="BM95" s="75"/>
    </row>
    <row r="96" spans="1:65" ht="12.75" customHeight="1" x14ac:dyDescent="0.2">
      <c r="A96" s="38"/>
      <c r="B96" s="38"/>
      <c r="C96" s="75"/>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t="s">
        <v>439</v>
      </c>
      <c r="BG96" s="75"/>
      <c r="BH96" s="75"/>
      <c r="BI96" s="75" t="s">
        <v>439</v>
      </c>
      <c r="BJ96" s="75"/>
      <c r="BK96" s="75"/>
      <c r="BL96" s="75" t="s">
        <v>439</v>
      </c>
      <c r="BM96" s="75"/>
    </row>
    <row r="97" spans="1:65" ht="12.75" customHeight="1" x14ac:dyDescent="0.2">
      <c r="A97" s="38"/>
      <c r="B97" s="38"/>
      <c r="C97" s="75"/>
      <c r="D97" s="75"/>
      <c r="E97" s="75"/>
      <c r="F97" s="75"/>
      <c r="G97" s="75"/>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t="s">
        <v>439</v>
      </c>
      <c r="BG97" s="75"/>
      <c r="BH97" s="75"/>
      <c r="BI97" s="75" t="s">
        <v>439</v>
      </c>
      <c r="BJ97" s="75"/>
      <c r="BK97" s="75"/>
      <c r="BL97" s="75" t="s">
        <v>439</v>
      </c>
      <c r="BM97" s="75"/>
    </row>
    <row r="98" spans="1:65" ht="12.75" customHeight="1" x14ac:dyDescent="0.2">
      <c r="A98" s="38"/>
      <c r="B98" s="38"/>
      <c r="C98" s="75"/>
      <c r="D98" s="75"/>
      <c r="E98" s="75"/>
      <c r="F98" s="75"/>
      <c r="G98" s="75"/>
      <c r="H98" s="75"/>
      <c r="I98" s="75"/>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t="s">
        <v>439</v>
      </c>
      <c r="BG98" s="75"/>
      <c r="BH98" s="75"/>
      <c r="BI98" s="75" t="s">
        <v>439</v>
      </c>
      <c r="BJ98" s="75"/>
      <c r="BK98" s="75"/>
      <c r="BL98" s="75" t="s">
        <v>439</v>
      </c>
      <c r="BM98" s="75"/>
    </row>
    <row r="99" spans="1:65" ht="12.75" customHeight="1" x14ac:dyDescent="0.2">
      <c r="A99" s="38"/>
      <c r="B99" s="38"/>
      <c r="C99" s="75"/>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t="s">
        <v>439</v>
      </c>
      <c r="BG99" s="75"/>
      <c r="BH99" s="75"/>
      <c r="BI99" s="75" t="s">
        <v>439</v>
      </c>
      <c r="BJ99" s="75"/>
      <c r="BK99" s="75"/>
      <c r="BL99" s="75" t="s">
        <v>439</v>
      </c>
      <c r="BM99" s="75"/>
    </row>
    <row r="100" spans="1:65" ht="12.75" customHeight="1" x14ac:dyDescent="0.2">
      <c r="A100" s="38"/>
      <c r="B100" s="38"/>
      <c r="C100" s="75"/>
      <c r="D100" s="75"/>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t="s">
        <v>439</v>
      </c>
      <c r="BG100" s="75"/>
      <c r="BH100" s="75"/>
      <c r="BI100" s="75" t="s">
        <v>439</v>
      </c>
      <c r="BJ100" s="75"/>
      <c r="BK100" s="75"/>
      <c r="BL100" s="75" t="s">
        <v>439</v>
      </c>
      <c r="BM100" s="75"/>
    </row>
    <row r="101" spans="1:65" ht="12.75" customHeight="1" x14ac:dyDescent="0.2">
      <c r="A101" s="38"/>
      <c r="B101" s="38"/>
      <c r="C101" s="75"/>
      <c r="D101" s="75"/>
      <c r="E101" s="75"/>
      <c r="F101" s="75"/>
      <c r="G101" s="75"/>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t="s">
        <v>439</v>
      </c>
      <c r="BG101" s="75"/>
      <c r="BH101" s="75"/>
      <c r="BI101" s="75" t="s">
        <v>439</v>
      </c>
      <c r="BJ101" s="75"/>
      <c r="BK101" s="75"/>
      <c r="BL101" s="75" t="s">
        <v>439</v>
      </c>
      <c r="BM101" s="75"/>
    </row>
    <row r="102" spans="1:65" ht="12.75" customHeight="1" x14ac:dyDescent="0.2">
      <c r="A102" s="38"/>
      <c r="B102" s="38"/>
      <c r="C102" s="75"/>
      <c r="D102" s="75"/>
      <c r="E102" s="75"/>
      <c r="F102" s="75"/>
      <c r="G102" s="75"/>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t="s">
        <v>439</v>
      </c>
      <c r="BG102" s="75"/>
      <c r="BH102" s="75"/>
      <c r="BI102" s="75" t="s">
        <v>439</v>
      </c>
      <c r="BJ102" s="75"/>
      <c r="BK102" s="75"/>
      <c r="BL102" s="75" t="s">
        <v>439</v>
      </c>
      <c r="BM102" s="75"/>
    </row>
    <row r="103" spans="1:65" ht="12.75" customHeight="1" x14ac:dyDescent="0.2">
      <c r="A103" s="38"/>
      <c r="B103" s="38"/>
      <c r="C103" s="75"/>
      <c r="D103" s="75"/>
      <c r="E103" s="75"/>
      <c r="F103" s="75"/>
      <c r="G103" s="75"/>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t="s">
        <v>439</v>
      </c>
      <c r="BG103" s="75"/>
      <c r="BH103" s="75"/>
      <c r="BI103" s="75" t="s">
        <v>439</v>
      </c>
      <c r="BJ103" s="75"/>
      <c r="BK103" s="75"/>
      <c r="BL103" s="75" t="s">
        <v>439</v>
      </c>
      <c r="BM103" s="75"/>
    </row>
    <row r="104" spans="1:65" ht="12.75" customHeight="1" x14ac:dyDescent="0.2">
      <c r="A104" s="38"/>
      <c r="B104" s="38"/>
      <c r="C104" s="75"/>
      <c r="D104" s="75"/>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t="s">
        <v>439</v>
      </c>
      <c r="BG104" s="75"/>
      <c r="BH104" s="75"/>
      <c r="BI104" s="75" t="s">
        <v>439</v>
      </c>
      <c r="BJ104" s="75"/>
      <c r="BK104" s="75"/>
      <c r="BL104" s="75" t="s">
        <v>439</v>
      </c>
      <c r="BM104" s="75"/>
    </row>
    <row r="105" spans="1:65" ht="12.75" customHeight="1" x14ac:dyDescent="0.2">
      <c r="A105" s="38"/>
      <c r="B105" s="38"/>
      <c r="C105" s="75"/>
      <c r="D105" s="75"/>
      <c r="E105" s="75"/>
      <c r="F105" s="75"/>
      <c r="G105" s="75"/>
      <c r="H105" s="75"/>
      <c r="I105" s="75"/>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t="s">
        <v>439</v>
      </c>
      <c r="BG105" s="75"/>
      <c r="BH105" s="75"/>
      <c r="BI105" s="75" t="s">
        <v>439</v>
      </c>
      <c r="BJ105" s="75"/>
      <c r="BK105" s="75"/>
      <c r="BL105" s="75" t="s">
        <v>439</v>
      </c>
      <c r="BM105" s="75"/>
    </row>
    <row r="106" spans="1:65" ht="12.75" customHeight="1" x14ac:dyDescent="0.2">
      <c r="A106" s="38"/>
      <c r="B106" s="38"/>
      <c r="C106" s="75"/>
      <c r="D106" s="75"/>
      <c r="E106" s="75"/>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t="s">
        <v>439</v>
      </c>
      <c r="BG106" s="75"/>
      <c r="BH106" s="75"/>
      <c r="BI106" s="75" t="s">
        <v>439</v>
      </c>
      <c r="BJ106" s="75"/>
      <c r="BK106" s="75"/>
      <c r="BL106" s="75" t="s">
        <v>439</v>
      </c>
      <c r="BM106" s="75"/>
    </row>
    <row r="107" spans="1:65" ht="12.75" customHeight="1" x14ac:dyDescent="0.2">
      <c r="A107" s="38"/>
      <c r="B107" s="38"/>
      <c r="C107" s="75"/>
      <c r="D107" s="75"/>
      <c r="E107" s="75"/>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t="s">
        <v>439</v>
      </c>
      <c r="BG107" s="75"/>
      <c r="BH107" s="75"/>
      <c r="BI107" s="75" t="s">
        <v>439</v>
      </c>
      <c r="BJ107" s="75"/>
      <c r="BK107" s="75"/>
      <c r="BL107" s="75" t="s">
        <v>439</v>
      </c>
      <c r="BM107" s="75"/>
    </row>
    <row r="108" spans="1:65" ht="12.75" customHeight="1" x14ac:dyDescent="0.2">
      <c r="A108" s="38"/>
      <c r="B108" s="38"/>
      <c r="C108" s="75"/>
      <c r="D108" s="75"/>
      <c r="E108" s="75"/>
      <c r="F108" s="75"/>
      <c r="G108" s="75"/>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t="s">
        <v>439</v>
      </c>
      <c r="BG108" s="75"/>
      <c r="BH108" s="75"/>
      <c r="BI108" s="75" t="s">
        <v>439</v>
      </c>
      <c r="BJ108" s="75"/>
      <c r="BK108" s="75"/>
      <c r="BL108" s="75" t="s">
        <v>439</v>
      </c>
      <c r="BM108" s="75"/>
    </row>
    <row r="109" spans="1:65" ht="12.75" customHeight="1" x14ac:dyDescent="0.2">
      <c r="A109" s="38"/>
      <c r="B109" s="38"/>
      <c r="C109" s="75"/>
      <c r="D109" s="75"/>
      <c r="E109" s="75"/>
      <c r="F109" s="75"/>
      <c r="G109" s="75"/>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t="s">
        <v>439</v>
      </c>
      <c r="BG109" s="75"/>
      <c r="BH109" s="75"/>
      <c r="BI109" s="75" t="s">
        <v>439</v>
      </c>
      <c r="BJ109" s="75"/>
      <c r="BK109" s="75"/>
      <c r="BL109" s="75" t="s">
        <v>439</v>
      </c>
      <c r="BM109" s="75"/>
    </row>
    <row r="110" spans="1:65" ht="12.75" customHeight="1" x14ac:dyDescent="0.2">
      <c r="A110" s="38"/>
      <c r="B110" s="38"/>
      <c r="C110" s="75"/>
      <c r="D110" s="75"/>
      <c r="E110" s="75"/>
      <c r="F110" s="75"/>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t="s">
        <v>439</v>
      </c>
      <c r="BG110" s="75"/>
      <c r="BH110" s="75"/>
      <c r="BI110" s="75" t="s">
        <v>439</v>
      </c>
      <c r="BJ110" s="75"/>
      <c r="BK110" s="75"/>
      <c r="BL110" s="75" t="s">
        <v>439</v>
      </c>
      <c r="BM110" s="75"/>
    </row>
    <row r="111" spans="1:65" ht="12.75" customHeight="1" x14ac:dyDescent="0.2">
      <c r="A111" s="38"/>
      <c r="B111" s="38"/>
      <c r="C111" s="75"/>
      <c r="D111" s="75"/>
      <c r="E111" s="75"/>
      <c r="F111" s="75"/>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t="s">
        <v>439</v>
      </c>
      <c r="BG111" s="75"/>
      <c r="BH111" s="75"/>
      <c r="BI111" s="75" t="s">
        <v>439</v>
      </c>
      <c r="BJ111" s="75"/>
      <c r="BK111" s="75"/>
      <c r="BL111" s="75" t="s">
        <v>439</v>
      </c>
      <c r="BM111" s="75"/>
    </row>
    <row r="112" spans="1:65" ht="12.75" customHeight="1" x14ac:dyDescent="0.2">
      <c r="A112" s="38"/>
      <c r="B112" s="38"/>
      <c r="C112" s="75"/>
      <c r="D112" s="75"/>
      <c r="E112" s="75"/>
      <c r="F112" s="75"/>
      <c r="G112" s="75"/>
      <c r="H112" s="75"/>
      <c r="I112" s="75"/>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t="s">
        <v>439</v>
      </c>
      <c r="BG112" s="75"/>
      <c r="BH112" s="75"/>
      <c r="BI112" s="75" t="s">
        <v>439</v>
      </c>
      <c r="BJ112" s="75"/>
      <c r="BK112" s="75"/>
      <c r="BL112" s="75" t="s">
        <v>439</v>
      </c>
      <c r="BM112" s="75"/>
    </row>
    <row r="113" spans="1:65" ht="12.75" customHeight="1" x14ac:dyDescent="0.2">
      <c r="A113" s="38"/>
      <c r="B113" s="38"/>
      <c r="C113" s="75"/>
      <c r="D113" s="75"/>
      <c r="E113" s="75"/>
      <c r="F113" s="75"/>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t="s">
        <v>439</v>
      </c>
      <c r="BG113" s="75"/>
      <c r="BH113" s="75"/>
      <c r="BI113" s="75" t="s">
        <v>439</v>
      </c>
      <c r="BJ113" s="75"/>
      <c r="BK113" s="75"/>
      <c r="BL113" s="75" t="s">
        <v>439</v>
      </c>
      <c r="BM113" s="75"/>
    </row>
    <row r="114" spans="1:65" ht="12.75" customHeight="1" x14ac:dyDescent="0.2">
      <c r="A114" s="38"/>
      <c r="B114" s="38"/>
      <c r="C114" s="75"/>
      <c r="D114" s="75"/>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t="s">
        <v>439</v>
      </c>
      <c r="BG114" s="75"/>
      <c r="BH114" s="75"/>
      <c r="BI114" s="75" t="s">
        <v>439</v>
      </c>
      <c r="BJ114" s="75"/>
      <c r="BK114" s="75"/>
      <c r="BL114" s="75" t="s">
        <v>439</v>
      </c>
      <c r="BM114" s="75"/>
    </row>
    <row r="115" spans="1:65" ht="12.75" customHeight="1" x14ac:dyDescent="0.2">
      <c r="A115" s="38"/>
      <c r="B115" s="38"/>
      <c r="C115" s="75"/>
      <c r="D115" s="75"/>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t="s">
        <v>439</v>
      </c>
      <c r="BG115" s="75"/>
      <c r="BH115" s="75"/>
      <c r="BI115" s="75" t="s">
        <v>439</v>
      </c>
      <c r="BJ115" s="75"/>
      <c r="BK115" s="75"/>
      <c r="BL115" s="75" t="s">
        <v>439</v>
      </c>
      <c r="BM115" s="75"/>
    </row>
    <row r="116" spans="1:65" ht="12.75" customHeight="1" x14ac:dyDescent="0.2">
      <c r="A116" s="38"/>
      <c r="B116" s="38"/>
      <c r="C116" s="75"/>
      <c r="D116" s="75"/>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t="s">
        <v>439</v>
      </c>
      <c r="BG116" s="75"/>
      <c r="BH116" s="75"/>
      <c r="BI116" s="75" t="s">
        <v>439</v>
      </c>
      <c r="BJ116" s="75"/>
      <c r="BK116" s="75"/>
      <c r="BL116" s="75" t="s">
        <v>439</v>
      </c>
      <c r="BM116" s="75"/>
    </row>
    <row r="117" spans="1:65" ht="12.75" customHeight="1" x14ac:dyDescent="0.2">
      <c r="A117" s="38"/>
      <c r="B117" s="38"/>
      <c r="C117" s="75"/>
      <c r="D117" s="75"/>
      <c r="E117" s="75"/>
      <c r="F117" s="75"/>
      <c r="G117" s="75"/>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t="s">
        <v>439</v>
      </c>
      <c r="BG117" s="75"/>
      <c r="BH117" s="75"/>
      <c r="BI117" s="75" t="s">
        <v>439</v>
      </c>
      <c r="BJ117" s="75"/>
      <c r="BK117" s="75"/>
      <c r="BL117" s="75" t="s">
        <v>439</v>
      </c>
      <c r="BM117" s="75"/>
    </row>
    <row r="118" spans="1:65" ht="12.75" customHeight="1" x14ac:dyDescent="0.2">
      <c r="A118" s="38"/>
      <c r="B118" s="38"/>
      <c r="C118" s="75"/>
      <c r="D118" s="75"/>
      <c r="E118" s="75"/>
      <c r="F118" s="75"/>
      <c r="G118" s="75"/>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t="s">
        <v>439</v>
      </c>
      <c r="BG118" s="75"/>
      <c r="BH118" s="75"/>
      <c r="BI118" s="75" t="s">
        <v>439</v>
      </c>
      <c r="BJ118" s="75"/>
      <c r="BK118" s="75"/>
      <c r="BL118" s="75" t="s">
        <v>439</v>
      </c>
      <c r="BM118" s="75"/>
    </row>
    <row r="119" spans="1:65" ht="12.75" customHeight="1" x14ac:dyDescent="0.2">
      <c r="A119" s="38"/>
      <c r="B119" s="38"/>
      <c r="C119" s="75"/>
      <c r="D119" s="75"/>
      <c r="E119" s="75"/>
      <c r="F119" s="75"/>
      <c r="G119" s="75"/>
      <c r="H119" s="75"/>
      <c r="I119" s="75"/>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t="s">
        <v>439</v>
      </c>
      <c r="BG119" s="75"/>
      <c r="BH119" s="75"/>
      <c r="BI119" s="75" t="s">
        <v>439</v>
      </c>
      <c r="BJ119" s="75"/>
      <c r="BK119" s="75"/>
      <c r="BL119" s="75" t="s">
        <v>439</v>
      </c>
      <c r="BM119" s="75"/>
    </row>
    <row r="120" spans="1:65" ht="12.75" customHeight="1" x14ac:dyDescent="0.2">
      <c r="A120" s="38"/>
      <c r="B120" s="38"/>
      <c r="C120" s="75"/>
      <c r="D120" s="75"/>
      <c r="E120" s="75"/>
      <c r="F120" s="75"/>
      <c r="G120" s="75"/>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t="s">
        <v>439</v>
      </c>
      <c r="BG120" s="75"/>
      <c r="BH120" s="75"/>
      <c r="BI120" s="75" t="s">
        <v>439</v>
      </c>
      <c r="BJ120" s="75"/>
      <c r="BK120" s="75"/>
      <c r="BL120" s="75" t="s">
        <v>439</v>
      </c>
      <c r="BM120" s="75"/>
    </row>
    <row r="121" spans="1:65" ht="12.75" customHeight="1" x14ac:dyDescent="0.2">
      <c r="A121" s="38"/>
      <c r="B121" s="38"/>
      <c r="C121" s="75"/>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t="s">
        <v>439</v>
      </c>
      <c r="BG121" s="75"/>
      <c r="BH121" s="75"/>
      <c r="BI121" s="75" t="s">
        <v>439</v>
      </c>
      <c r="BJ121" s="75"/>
      <c r="BK121" s="75"/>
      <c r="BL121" s="75" t="s">
        <v>439</v>
      </c>
      <c r="BM121" s="75"/>
    </row>
    <row r="122" spans="1:65" ht="12.75" customHeight="1" x14ac:dyDescent="0.2">
      <c r="A122" s="38"/>
      <c r="B122" s="38"/>
      <c r="C122" s="75"/>
      <c r="D122" s="75"/>
      <c r="E122" s="75"/>
      <c r="F122" s="75"/>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t="s">
        <v>439</v>
      </c>
      <c r="BG122" s="75"/>
      <c r="BH122" s="75"/>
      <c r="BI122" s="75" t="s">
        <v>439</v>
      </c>
      <c r="BJ122" s="75"/>
      <c r="BK122" s="75"/>
      <c r="BL122" s="75" t="s">
        <v>439</v>
      </c>
      <c r="BM122" s="75"/>
    </row>
    <row r="123" spans="1:65" ht="12.75" customHeight="1" x14ac:dyDescent="0.2">
      <c r="A123" s="38"/>
      <c r="B123" s="38"/>
      <c r="C123" s="75"/>
      <c r="D123" s="75"/>
      <c r="E123" s="75"/>
      <c r="F123" s="75"/>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t="s">
        <v>439</v>
      </c>
      <c r="BG123" s="75"/>
      <c r="BH123" s="75"/>
      <c r="BI123" s="75" t="s">
        <v>439</v>
      </c>
      <c r="BJ123" s="75"/>
      <c r="BK123" s="75"/>
      <c r="BL123" s="75" t="s">
        <v>439</v>
      </c>
      <c r="BM123" s="75"/>
    </row>
    <row r="124" spans="1:65" ht="12.75" customHeight="1" x14ac:dyDescent="0.2">
      <c r="A124" s="38"/>
      <c r="B124" s="38"/>
      <c r="C124" s="75"/>
      <c r="D124" s="75"/>
      <c r="E124" s="75"/>
      <c r="F124" s="75"/>
      <c r="G124" s="75"/>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t="s">
        <v>439</v>
      </c>
      <c r="BG124" s="75"/>
      <c r="BH124" s="75"/>
      <c r="BI124" s="75" t="s">
        <v>439</v>
      </c>
      <c r="BJ124" s="75"/>
      <c r="BK124" s="75"/>
      <c r="BL124" s="75" t="s">
        <v>439</v>
      </c>
      <c r="BM124" s="75"/>
    </row>
    <row r="125" spans="1:65" ht="12.75" customHeight="1" x14ac:dyDescent="0.2">
      <c r="A125" s="38"/>
      <c r="B125" s="38"/>
      <c r="C125" s="75"/>
      <c r="D125" s="75"/>
      <c r="E125" s="75"/>
      <c r="F125" s="75"/>
      <c r="G125" s="75"/>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t="s">
        <v>439</v>
      </c>
      <c r="BG125" s="75"/>
      <c r="BH125" s="75"/>
      <c r="BI125" s="75" t="s">
        <v>439</v>
      </c>
      <c r="BJ125" s="75"/>
      <c r="BK125" s="75"/>
      <c r="BL125" s="75" t="s">
        <v>439</v>
      </c>
      <c r="BM125" s="75"/>
    </row>
    <row r="126" spans="1:65" ht="12.75" customHeight="1" x14ac:dyDescent="0.2">
      <c r="A126" s="38"/>
      <c r="B126" s="38"/>
      <c r="C126" s="75"/>
      <c r="D126" s="75"/>
      <c r="E126" s="75"/>
      <c r="F126" s="75"/>
      <c r="G126" s="75"/>
      <c r="H126" s="75"/>
      <c r="I126" s="75"/>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t="s">
        <v>439</v>
      </c>
      <c r="BG126" s="75"/>
      <c r="BH126" s="75"/>
      <c r="BI126" s="75" t="s">
        <v>439</v>
      </c>
      <c r="BJ126" s="75"/>
      <c r="BK126" s="75"/>
      <c r="BL126" s="75" t="s">
        <v>439</v>
      </c>
      <c r="BM126" s="75"/>
    </row>
    <row r="127" spans="1:65" ht="12.75" customHeight="1" x14ac:dyDescent="0.2">
      <c r="A127" s="38"/>
      <c r="B127" s="38"/>
      <c r="C127" s="75"/>
      <c r="D127" s="75"/>
      <c r="E127" s="75"/>
      <c r="F127" s="75"/>
      <c r="G127" s="75"/>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t="s">
        <v>439</v>
      </c>
      <c r="BG127" s="75"/>
      <c r="BH127" s="75"/>
      <c r="BI127" s="75" t="s">
        <v>439</v>
      </c>
      <c r="BJ127" s="75"/>
      <c r="BK127" s="75"/>
      <c r="BL127" s="75" t="s">
        <v>439</v>
      </c>
      <c r="BM127" s="75"/>
    </row>
    <row r="128" spans="1:65" ht="12.75" customHeight="1" x14ac:dyDescent="0.2">
      <c r="A128" s="38"/>
      <c r="B128" s="38"/>
      <c r="C128" s="75"/>
      <c r="D128" s="75"/>
      <c r="E128" s="75"/>
      <c r="F128" s="75"/>
      <c r="G128" s="75"/>
      <c r="H128" s="75"/>
      <c r="I128" s="75"/>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t="s">
        <v>439</v>
      </c>
      <c r="BG128" s="75"/>
      <c r="BH128" s="75"/>
      <c r="BI128" s="75" t="s">
        <v>439</v>
      </c>
      <c r="BJ128" s="75"/>
      <c r="BK128" s="75"/>
      <c r="BL128" s="75" t="s">
        <v>439</v>
      </c>
      <c r="BM128" s="75"/>
    </row>
    <row r="129" spans="1:65" ht="12.75" customHeight="1" x14ac:dyDescent="0.2">
      <c r="A129" s="38"/>
      <c r="B129" s="38"/>
      <c r="C129" s="75"/>
      <c r="D129" s="75"/>
      <c r="E129" s="75"/>
      <c r="F129" s="75"/>
      <c r="G129" s="75"/>
      <c r="H129" s="75"/>
      <c r="I129" s="75"/>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t="s">
        <v>439</v>
      </c>
      <c r="BG129" s="75"/>
      <c r="BH129" s="75"/>
      <c r="BI129" s="75" t="s">
        <v>439</v>
      </c>
      <c r="BJ129" s="75"/>
      <c r="BK129" s="75"/>
      <c r="BL129" s="75" t="s">
        <v>439</v>
      </c>
      <c r="BM129" s="75"/>
    </row>
    <row r="130" spans="1:65" ht="12.75" customHeight="1" x14ac:dyDescent="0.2">
      <c r="A130" s="38"/>
      <c r="B130" s="38"/>
      <c r="C130" s="75"/>
      <c r="D130" s="75"/>
      <c r="E130" s="75"/>
      <c r="F130" s="75"/>
      <c r="G130" s="75"/>
      <c r="H130" s="75"/>
      <c r="I130" s="75"/>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t="s">
        <v>439</v>
      </c>
      <c r="BG130" s="75"/>
      <c r="BH130" s="75"/>
      <c r="BI130" s="75" t="s">
        <v>439</v>
      </c>
      <c r="BJ130" s="75"/>
      <c r="BK130" s="75"/>
      <c r="BL130" s="75" t="s">
        <v>439</v>
      </c>
      <c r="BM130" s="75"/>
    </row>
    <row r="131" spans="1:65" ht="12.75" customHeight="1" x14ac:dyDescent="0.2">
      <c r="A131" s="38"/>
      <c r="B131" s="38"/>
      <c r="C131" s="75"/>
      <c r="D131" s="75"/>
      <c r="E131" s="75"/>
      <c r="F131" s="75"/>
      <c r="G131" s="75"/>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t="s">
        <v>439</v>
      </c>
      <c r="BG131" s="75"/>
      <c r="BH131" s="75"/>
      <c r="BI131" s="75" t="s">
        <v>439</v>
      </c>
      <c r="BJ131" s="75"/>
      <c r="BK131" s="75"/>
      <c r="BL131" s="75" t="s">
        <v>439</v>
      </c>
      <c r="BM131" s="75"/>
    </row>
    <row r="132" spans="1:65" ht="12.75" customHeight="1" x14ac:dyDescent="0.2">
      <c r="A132" s="38"/>
      <c r="B132" s="38"/>
      <c r="C132" s="75"/>
      <c r="D132" s="75"/>
      <c r="E132" s="75"/>
      <c r="F132" s="75"/>
      <c r="G132" s="75"/>
      <c r="H132" s="75"/>
      <c r="I132" s="75"/>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t="s">
        <v>439</v>
      </c>
      <c r="BG132" s="75"/>
      <c r="BH132" s="75"/>
      <c r="BI132" s="75" t="s">
        <v>439</v>
      </c>
      <c r="BJ132" s="75"/>
      <c r="BK132" s="75"/>
      <c r="BL132" s="75" t="s">
        <v>439</v>
      </c>
      <c r="BM132" s="75"/>
    </row>
    <row r="133" spans="1:65" ht="12.75" customHeight="1" x14ac:dyDescent="0.2">
      <c r="A133" s="38"/>
      <c r="B133" s="38"/>
      <c r="C133" s="75"/>
      <c r="D133" s="75"/>
      <c r="E133" s="75"/>
      <c r="F133" s="75"/>
      <c r="G133" s="75"/>
      <c r="H133" s="75"/>
      <c r="I133" s="75"/>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t="s">
        <v>439</v>
      </c>
      <c r="BG133" s="75"/>
      <c r="BH133" s="75"/>
      <c r="BI133" s="75" t="s">
        <v>439</v>
      </c>
      <c r="BJ133" s="75"/>
      <c r="BK133" s="75"/>
      <c r="BL133" s="75" t="s">
        <v>439</v>
      </c>
      <c r="BM133" s="75"/>
    </row>
    <row r="134" spans="1:65" ht="12.75" customHeight="1" x14ac:dyDescent="0.2">
      <c r="A134" s="38"/>
      <c r="B134" s="38"/>
      <c r="C134" s="75"/>
      <c r="D134" s="75"/>
      <c r="E134" s="75"/>
      <c r="F134" s="75"/>
      <c r="G134" s="75"/>
      <c r="H134" s="75"/>
      <c r="I134" s="75"/>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t="s">
        <v>439</v>
      </c>
      <c r="BG134" s="75"/>
      <c r="BH134" s="75"/>
      <c r="BI134" s="75" t="s">
        <v>439</v>
      </c>
      <c r="BJ134" s="75"/>
      <c r="BK134" s="75"/>
      <c r="BL134" s="75" t="s">
        <v>439</v>
      </c>
      <c r="BM134" s="75"/>
    </row>
    <row r="135" spans="1:65" ht="12.75" customHeight="1" x14ac:dyDescent="0.2">
      <c r="A135" s="38"/>
      <c r="B135" s="38"/>
      <c r="C135" s="75"/>
      <c r="D135" s="75"/>
      <c r="E135" s="75"/>
      <c r="F135" s="75"/>
      <c r="G135" s="75"/>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t="s">
        <v>439</v>
      </c>
      <c r="BG135" s="75"/>
      <c r="BH135" s="75"/>
      <c r="BI135" s="75" t="s">
        <v>439</v>
      </c>
      <c r="BJ135" s="75"/>
      <c r="BK135" s="75"/>
      <c r="BL135" s="75" t="s">
        <v>439</v>
      </c>
      <c r="BM135" s="75"/>
    </row>
    <row r="136" spans="1:65" ht="12.75" customHeight="1" x14ac:dyDescent="0.2">
      <c r="A136" s="38"/>
      <c r="B136" s="38"/>
      <c r="C136" s="75"/>
      <c r="D136" s="75"/>
      <c r="E136" s="75"/>
      <c r="F136" s="75"/>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t="s">
        <v>439</v>
      </c>
      <c r="BG136" s="75"/>
      <c r="BH136" s="75"/>
      <c r="BI136" s="75" t="s">
        <v>439</v>
      </c>
      <c r="BJ136" s="75"/>
      <c r="BK136" s="75"/>
      <c r="BL136" s="75" t="s">
        <v>439</v>
      </c>
      <c r="BM136" s="75"/>
    </row>
    <row r="137" spans="1:65" ht="12.75" customHeight="1" x14ac:dyDescent="0.2">
      <c r="A137" s="38"/>
      <c r="B137" s="38"/>
      <c r="C137" s="75"/>
      <c r="D137" s="75"/>
      <c r="E137" s="75"/>
      <c r="F137" s="75"/>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t="s">
        <v>439</v>
      </c>
      <c r="BG137" s="75"/>
      <c r="BH137" s="75"/>
      <c r="BI137" s="75" t="s">
        <v>439</v>
      </c>
      <c r="BJ137" s="75"/>
      <c r="BK137" s="75"/>
      <c r="BL137" s="75" t="s">
        <v>439</v>
      </c>
      <c r="BM137" s="75"/>
    </row>
    <row r="138" spans="1:65" ht="12.75" customHeight="1" x14ac:dyDescent="0.2">
      <c r="A138" s="38"/>
      <c r="B138" s="38"/>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t="s">
        <v>439</v>
      </c>
      <c r="BG138" s="75"/>
      <c r="BH138" s="75"/>
      <c r="BI138" s="75" t="s">
        <v>439</v>
      </c>
      <c r="BJ138" s="75"/>
      <c r="BK138" s="75"/>
      <c r="BL138" s="75" t="s">
        <v>439</v>
      </c>
      <c r="BM138" s="75"/>
    </row>
    <row r="139" spans="1:65" ht="12.75" customHeight="1" x14ac:dyDescent="0.2">
      <c r="A139" s="38"/>
      <c r="B139" s="38"/>
      <c r="C139" s="75"/>
      <c r="D139" s="75"/>
      <c r="E139" s="75"/>
      <c r="F139" s="75"/>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t="s">
        <v>439</v>
      </c>
      <c r="BG139" s="75"/>
      <c r="BH139" s="75"/>
      <c r="BI139" s="75" t="s">
        <v>439</v>
      </c>
      <c r="BJ139" s="75"/>
      <c r="BK139" s="75"/>
      <c r="BL139" s="75" t="s">
        <v>439</v>
      </c>
      <c r="BM139" s="75"/>
    </row>
    <row r="140" spans="1:65" ht="12.75" customHeight="1" x14ac:dyDescent="0.2">
      <c r="A140" s="38"/>
      <c r="B140" s="38"/>
      <c r="C140" s="75"/>
      <c r="D140" s="75"/>
      <c r="E140" s="75"/>
      <c r="F140" s="75"/>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t="s">
        <v>439</v>
      </c>
      <c r="BG140" s="75"/>
      <c r="BH140" s="75"/>
      <c r="BI140" s="75" t="s">
        <v>439</v>
      </c>
      <c r="BJ140" s="75"/>
      <c r="BK140" s="75"/>
      <c r="BL140" s="75" t="s">
        <v>439</v>
      </c>
      <c r="BM140" s="75"/>
    </row>
    <row r="141" spans="1:65" ht="12.75" customHeight="1" x14ac:dyDescent="0.2">
      <c r="A141" s="38"/>
      <c r="B141" s="38"/>
      <c r="C141" s="75"/>
      <c r="D141" s="75"/>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t="s">
        <v>439</v>
      </c>
      <c r="BG141" s="75"/>
      <c r="BH141" s="75"/>
      <c r="BI141" s="75" t="s">
        <v>439</v>
      </c>
      <c r="BJ141" s="75"/>
      <c r="BK141" s="75"/>
      <c r="BL141" s="75" t="s">
        <v>439</v>
      </c>
      <c r="BM141" s="75"/>
    </row>
    <row r="142" spans="1:65" ht="12.75" customHeight="1" x14ac:dyDescent="0.2">
      <c r="A142" s="38"/>
      <c r="B142" s="38"/>
      <c r="C142" s="75"/>
      <c r="D142" s="75"/>
      <c r="E142" s="75"/>
      <c r="F142" s="75"/>
      <c r="G142" s="75"/>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t="s">
        <v>439</v>
      </c>
      <c r="BG142" s="75"/>
      <c r="BH142" s="75"/>
      <c r="BI142" s="75" t="s">
        <v>439</v>
      </c>
      <c r="BJ142" s="75"/>
      <c r="BK142" s="75"/>
      <c r="BL142" s="75" t="s">
        <v>439</v>
      </c>
      <c r="BM142" s="75"/>
    </row>
    <row r="143" spans="1:65" ht="12.75" customHeight="1" x14ac:dyDescent="0.2">
      <c r="A143" s="38"/>
      <c r="B143" s="38"/>
      <c r="C143" s="75"/>
      <c r="D143" s="75"/>
      <c r="E143" s="75"/>
      <c r="F143" s="75"/>
      <c r="G143" s="75"/>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t="s">
        <v>439</v>
      </c>
      <c r="BG143" s="75"/>
      <c r="BH143" s="75"/>
      <c r="BI143" s="75" t="s">
        <v>439</v>
      </c>
      <c r="BJ143" s="75"/>
      <c r="BK143" s="75"/>
      <c r="BL143" s="75" t="s">
        <v>439</v>
      </c>
      <c r="BM143" s="75"/>
    </row>
    <row r="144" spans="1:65" ht="12.75" customHeight="1" x14ac:dyDescent="0.2">
      <c r="A144" s="38"/>
      <c r="B144" s="38"/>
      <c r="C144" s="75"/>
      <c r="D144" s="75"/>
      <c r="E144" s="75"/>
      <c r="F144" s="75"/>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t="s">
        <v>439</v>
      </c>
      <c r="BG144" s="75"/>
      <c r="BH144" s="75"/>
      <c r="BI144" s="75" t="s">
        <v>439</v>
      </c>
      <c r="BJ144" s="75"/>
      <c r="BK144" s="75"/>
      <c r="BL144" s="75" t="s">
        <v>439</v>
      </c>
      <c r="BM144" s="75"/>
    </row>
    <row r="145" spans="1:65" ht="12.75" customHeight="1" x14ac:dyDescent="0.2">
      <c r="A145" s="38"/>
      <c r="B145" s="38"/>
      <c r="C145" s="75"/>
      <c r="D145" s="75"/>
      <c r="E145" s="75"/>
      <c r="F145" s="75"/>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t="s">
        <v>439</v>
      </c>
      <c r="BG145" s="75"/>
      <c r="BH145" s="75"/>
      <c r="BI145" s="75" t="s">
        <v>439</v>
      </c>
      <c r="BJ145" s="75"/>
      <c r="BK145" s="75"/>
      <c r="BL145" s="75" t="s">
        <v>439</v>
      </c>
      <c r="BM145" s="75"/>
    </row>
    <row r="146" spans="1:65" ht="12.75" customHeight="1" x14ac:dyDescent="0.2">
      <c r="A146" s="38"/>
      <c r="B146" s="38"/>
      <c r="C146" s="75"/>
      <c r="D146" s="75"/>
      <c r="E146" s="75"/>
      <c r="F146" s="75"/>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t="s">
        <v>439</v>
      </c>
      <c r="BG146" s="75"/>
      <c r="BH146" s="75"/>
      <c r="BI146" s="75" t="s">
        <v>439</v>
      </c>
      <c r="BJ146" s="75"/>
      <c r="BK146" s="75"/>
      <c r="BL146" s="75" t="s">
        <v>439</v>
      </c>
      <c r="BM146" s="75"/>
    </row>
    <row r="147" spans="1:65" ht="12.75" customHeight="1" x14ac:dyDescent="0.2">
      <c r="A147" s="38"/>
      <c r="B147" s="38"/>
      <c r="C147" s="75"/>
      <c r="D147" s="75"/>
      <c r="E147" s="75"/>
      <c r="F147" s="75"/>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t="s">
        <v>439</v>
      </c>
      <c r="BG147" s="75"/>
      <c r="BH147" s="75"/>
      <c r="BI147" s="75" t="s">
        <v>439</v>
      </c>
      <c r="BJ147" s="75"/>
      <c r="BK147" s="75"/>
      <c r="BL147" s="75" t="s">
        <v>439</v>
      </c>
      <c r="BM147" s="75"/>
    </row>
    <row r="148" spans="1:65" ht="12.75" customHeight="1" x14ac:dyDescent="0.2">
      <c r="A148" s="38"/>
      <c r="B148" s="38"/>
      <c r="C148" s="75"/>
      <c r="D148" s="75"/>
      <c r="E148" s="75"/>
      <c r="F148" s="75"/>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t="s">
        <v>439</v>
      </c>
      <c r="BG148" s="75"/>
      <c r="BH148" s="75"/>
      <c r="BI148" s="75" t="s">
        <v>439</v>
      </c>
      <c r="BJ148" s="75"/>
      <c r="BK148" s="75"/>
      <c r="BL148" s="75" t="s">
        <v>439</v>
      </c>
      <c r="BM148" s="75"/>
    </row>
    <row r="149" spans="1:65" ht="12.75" customHeight="1" x14ac:dyDescent="0.2">
      <c r="A149" s="38"/>
      <c r="B149" s="38"/>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t="s">
        <v>439</v>
      </c>
      <c r="BG149" s="75"/>
      <c r="BH149" s="75"/>
      <c r="BI149" s="75" t="s">
        <v>439</v>
      </c>
      <c r="BJ149" s="75"/>
      <c r="BK149" s="75"/>
      <c r="BL149" s="75" t="s">
        <v>439</v>
      </c>
      <c r="BM149" s="75"/>
    </row>
    <row r="150" spans="1:65" ht="12.75" customHeight="1" x14ac:dyDescent="0.2">
      <c r="A150" s="38"/>
      <c r="B150" s="38"/>
      <c r="C150" s="75"/>
      <c r="D150" s="75"/>
      <c r="E150" s="75"/>
      <c r="F150" s="75"/>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t="s">
        <v>439</v>
      </c>
      <c r="BG150" s="75"/>
      <c r="BH150" s="75"/>
      <c r="BI150" s="75" t="s">
        <v>439</v>
      </c>
      <c r="BJ150" s="75"/>
      <c r="BK150" s="75"/>
      <c r="BL150" s="75" t="s">
        <v>439</v>
      </c>
      <c r="BM150" s="75"/>
    </row>
    <row r="151" spans="1:65" ht="12.75" customHeight="1" x14ac:dyDescent="0.2">
      <c r="A151" s="38"/>
      <c r="B151" s="38"/>
      <c r="C151" s="75"/>
      <c r="D151" s="75"/>
      <c r="E151" s="75"/>
      <c r="F151" s="75"/>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t="s">
        <v>439</v>
      </c>
      <c r="BG151" s="75"/>
      <c r="BH151" s="75"/>
      <c r="BI151" s="75" t="s">
        <v>439</v>
      </c>
      <c r="BJ151" s="75"/>
      <c r="BK151" s="75"/>
      <c r="BL151" s="75" t="s">
        <v>439</v>
      </c>
      <c r="BM151" s="75"/>
    </row>
    <row r="152" spans="1:65" ht="12.75" customHeight="1" x14ac:dyDescent="0.2">
      <c r="A152" s="38"/>
      <c r="B152" s="38"/>
      <c r="C152" s="75"/>
      <c r="D152" s="75"/>
      <c r="E152" s="75"/>
      <c r="F152" s="75"/>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t="s">
        <v>439</v>
      </c>
      <c r="BG152" s="75"/>
      <c r="BH152" s="75"/>
      <c r="BI152" s="75" t="s">
        <v>439</v>
      </c>
      <c r="BJ152" s="75"/>
      <c r="BK152" s="75"/>
      <c r="BL152" s="75" t="s">
        <v>439</v>
      </c>
      <c r="BM152" s="75"/>
    </row>
    <row r="153" spans="1:65" ht="12.75" customHeight="1" x14ac:dyDescent="0.2">
      <c r="A153" s="38"/>
      <c r="B153" s="38"/>
      <c r="C153" s="75"/>
      <c r="D153" s="75"/>
      <c r="E153" s="75"/>
      <c r="F153" s="75"/>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t="s">
        <v>439</v>
      </c>
      <c r="BG153" s="75"/>
      <c r="BH153" s="75"/>
      <c r="BI153" s="75" t="s">
        <v>439</v>
      </c>
      <c r="BJ153" s="75"/>
      <c r="BK153" s="75"/>
      <c r="BL153" s="75" t="s">
        <v>439</v>
      </c>
      <c r="BM153" s="75"/>
    </row>
    <row r="154" spans="1:65" ht="12.75" customHeight="1" x14ac:dyDescent="0.2">
      <c r="A154" s="38"/>
      <c r="B154" s="38"/>
      <c r="C154" s="75"/>
      <c r="D154" s="75"/>
      <c r="E154" s="75"/>
      <c r="F154" s="75"/>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t="s">
        <v>439</v>
      </c>
      <c r="BG154" s="75"/>
      <c r="BH154" s="75"/>
      <c r="BI154" s="75" t="s">
        <v>439</v>
      </c>
      <c r="BJ154" s="75"/>
      <c r="BK154" s="75"/>
      <c r="BL154" s="75" t="s">
        <v>439</v>
      </c>
      <c r="BM154" s="75"/>
    </row>
    <row r="155" spans="1:65" ht="12.75" customHeight="1" x14ac:dyDescent="0.2">
      <c r="A155" s="38"/>
      <c r="B155" s="38"/>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t="s">
        <v>439</v>
      </c>
      <c r="BG155" s="75"/>
      <c r="BH155" s="75"/>
      <c r="BI155" s="75" t="s">
        <v>439</v>
      </c>
      <c r="BJ155" s="75"/>
      <c r="BK155" s="75"/>
      <c r="BL155" s="75" t="s">
        <v>439</v>
      </c>
      <c r="BM155" s="75"/>
    </row>
    <row r="156" spans="1:65" ht="12.75" customHeight="1" x14ac:dyDescent="0.2">
      <c r="A156" s="38"/>
      <c r="B156" s="38"/>
      <c r="C156" s="75"/>
      <c r="D156" s="75"/>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t="s">
        <v>439</v>
      </c>
      <c r="BG156" s="75"/>
      <c r="BH156" s="75"/>
      <c r="BI156" s="75" t="s">
        <v>439</v>
      </c>
      <c r="BJ156" s="75"/>
      <c r="BK156" s="75"/>
      <c r="BL156" s="75" t="s">
        <v>439</v>
      </c>
      <c r="BM156" s="75"/>
    </row>
    <row r="157" spans="1:65" ht="12.75" customHeight="1" x14ac:dyDescent="0.2">
      <c r="A157" s="38"/>
      <c r="B157" s="38"/>
      <c r="C157" s="75"/>
      <c r="D157" s="75"/>
      <c r="E157" s="75"/>
      <c r="F157" s="75"/>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t="s">
        <v>439</v>
      </c>
      <c r="BG157" s="75"/>
      <c r="BH157" s="75"/>
      <c r="BI157" s="75" t="s">
        <v>439</v>
      </c>
      <c r="BJ157" s="75"/>
      <c r="BK157" s="75"/>
      <c r="BL157" s="75" t="s">
        <v>439</v>
      </c>
      <c r="BM157" s="75"/>
    </row>
    <row r="158" spans="1:65" ht="12.75" customHeight="1" x14ac:dyDescent="0.2">
      <c r="A158" s="38"/>
      <c r="B158" s="38"/>
      <c r="C158" s="75"/>
      <c r="D158" s="75"/>
      <c r="E158" s="75"/>
      <c r="F158" s="75"/>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t="s">
        <v>439</v>
      </c>
      <c r="BG158" s="75"/>
      <c r="BH158" s="75"/>
      <c r="BI158" s="75" t="s">
        <v>439</v>
      </c>
      <c r="BJ158" s="75"/>
      <c r="BK158" s="75"/>
      <c r="BL158" s="75" t="s">
        <v>439</v>
      </c>
      <c r="BM158" s="75"/>
    </row>
    <row r="159" spans="1:65" ht="12.75" customHeight="1" x14ac:dyDescent="0.2">
      <c r="A159" s="38"/>
      <c r="B159" s="38"/>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t="s">
        <v>439</v>
      </c>
      <c r="BG159" s="75"/>
      <c r="BH159" s="75"/>
      <c r="BI159" s="75" t="s">
        <v>439</v>
      </c>
      <c r="BJ159" s="75"/>
      <c r="BK159" s="75"/>
      <c r="BL159" s="75" t="s">
        <v>439</v>
      </c>
      <c r="BM159" s="75"/>
    </row>
    <row r="160" spans="1:65" ht="12.75" customHeight="1" x14ac:dyDescent="0.2">
      <c r="A160" s="38"/>
      <c r="B160" s="38"/>
      <c r="C160" s="75"/>
      <c r="D160" s="75"/>
      <c r="E160" s="75"/>
      <c r="F160" s="75"/>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t="s">
        <v>439</v>
      </c>
      <c r="BG160" s="75"/>
      <c r="BH160" s="75"/>
      <c r="BI160" s="75" t="s">
        <v>439</v>
      </c>
      <c r="BJ160" s="75"/>
      <c r="BK160" s="75"/>
      <c r="BL160" s="75" t="s">
        <v>439</v>
      </c>
      <c r="BM160" s="75"/>
    </row>
    <row r="161" spans="1:65" ht="12.75" customHeight="1" x14ac:dyDescent="0.2">
      <c r="A161" s="38"/>
      <c r="B161" s="38"/>
      <c r="C161" s="75"/>
      <c r="D161" s="75"/>
      <c r="E161" s="75"/>
      <c r="F161" s="75"/>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t="s">
        <v>439</v>
      </c>
      <c r="BG161" s="75"/>
      <c r="BH161" s="75"/>
      <c r="BI161" s="75" t="s">
        <v>439</v>
      </c>
      <c r="BJ161" s="75"/>
      <c r="BK161" s="75"/>
      <c r="BL161" s="75" t="s">
        <v>439</v>
      </c>
      <c r="BM161" s="75"/>
    </row>
    <row r="162" spans="1:65" ht="12.75" customHeight="1" x14ac:dyDescent="0.2">
      <c r="A162" s="38"/>
      <c r="B162" s="38"/>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t="s">
        <v>439</v>
      </c>
      <c r="BG162" s="75"/>
      <c r="BH162" s="75"/>
      <c r="BI162" s="75" t="s">
        <v>439</v>
      </c>
      <c r="BJ162" s="75"/>
      <c r="BK162" s="75"/>
      <c r="BL162" s="75" t="s">
        <v>439</v>
      </c>
      <c r="BM162" s="75"/>
    </row>
    <row r="163" spans="1:65" ht="12.75" customHeight="1" x14ac:dyDescent="0.2">
      <c r="A163" s="38"/>
      <c r="B163" s="38"/>
      <c r="C163" s="75"/>
      <c r="D163" s="75"/>
      <c r="E163" s="75"/>
      <c r="F163" s="75"/>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t="s">
        <v>439</v>
      </c>
      <c r="BG163" s="75"/>
      <c r="BH163" s="75"/>
      <c r="BI163" s="75" t="s">
        <v>439</v>
      </c>
      <c r="BJ163" s="75"/>
      <c r="BK163" s="75"/>
      <c r="BL163" s="75" t="s">
        <v>439</v>
      </c>
      <c r="BM163" s="75"/>
    </row>
    <row r="164" spans="1:65" ht="12.75" customHeight="1" x14ac:dyDescent="0.2">
      <c r="A164" s="38"/>
      <c r="B164" s="38"/>
      <c r="C164" s="75"/>
      <c r="D164" s="75"/>
      <c r="E164" s="75"/>
      <c r="F164" s="75"/>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t="s">
        <v>439</v>
      </c>
      <c r="BG164" s="75"/>
      <c r="BH164" s="75"/>
      <c r="BI164" s="75" t="s">
        <v>439</v>
      </c>
      <c r="BJ164" s="75"/>
      <c r="BK164" s="75"/>
      <c r="BL164" s="75" t="s">
        <v>439</v>
      </c>
      <c r="BM164" s="75"/>
    </row>
    <row r="165" spans="1:65" ht="12.75" customHeight="1" x14ac:dyDescent="0.2">
      <c r="A165" s="38"/>
      <c r="B165" s="38"/>
      <c r="C165" s="75"/>
      <c r="D165" s="75"/>
      <c r="E165" s="75"/>
      <c r="F165" s="75"/>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t="s">
        <v>439</v>
      </c>
      <c r="BG165" s="75"/>
      <c r="BH165" s="75"/>
      <c r="BI165" s="75" t="s">
        <v>439</v>
      </c>
      <c r="BJ165" s="75"/>
      <c r="BK165" s="75"/>
      <c r="BL165" s="75" t="s">
        <v>439</v>
      </c>
      <c r="BM165" s="75"/>
    </row>
    <row r="166" spans="1:65" ht="12.75" customHeight="1" x14ac:dyDescent="0.2">
      <c r="A166" s="38"/>
      <c r="B166" s="38"/>
      <c r="C166" s="75"/>
      <c r="D166" s="75"/>
      <c r="E166" s="75"/>
      <c r="F166" s="75"/>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t="s">
        <v>439</v>
      </c>
      <c r="BG166" s="75"/>
      <c r="BH166" s="75"/>
      <c r="BI166" s="75" t="s">
        <v>439</v>
      </c>
      <c r="BJ166" s="75"/>
      <c r="BK166" s="75"/>
      <c r="BL166" s="75" t="s">
        <v>439</v>
      </c>
      <c r="BM166" s="75"/>
    </row>
    <row r="167" spans="1:65" ht="12.75" customHeight="1" x14ac:dyDescent="0.2">
      <c r="A167" s="38"/>
      <c r="B167" s="38"/>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t="s">
        <v>439</v>
      </c>
      <c r="BG167" s="75"/>
      <c r="BH167" s="75"/>
      <c r="BI167" s="75" t="s">
        <v>439</v>
      </c>
      <c r="BJ167" s="75"/>
      <c r="BK167" s="75"/>
      <c r="BL167" s="75" t="s">
        <v>439</v>
      </c>
      <c r="BM167" s="75"/>
    </row>
    <row r="168" spans="1:65" ht="12.75" customHeight="1" x14ac:dyDescent="0.2">
      <c r="A168" s="38"/>
      <c r="B168" s="38"/>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t="s">
        <v>439</v>
      </c>
      <c r="BG168" s="75"/>
      <c r="BH168" s="75"/>
      <c r="BI168" s="75" t="s">
        <v>439</v>
      </c>
      <c r="BJ168" s="75"/>
      <c r="BK168" s="75"/>
      <c r="BL168" s="75" t="s">
        <v>439</v>
      </c>
      <c r="BM168" s="75"/>
    </row>
    <row r="169" spans="1:65" ht="12.75" customHeight="1" x14ac:dyDescent="0.2">
      <c r="A169" s="38"/>
      <c r="B169" s="38"/>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t="s">
        <v>439</v>
      </c>
      <c r="BG169" s="75"/>
      <c r="BH169" s="75"/>
      <c r="BI169" s="75" t="s">
        <v>439</v>
      </c>
      <c r="BJ169" s="75"/>
      <c r="BK169" s="75"/>
      <c r="BL169" s="75" t="s">
        <v>439</v>
      </c>
      <c r="BM169" s="75"/>
    </row>
    <row r="170" spans="1:65" ht="12.75" customHeight="1" x14ac:dyDescent="0.2">
      <c r="A170" s="38"/>
      <c r="B170" s="38"/>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t="s">
        <v>439</v>
      </c>
      <c r="BG170" s="75"/>
      <c r="BH170" s="75"/>
      <c r="BI170" s="75" t="s">
        <v>439</v>
      </c>
      <c r="BJ170" s="75"/>
      <c r="BK170" s="75"/>
      <c r="BL170" s="75" t="s">
        <v>439</v>
      </c>
      <c r="BM170" s="75"/>
    </row>
    <row r="171" spans="1:65" ht="12.75" customHeight="1" x14ac:dyDescent="0.2">
      <c r="A171" s="38"/>
      <c r="B171" s="38"/>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t="s">
        <v>439</v>
      </c>
      <c r="BG171" s="75"/>
      <c r="BH171" s="75"/>
      <c r="BI171" s="75" t="s">
        <v>439</v>
      </c>
      <c r="BJ171" s="75"/>
      <c r="BK171" s="75"/>
      <c r="BL171" s="75" t="s">
        <v>439</v>
      </c>
      <c r="BM171" s="75"/>
    </row>
    <row r="172" spans="1:65" ht="12.75" customHeight="1" x14ac:dyDescent="0.2">
      <c r="A172" s="38"/>
      <c r="B172" s="38"/>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t="s">
        <v>439</v>
      </c>
      <c r="BG172" s="75"/>
      <c r="BH172" s="75"/>
      <c r="BI172" s="75" t="s">
        <v>439</v>
      </c>
      <c r="BJ172" s="75"/>
      <c r="BK172" s="75"/>
      <c r="BL172" s="75" t="s">
        <v>439</v>
      </c>
      <c r="BM172" s="75"/>
    </row>
    <row r="173" spans="1:65" ht="12.75" customHeight="1" x14ac:dyDescent="0.2">
      <c r="A173" s="38"/>
      <c r="B173" s="38"/>
      <c r="C173" s="75"/>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t="s">
        <v>439</v>
      </c>
      <c r="BG173" s="75"/>
      <c r="BH173" s="75"/>
      <c r="BI173" s="75" t="s">
        <v>439</v>
      </c>
      <c r="BJ173" s="75"/>
      <c r="BK173" s="75"/>
      <c r="BL173" s="75" t="s">
        <v>439</v>
      </c>
      <c r="BM173" s="75"/>
    </row>
    <row r="174" spans="1:65" ht="12.75" customHeight="1" x14ac:dyDescent="0.2">
      <c r="A174" s="38"/>
      <c r="B174" s="38"/>
      <c r="C174" s="75"/>
      <c r="D174" s="75"/>
      <c r="E174" s="75"/>
      <c r="F174" s="75"/>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t="s">
        <v>439</v>
      </c>
      <c r="BG174" s="75"/>
      <c r="BH174" s="75"/>
      <c r="BI174" s="75" t="s">
        <v>439</v>
      </c>
      <c r="BJ174" s="75"/>
      <c r="BK174" s="75"/>
      <c r="BL174" s="75" t="s">
        <v>439</v>
      </c>
      <c r="BM174" s="75"/>
    </row>
    <row r="175" spans="1:65" ht="12.75" customHeight="1" x14ac:dyDescent="0.2">
      <c r="A175" s="38"/>
      <c r="B175" s="38"/>
      <c r="C175" s="75"/>
      <c r="D175" s="75"/>
      <c r="E175" s="75"/>
      <c r="F175" s="75"/>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t="s">
        <v>439</v>
      </c>
      <c r="BG175" s="75"/>
      <c r="BH175" s="75"/>
      <c r="BI175" s="75" t="s">
        <v>439</v>
      </c>
      <c r="BJ175" s="75"/>
      <c r="BK175" s="75"/>
      <c r="BL175" s="75" t="s">
        <v>439</v>
      </c>
      <c r="BM175" s="75"/>
    </row>
    <row r="176" spans="1:65" ht="12.75" customHeight="1" x14ac:dyDescent="0.2">
      <c r="A176" s="38"/>
      <c r="B176" s="38"/>
      <c r="C176" s="75"/>
      <c r="D176" s="75"/>
      <c r="E176" s="75"/>
      <c r="F176" s="75"/>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t="s">
        <v>439</v>
      </c>
      <c r="BG176" s="75"/>
      <c r="BH176" s="75"/>
      <c r="BI176" s="75" t="s">
        <v>439</v>
      </c>
      <c r="BJ176" s="75"/>
      <c r="BK176" s="75"/>
      <c r="BL176" s="75" t="s">
        <v>439</v>
      </c>
      <c r="BM176" s="75"/>
    </row>
    <row r="177" spans="1:65" ht="12.75" customHeight="1" x14ac:dyDescent="0.2">
      <c r="A177" s="38"/>
      <c r="B177" s="38"/>
      <c r="C177" s="75"/>
      <c r="D177" s="75"/>
      <c r="E177" s="75"/>
      <c r="F177" s="75"/>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t="s">
        <v>439</v>
      </c>
      <c r="BG177" s="75"/>
      <c r="BH177" s="75"/>
      <c r="BI177" s="75" t="s">
        <v>439</v>
      </c>
      <c r="BJ177" s="75"/>
      <c r="BK177" s="75"/>
      <c r="BL177" s="75" t="s">
        <v>439</v>
      </c>
      <c r="BM177" s="75"/>
    </row>
    <row r="178" spans="1:65" ht="12.75" customHeight="1" x14ac:dyDescent="0.2">
      <c r="A178" s="38"/>
      <c r="B178" s="38"/>
      <c r="C178" s="75"/>
      <c r="D178" s="75"/>
      <c r="E178" s="75"/>
      <c r="F178" s="75"/>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t="s">
        <v>439</v>
      </c>
      <c r="BG178" s="75"/>
      <c r="BH178" s="75"/>
      <c r="BI178" s="75" t="s">
        <v>439</v>
      </c>
      <c r="BJ178" s="75"/>
      <c r="BK178" s="75"/>
      <c r="BL178" s="75" t="s">
        <v>439</v>
      </c>
      <c r="BM178" s="75"/>
    </row>
    <row r="179" spans="1:65" ht="12.75" customHeight="1" x14ac:dyDescent="0.2">
      <c r="A179" s="38"/>
      <c r="B179" s="38"/>
      <c r="C179" s="75"/>
      <c r="D179" s="75"/>
      <c r="E179" s="75"/>
      <c r="F179" s="75"/>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t="s">
        <v>439</v>
      </c>
      <c r="BG179" s="75"/>
      <c r="BH179" s="75"/>
      <c r="BI179" s="75" t="s">
        <v>439</v>
      </c>
      <c r="BJ179" s="75"/>
      <c r="BK179" s="75"/>
      <c r="BL179" s="75" t="s">
        <v>439</v>
      </c>
      <c r="BM179" s="75"/>
    </row>
    <row r="180" spans="1:65" ht="12.75" customHeight="1" x14ac:dyDescent="0.2">
      <c r="A180" s="38"/>
      <c r="B180" s="38"/>
      <c r="C180" s="75"/>
      <c r="D180" s="75"/>
      <c r="E180" s="75"/>
      <c r="F180" s="75"/>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t="s">
        <v>439</v>
      </c>
      <c r="BG180" s="75"/>
      <c r="BH180" s="75"/>
      <c r="BI180" s="75" t="s">
        <v>439</v>
      </c>
      <c r="BJ180" s="75"/>
      <c r="BK180" s="75"/>
      <c r="BL180" s="75" t="s">
        <v>439</v>
      </c>
      <c r="BM180" s="75"/>
    </row>
    <row r="181" spans="1:65" ht="12.75" customHeight="1" x14ac:dyDescent="0.2">
      <c r="A181" s="38"/>
      <c r="B181" s="38"/>
      <c r="C181" s="75"/>
      <c r="D181" s="75"/>
      <c r="E181" s="75"/>
      <c r="F181" s="75"/>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t="s">
        <v>439</v>
      </c>
      <c r="BG181" s="75"/>
      <c r="BH181" s="75"/>
      <c r="BI181" s="75" t="s">
        <v>439</v>
      </c>
      <c r="BJ181" s="75"/>
      <c r="BK181" s="75"/>
      <c r="BL181" s="75" t="s">
        <v>439</v>
      </c>
      <c r="BM181" s="75"/>
    </row>
    <row r="182" spans="1:65" ht="12.75" customHeight="1" x14ac:dyDescent="0.2">
      <c r="A182" s="38"/>
      <c r="B182" s="38"/>
      <c r="C182" s="75"/>
      <c r="D182" s="75"/>
      <c r="E182" s="75"/>
      <c r="F182" s="75"/>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t="s">
        <v>439</v>
      </c>
      <c r="BG182" s="75"/>
      <c r="BH182" s="75"/>
      <c r="BI182" s="75" t="s">
        <v>439</v>
      </c>
      <c r="BJ182" s="75"/>
      <c r="BK182" s="75"/>
      <c r="BL182" s="75" t="s">
        <v>439</v>
      </c>
      <c r="BM182" s="75"/>
    </row>
    <row r="183" spans="1:65" ht="12.75" customHeight="1" x14ac:dyDescent="0.2">
      <c r="A183" s="38"/>
      <c r="B183" s="38"/>
      <c r="C183" s="75"/>
      <c r="D183" s="75"/>
      <c r="E183" s="75"/>
      <c r="F183" s="75"/>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t="s">
        <v>439</v>
      </c>
      <c r="BG183" s="75"/>
      <c r="BH183" s="75"/>
      <c r="BI183" s="75" t="s">
        <v>439</v>
      </c>
      <c r="BJ183" s="75"/>
      <c r="BK183" s="75"/>
      <c r="BL183" s="75" t="s">
        <v>439</v>
      </c>
      <c r="BM183" s="75"/>
    </row>
    <row r="184" spans="1:65" ht="12.75" customHeight="1" x14ac:dyDescent="0.2">
      <c r="A184" s="38"/>
      <c r="B184" s="38"/>
      <c r="C184" s="75"/>
      <c r="D184" s="75"/>
      <c r="E184" s="75"/>
      <c r="F184" s="75"/>
      <c r="G184" s="75"/>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t="s">
        <v>439</v>
      </c>
      <c r="BG184" s="75"/>
      <c r="BH184" s="75"/>
      <c r="BI184" s="75" t="s">
        <v>439</v>
      </c>
      <c r="BJ184" s="75"/>
      <c r="BK184" s="75"/>
      <c r="BL184" s="75" t="s">
        <v>439</v>
      </c>
      <c r="BM184" s="75"/>
    </row>
    <row r="185" spans="1:65" ht="12.75" customHeight="1" x14ac:dyDescent="0.2">
      <c r="A185" s="38"/>
      <c r="B185" s="38"/>
      <c r="C185" s="75"/>
      <c r="D185" s="75"/>
      <c r="E185" s="75"/>
      <c r="F185" s="75"/>
      <c r="G185" s="75"/>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t="s">
        <v>439</v>
      </c>
      <c r="BG185" s="75"/>
      <c r="BH185" s="75"/>
      <c r="BI185" s="75" t="s">
        <v>439</v>
      </c>
      <c r="BJ185" s="75"/>
      <c r="BK185" s="75"/>
      <c r="BL185" s="75" t="s">
        <v>439</v>
      </c>
      <c r="BM185" s="75"/>
    </row>
    <row r="186" spans="1:65" ht="12.75" customHeight="1" x14ac:dyDescent="0.2">
      <c r="A186" s="38"/>
      <c r="B186" s="38"/>
      <c r="C186" s="75"/>
      <c r="D186" s="75"/>
      <c r="E186" s="75"/>
      <c r="F186" s="75"/>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t="s">
        <v>439</v>
      </c>
      <c r="BG186" s="75"/>
      <c r="BH186" s="75"/>
      <c r="BI186" s="75" t="s">
        <v>439</v>
      </c>
      <c r="BJ186" s="75"/>
      <c r="BK186" s="75"/>
      <c r="BL186" s="75" t="s">
        <v>439</v>
      </c>
      <c r="BM186" s="75"/>
    </row>
    <row r="187" spans="1:65" ht="12.75" customHeight="1" x14ac:dyDescent="0.2">
      <c r="A187" s="38"/>
      <c r="B187" s="38"/>
      <c r="C187" s="75"/>
      <c r="D187" s="75"/>
      <c r="E187" s="75"/>
      <c r="F187" s="75"/>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t="s">
        <v>439</v>
      </c>
      <c r="BG187" s="75"/>
      <c r="BH187" s="75"/>
      <c r="BI187" s="75" t="s">
        <v>439</v>
      </c>
      <c r="BJ187" s="75"/>
      <c r="BK187" s="75"/>
      <c r="BL187" s="75" t="s">
        <v>439</v>
      </c>
      <c r="BM187" s="75"/>
    </row>
    <row r="188" spans="1:65" ht="12.75" customHeight="1" x14ac:dyDescent="0.2">
      <c r="A188" s="38"/>
      <c r="B188" s="38"/>
      <c r="C188" s="75"/>
      <c r="D188" s="75"/>
      <c r="E188" s="75"/>
      <c r="F188" s="75"/>
      <c r="G188" s="75"/>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t="s">
        <v>439</v>
      </c>
      <c r="BG188" s="75"/>
      <c r="BH188" s="75"/>
      <c r="BI188" s="75" t="s">
        <v>439</v>
      </c>
      <c r="BJ188" s="75"/>
      <c r="BK188" s="75"/>
      <c r="BL188" s="75" t="s">
        <v>439</v>
      </c>
      <c r="BM188" s="75"/>
    </row>
    <row r="189" spans="1:65" ht="12.75" customHeight="1" x14ac:dyDescent="0.2">
      <c r="A189" s="38"/>
      <c r="B189" s="38"/>
      <c r="C189" s="75"/>
      <c r="D189" s="75"/>
      <c r="E189" s="75"/>
      <c r="F189" s="75"/>
      <c r="G189" s="75"/>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t="s">
        <v>439</v>
      </c>
      <c r="BG189" s="75"/>
      <c r="BH189" s="75"/>
      <c r="BI189" s="75" t="s">
        <v>439</v>
      </c>
      <c r="BJ189" s="75"/>
      <c r="BK189" s="75"/>
      <c r="BL189" s="75" t="s">
        <v>439</v>
      </c>
      <c r="BM189" s="75"/>
    </row>
    <row r="190" spans="1:65" ht="12.75" customHeight="1" x14ac:dyDescent="0.2">
      <c r="A190" s="38"/>
      <c r="B190" s="38"/>
      <c r="C190" s="75"/>
      <c r="D190" s="75"/>
      <c r="E190" s="75"/>
      <c r="F190" s="75"/>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t="s">
        <v>439</v>
      </c>
      <c r="BG190" s="75"/>
      <c r="BH190" s="75"/>
      <c r="BI190" s="75" t="s">
        <v>439</v>
      </c>
      <c r="BJ190" s="75"/>
      <c r="BK190" s="75"/>
      <c r="BL190" s="75" t="s">
        <v>439</v>
      </c>
      <c r="BM190" s="75"/>
    </row>
    <row r="191" spans="1:65" ht="12.75" customHeight="1" x14ac:dyDescent="0.2">
      <c r="A191" s="38"/>
      <c r="B191" s="38"/>
      <c r="C191" s="75"/>
      <c r="D191" s="75"/>
      <c r="E191" s="75"/>
      <c r="F191" s="75"/>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t="s">
        <v>439</v>
      </c>
      <c r="BG191" s="75"/>
      <c r="BH191" s="75"/>
      <c r="BI191" s="75" t="s">
        <v>439</v>
      </c>
      <c r="BJ191" s="75"/>
      <c r="BK191" s="75"/>
      <c r="BL191" s="75" t="s">
        <v>439</v>
      </c>
      <c r="BM191" s="75"/>
    </row>
    <row r="192" spans="1:65" ht="12.75" customHeight="1" x14ac:dyDescent="0.2">
      <c r="A192" s="38"/>
      <c r="B192" s="38"/>
      <c r="C192" s="75"/>
      <c r="D192" s="75"/>
      <c r="E192" s="75"/>
      <c r="F192" s="75"/>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t="s">
        <v>439</v>
      </c>
      <c r="BG192" s="75"/>
      <c r="BH192" s="75"/>
      <c r="BI192" s="75" t="s">
        <v>439</v>
      </c>
      <c r="BJ192" s="75"/>
      <c r="BK192" s="75"/>
      <c r="BL192" s="75" t="s">
        <v>439</v>
      </c>
      <c r="BM192" s="75"/>
    </row>
    <row r="193" spans="1:65" ht="12.75" customHeight="1" x14ac:dyDescent="0.2">
      <c r="A193" s="38"/>
      <c r="B193" s="38"/>
      <c r="C193" s="75"/>
      <c r="D193" s="75"/>
      <c r="E193" s="75"/>
      <c r="F193" s="75"/>
      <c r="G193" s="75"/>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t="s">
        <v>439</v>
      </c>
      <c r="BG193" s="75"/>
      <c r="BH193" s="75"/>
      <c r="BI193" s="75" t="s">
        <v>439</v>
      </c>
      <c r="BJ193" s="75"/>
      <c r="BK193" s="75"/>
      <c r="BL193" s="75" t="s">
        <v>439</v>
      </c>
      <c r="BM193" s="75"/>
    </row>
    <row r="194" spans="1:65" ht="12.75" customHeight="1" x14ac:dyDescent="0.2">
      <c r="A194" s="38"/>
      <c r="B194" s="38"/>
      <c r="C194" s="75"/>
      <c r="D194" s="75"/>
      <c r="E194" s="75"/>
      <c r="F194" s="75"/>
      <c r="G194" s="75"/>
      <c r="H194" s="75"/>
      <c r="I194" s="75"/>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t="s">
        <v>439</v>
      </c>
      <c r="BG194" s="75"/>
      <c r="BH194" s="75"/>
      <c r="BI194" s="75" t="s">
        <v>439</v>
      </c>
      <c r="BJ194" s="75"/>
      <c r="BK194" s="75"/>
      <c r="BL194" s="75" t="s">
        <v>439</v>
      </c>
      <c r="BM194" s="75"/>
    </row>
    <row r="195" spans="1:65" ht="12.75" customHeight="1" x14ac:dyDescent="0.2">
      <c r="A195" s="38"/>
      <c r="B195" s="38"/>
      <c r="C195" s="75"/>
      <c r="D195" s="75"/>
      <c r="E195" s="75"/>
      <c r="F195" s="75"/>
      <c r="G195" s="75"/>
      <c r="H195" s="75"/>
      <c r="I195" s="75"/>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t="s">
        <v>439</v>
      </c>
      <c r="BG195" s="75"/>
      <c r="BH195" s="75"/>
      <c r="BI195" s="75" t="s">
        <v>439</v>
      </c>
      <c r="BJ195" s="75"/>
      <c r="BK195" s="75"/>
      <c r="BL195" s="75" t="s">
        <v>439</v>
      </c>
      <c r="BM195" s="75"/>
    </row>
    <row r="196" spans="1:65" ht="12.75" customHeight="1" x14ac:dyDescent="0.2">
      <c r="A196" s="38"/>
      <c r="B196" s="38"/>
      <c r="C196" s="75"/>
      <c r="D196" s="75"/>
      <c r="E196" s="75"/>
      <c r="F196" s="75"/>
      <c r="G196" s="75"/>
      <c r="H196" s="75"/>
      <c r="I196" s="75"/>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t="s">
        <v>439</v>
      </c>
      <c r="BG196" s="75"/>
      <c r="BH196" s="75"/>
      <c r="BI196" s="75" t="s">
        <v>439</v>
      </c>
      <c r="BJ196" s="75"/>
      <c r="BK196" s="75"/>
      <c r="BL196" s="75" t="s">
        <v>439</v>
      </c>
      <c r="BM196" s="75"/>
    </row>
    <row r="197" spans="1:65" ht="12.75" customHeight="1" x14ac:dyDescent="0.2">
      <c r="A197" s="38"/>
      <c r="B197" s="38"/>
      <c r="C197" s="75"/>
      <c r="D197" s="75"/>
      <c r="E197" s="75"/>
      <c r="F197" s="75"/>
      <c r="G197" s="75"/>
      <c r="H197" s="75"/>
      <c r="I197" s="75"/>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t="s">
        <v>439</v>
      </c>
      <c r="BG197" s="75"/>
      <c r="BH197" s="75"/>
      <c r="BI197" s="75" t="s">
        <v>439</v>
      </c>
      <c r="BJ197" s="75"/>
      <c r="BK197" s="75"/>
      <c r="BL197" s="75" t="s">
        <v>439</v>
      </c>
      <c r="BM197" s="75"/>
    </row>
    <row r="198" spans="1:65" ht="12.75" customHeight="1" x14ac:dyDescent="0.2">
      <c r="A198" s="38"/>
      <c r="B198" s="38"/>
      <c r="C198" s="75"/>
      <c r="D198" s="75"/>
      <c r="E198" s="75"/>
      <c r="F198" s="75"/>
      <c r="G198" s="75"/>
      <c r="H198" s="75"/>
      <c r="I198" s="75"/>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t="s">
        <v>439</v>
      </c>
      <c r="BG198" s="75"/>
      <c r="BH198" s="75"/>
      <c r="BI198" s="75" t="s">
        <v>439</v>
      </c>
      <c r="BJ198" s="75"/>
      <c r="BK198" s="75"/>
      <c r="BL198" s="75" t="s">
        <v>439</v>
      </c>
      <c r="BM198" s="75"/>
    </row>
    <row r="199" spans="1:65" ht="12.75" customHeight="1" x14ac:dyDescent="0.2">
      <c r="A199" s="38"/>
      <c r="B199" s="38"/>
      <c r="C199" s="75"/>
      <c r="D199" s="75"/>
      <c r="E199" s="75"/>
      <c r="F199" s="75"/>
      <c r="G199" s="75"/>
      <c r="H199" s="75"/>
      <c r="I199" s="75"/>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t="s">
        <v>439</v>
      </c>
      <c r="BG199" s="75"/>
      <c r="BH199" s="75"/>
      <c r="BI199" s="75" t="s">
        <v>439</v>
      </c>
      <c r="BJ199" s="75"/>
      <c r="BK199" s="75"/>
      <c r="BL199" s="75" t="s">
        <v>439</v>
      </c>
      <c r="BM199" s="75"/>
    </row>
    <row r="200" spans="1:65" ht="12.75" customHeight="1" x14ac:dyDescent="0.2">
      <c r="A200" s="38"/>
      <c r="B200" s="38"/>
      <c r="C200" s="75"/>
      <c r="D200" s="75"/>
      <c r="E200" s="75"/>
      <c r="F200" s="75"/>
      <c r="G200" s="75"/>
      <c r="H200" s="75"/>
      <c r="I200" s="75"/>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t="s">
        <v>439</v>
      </c>
      <c r="BG200" s="75"/>
      <c r="BH200" s="75"/>
      <c r="BI200" s="75" t="s">
        <v>439</v>
      </c>
      <c r="BJ200" s="75"/>
      <c r="BK200" s="75"/>
      <c r="BL200" s="75" t="s">
        <v>439</v>
      </c>
      <c r="BM200" s="75"/>
    </row>
    <row r="201" spans="1:65" ht="12.75" customHeight="1" x14ac:dyDescent="0.2">
      <c r="A201" s="38"/>
      <c r="B201" s="38"/>
      <c r="C201" s="75"/>
      <c r="D201" s="75"/>
      <c r="E201" s="75"/>
      <c r="F201" s="75"/>
      <c r="G201" s="75"/>
      <c r="H201" s="75"/>
      <c r="I201" s="75"/>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t="s">
        <v>439</v>
      </c>
      <c r="BG201" s="75"/>
      <c r="BH201" s="75"/>
      <c r="BI201" s="75" t="s">
        <v>439</v>
      </c>
      <c r="BJ201" s="75"/>
      <c r="BK201" s="75"/>
      <c r="BL201" s="75" t="s">
        <v>439</v>
      </c>
      <c r="BM201" s="75"/>
    </row>
    <row r="202" spans="1:65" ht="12.75" customHeight="1" x14ac:dyDescent="0.2">
      <c r="A202" s="38"/>
      <c r="B202" s="38"/>
      <c r="C202" s="75"/>
      <c r="D202" s="75"/>
      <c r="E202" s="75"/>
      <c r="F202" s="75"/>
      <c r="G202" s="75"/>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t="s">
        <v>439</v>
      </c>
      <c r="BG202" s="75"/>
      <c r="BH202" s="75"/>
      <c r="BI202" s="75" t="s">
        <v>439</v>
      </c>
      <c r="BJ202" s="75"/>
      <c r="BK202" s="75"/>
      <c r="BL202" s="75" t="s">
        <v>439</v>
      </c>
      <c r="BM202" s="75"/>
    </row>
    <row r="203" spans="1:65" ht="12.75" customHeight="1" x14ac:dyDescent="0.2">
      <c r="A203" s="38"/>
      <c r="B203" s="38"/>
      <c r="C203" s="75"/>
      <c r="D203" s="75"/>
      <c r="E203" s="75"/>
      <c r="F203" s="75"/>
      <c r="G203" s="75"/>
      <c r="H203" s="75"/>
      <c r="I203" s="75"/>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t="s">
        <v>439</v>
      </c>
      <c r="BG203" s="75"/>
      <c r="BH203" s="75"/>
      <c r="BI203" s="75" t="s">
        <v>439</v>
      </c>
      <c r="BJ203" s="75"/>
      <c r="BK203" s="75"/>
      <c r="BL203" s="75" t="s">
        <v>439</v>
      </c>
      <c r="BM203" s="75"/>
    </row>
    <row r="204" spans="1:65" ht="12.75" customHeight="1" x14ac:dyDescent="0.2">
      <c r="A204" s="38"/>
      <c r="B204" s="38"/>
      <c r="C204" s="75"/>
      <c r="D204" s="75"/>
      <c r="E204" s="75"/>
      <c r="F204" s="75"/>
      <c r="G204" s="75"/>
      <c r="H204" s="75"/>
      <c r="I204" s="75"/>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t="s">
        <v>439</v>
      </c>
      <c r="BG204" s="75"/>
      <c r="BH204" s="75"/>
      <c r="BI204" s="75" t="s">
        <v>439</v>
      </c>
      <c r="BJ204" s="75"/>
      <c r="BK204" s="75"/>
      <c r="BL204" s="75" t="s">
        <v>439</v>
      </c>
      <c r="BM204" s="75"/>
    </row>
    <row r="205" spans="1:65" ht="12.75" customHeight="1" x14ac:dyDescent="0.2">
      <c r="A205" s="38"/>
      <c r="B205" s="38"/>
      <c r="C205" s="75"/>
      <c r="D205" s="75"/>
      <c r="E205" s="75"/>
      <c r="F205" s="75"/>
      <c r="G205" s="75"/>
      <c r="H205" s="75"/>
      <c r="I205" s="75"/>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t="s">
        <v>439</v>
      </c>
      <c r="BG205" s="75"/>
      <c r="BH205" s="75"/>
      <c r="BI205" s="75" t="s">
        <v>439</v>
      </c>
      <c r="BJ205" s="75"/>
      <c r="BK205" s="75"/>
      <c r="BL205" s="75" t="s">
        <v>439</v>
      </c>
      <c r="BM205" s="75"/>
    </row>
    <row r="206" spans="1:65" ht="12.75" customHeight="1" x14ac:dyDescent="0.2">
      <c r="A206" s="38"/>
      <c r="B206" s="38"/>
      <c r="C206" s="75"/>
      <c r="D206" s="75"/>
      <c r="E206" s="75"/>
      <c r="F206" s="75"/>
      <c r="G206" s="75"/>
      <c r="H206" s="75"/>
      <c r="I206" s="75"/>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t="s">
        <v>439</v>
      </c>
      <c r="BG206" s="75"/>
      <c r="BH206" s="75"/>
      <c r="BI206" s="75" t="s">
        <v>439</v>
      </c>
      <c r="BJ206" s="75"/>
      <c r="BK206" s="75"/>
      <c r="BL206" s="75" t="s">
        <v>439</v>
      </c>
      <c r="BM206" s="75"/>
    </row>
    <row r="207" spans="1:65" ht="12.75" customHeight="1" x14ac:dyDescent="0.2">
      <c r="A207" s="38"/>
      <c r="B207" s="38"/>
      <c r="C207" s="75"/>
      <c r="D207" s="75"/>
      <c r="E207" s="75"/>
      <c r="F207" s="75"/>
      <c r="G207" s="75"/>
      <c r="H207" s="75"/>
      <c r="I207" s="75"/>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t="s">
        <v>439</v>
      </c>
      <c r="BG207" s="75"/>
      <c r="BH207" s="75"/>
      <c r="BI207" s="75" t="s">
        <v>439</v>
      </c>
      <c r="BJ207" s="75"/>
      <c r="BK207" s="75"/>
      <c r="BL207" s="75" t="s">
        <v>439</v>
      </c>
      <c r="BM207" s="75"/>
    </row>
    <row r="208" spans="1:65" ht="12.75" customHeight="1" x14ac:dyDescent="0.2">
      <c r="A208" s="38"/>
      <c r="B208" s="38"/>
      <c r="C208" s="75"/>
      <c r="D208" s="75"/>
      <c r="E208" s="75"/>
      <c r="F208" s="75"/>
      <c r="G208" s="75"/>
      <c r="H208" s="75"/>
      <c r="I208" s="75"/>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t="s">
        <v>439</v>
      </c>
      <c r="BG208" s="75"/>
      <c r="BH208" s="75"/>
      <c r="BI208" s="75" t="s">
        <v>439</v>
      </c>
      <c r="BJ208" s="75"/>
      <c r="BK208" s="75"/>
      <c r="BL208" s="75" t="s">
        <v>439</v>
      </c>
      <c r="BM208" s="75"/>
    </row>
    <row r="209" spans="1:65" ht="12.75" customHeight="1" x14ac:dyDescent="0.2">
      <c r="A209" s="38"/>
      <c r="B209" s="38"/>
      <c r="C209" s="75"/>
      <c r="D209" s="75"/>
      <c r="E209" s="75"/>
      <c r="F209" s="75"/>
      <c r="G209" s="75"/>
      <c r="H209" s="75"/>
      <c r="I209" s="75"/>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t="s">
        <v>439</v>
      </c>
      <c r="BG209" s="75"/>
      <c r="BH209" s="75"/>
      <c r="BI209" s="75" t="s">
        <v>439</v>
      </c>
      <c r="BJ209" s="75"/>
      <c r="BK209" s="75"/>
      <c r="BL209" s="75" t="s">
        <v>439</v>
      </c>
      <c r="BM209" s="75"/>
    </row>
    <row r="210" spans="1:65" ht="12.75" customHeight="1" x14ac:dyDescent="0.2">
      <c r="A210" s="38"/>
      <c r="B210" s="38"/>
      <c r="C210" s="75"/>
      <c r="D210" s="75"/>
      <c r="E210" s="75"/>
      <c r="F210" s="75"/>
      <c r="G210" s="75"/>
      <c r="H210" s="75"/>
      <c r="I210" s="75"/>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t="s">
        <v>439</v>
      </c>
      <c r="BG210" s="75"/>
      <c r="BH210" s="75"/>
      <c r="BI210" s="75" t="s">
        <v>439</v>
      </c>
      <c r="BJ210" s="75"/>
      <c r="BK210" s="75"/>
      <c r="BL210" s="75" t="s">
        <v>439</v>
      </c>
      <c r="BM210" s="75"/>
    </row>
    <row r="211" spans="1:65" ht="12.75" customHeight="1" x14ac:dyDescent="0.2">
      <c r="A211" s="38"/>
      <c r="B211" s="38"/>
      <c r="C211" s="75"/>
      <c r="D211" s="75"/>
      <c r="E211" s="75"/>
      <c r="F211" s="75"/>
      <c r="G211" s="75"/>
      <c r="H211" s="75"/>
      <c r="I211" s="75"/>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t="s">
        <v>439</v>
      </c>
      <c r="BG211" s="75"/>
      <c r="BH211" s="75"/>
      <c r="BI211" s="75" t="s">
        <v>439</v>
      </c>
      <c r="BJ211" s="75"/>
      <c r="BK211" s="75"/>
      <c r="BL211" s="75" t="s">
        <v>439</v>
      </c>
      <c r="BM211" s="75"/>
    </row>
    <row r="212" spans="1:65" ht="12.75" customHeight="1" x14ac:dyDescent="0.2">
      <c r="A212" s="38"/>
      <c r="B212" s="38"/>
      <c r="C212" s="75"/>
      <c r="D212" s="75"/>
      <c r="E212" s="75"/>
      <c r="F212" s="75"/>
      <c r="G212" s="75"/>
      <c r="H212" s="75"/>
      <c r="I212" s="75"/>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t="s">
        <v>439</v>
      </c>
      <c r="BG212" s="75"/>
      <c r="BH212" s="75"/>
      <c r="BI212" s="75" t="s">
        <v>439</v>
      </c>
      <c r="BJ212" s="75"/>
      <c r="BK212" s="75"/>
      <c r="BL212" s="75" t="s">
        <v>439</v>
      </c>
      <c r="BM212" s="75"/>
    </row>
    <row r="213" spans="1:65" ht="12.75" customHeight="1" x14ac:dyDescent="0.2">
      <c r="A213" s="38"/>
      <c r="B213" s="38"/>
      <c r="C213" s="75"/>
      <c r="D213" s="75"/>
      <c r="E213" s="75"/>
      <c r="F213" s="75"/>
      <c r="G213" s="75"/>
      <c r="H213" s="75"/>
      <c r="I213" s="75"/>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t="s">
        <v>439</v>
      </c>
      <c r="BG213" s="75"/>
      <c r="BH213" s="75"/>
      <c r="BI213" s="75" t="s">
        <v>439</v>
      </c>
      <c r="BJ213" s="75"/>
      <c r="BK213" s="75"/>
      <c r="BL213" s="75" t="s">
        <v>439</v>
      </c>
      <c r="BM213" s="75"/>
    </row>
    <row r="214" spans="1:65" ht="12.75" customHeight="1" x14ac:dyDescent="0.2">
      <c r="A214" s="38"/>
      <c r="B214" s="38"/>
      <c r="C214" s="75"/>
      <c r="D214" s="75"/>
      <c r="E214" s="75"/>
      <c r="F214" s="75"/>
      <c r="G214" s="75"/>
      <c r="H214" s="75"/>
      <c r="I214" s="75"/>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t="s">
        <v>439</v>
      </c>
      <c r="BG214" s="75"/>
      <c r="BH214" s="75"/>
      <c r="BI214" s="75" t="s">
        <v>439</v>
      </c>
      <c r="BJ214" s="75"/>
      <c r="BK214" s="75"/>
      <c r="BL214" s="75" t="s">
        <v>439</v>
      </c>
      <c r="BM214" s="75"/>
    </row>
    <row r="215" spans="1:65" ht="12.75" customHeight="1" x14ac:dyDescent="0.2">
      <c r="A215" s="38"/>
      <c r="B215" s="38"/>
      <c r="C215" s="75"/>
      <c r="D215" s="75"/>
      <c r="E215" s="75"/>
      <c r="F215" s="75"/>
      <c r="G215" s="75"/>
      <c r="H215" s="75"/>
      <c r="I215" s="75"/>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t="s">
        <v>439</v>
      </c>
      <c r="BG215" s="75"/>
      <c r="BH215" s="75"/>
      <c r="BI215" s="75" t="s">
        <v>439</v>
      </c>
      <c r="BJ215" s="75"/>
      <c r="BK215" s="75"/>
      <c r="BL215" s="75" t="s">
        <v>439</v>
      </c>
      <c r="BM215" s="75"/>
    </row>
    <row r="216" spans="1:65" ht="12.75" customHeight="1" x14ac:dyDescent="0.2">
      <c r="A216" s="38"/>
      <c r="B216" s="38"/>
      <c r="C216" s="75"/>
      <c r="D216" s="75"/>
      <c r="E216" s="75"/>
      <c r="F216" s="75"/>
      <c r="G216" s="75"/>
      <c r="H216" s="75"/>
      <c r="I216" s="75"/>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t="s">
        <v>439</v>
      </c>
      <c r="BG216" s="75"/>
      <c r="BH216" s="75"/>
      <c r="BI216" s="75" t="s">
        <v>439</v>
      </c>
      <c r="BJ216" s="75"/>
      <c r="BK216" s="75"/>
      <c r="BL216" s="75" t="s">
        <v>439</v>
      </c>
      <c r="BM216" s="75"/>
    </row>
    <row r="217" spans="1:65" ht="12.75" customHeight="1" x14ac:dyDescent="0.2">
      <c r="A217" s="38"/>
      <c r="B217" s="38"/>
      <c r="C217" s="75"/>
      <c r="D217" s="75"/>
      <c r="E217" s="75"/>
      <c r="F217" s="75"/>
      <c r="G217" s="75"/>
      <c r="H217" s="75"/>
      <c r="I217" s="75"/>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t="s">
        <v>439</v>
      </c>
      <c r="BG217" s="75"/>
      <c r="BH217" s="75"/>
      <c r="BI217" s="75" t="s">
        <v>439</v>
      </c>
      <c r="BJ217" s="75"/>
      <c r="BK217" s="75"/>
      <c r="BL217" s="75" t="s">
        <v>439</v>
      </c>
      <c r="BM217" s="75"/>
    </row>
    <row r="218" spans="1:65" ht="12.75" customHeight="1" x14ac:dyDescent="0.2">
      <c r="A218" s="38"/>
      <c r="B218" s="38"/>
      <c r="C218" s="75"/>
      <c r="D218" s="75"/>
      <c r="E218" s="75"/>
      <c r="F218" s="75"/>
      <c r="G218" s="75"/>
      <c r="H218" s="75"/>
      <c r="I218" s="75"/>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t="s">
        <v>439</v>
      </c>
      <c r="BG218" s="75"/>
      <c r="BH218" s="75"/>
      <c r="BI218" s="75" t="s">
        <v>439</v>
      </c>
      <c r="BJ218" s="75"/>
      <c r="BK218" s="75"/>
      <c r="BL218" s="75" t="s">
        <v>439</v>
      </c>
      <c r="BM218" s="75"/>
    </row>
    <row r="219" spans="1:65" ht="12.75" customHeight="1" x14ac:dyDescent="0.2">
      <c r="A219" s="38"/>
      <c r="B219" s="38"/>
      <c r="C219" s="75"/>
      <c r="D219" s="75"/>
      <c r="E219" s="75"/>
      <c r="F219" s="75"/>
      <c r="G219" s="75"/>
      <c r="H219" s="75"/>
      <c r="I219" s="75"/>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t="s">
        <v>439</v>
      </c>
      <c r="BG219" s="75"/>
      <c r="BH219" s="75"/>
      <c r="BI219" s="75" t="s">
        <v>439</v>
      </c>
      <c r="BJ219" s="75"/>
      <c r="BK219" s="75"/>
      <c r="BL219" s="75" t="s">
        <v>439</v>
      </c>
      <c r="BM219" s="75"/>
    </row>
    <row r="220" spans="1:65" ht="12.75" customHeight="1" x14ac:dyDescent="0.2">
      <c r="A220" s="38"/>
      <c r="B220" s="38"/>
      <c r="C220" s="75"/>
      <c r="D220" s="75"/>
      <c r="E220" s="75"/>
      <c r="F220" s="75"/>
      <c r="G220" s="75"/>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t="s">
        <v>439</v>
      </c>
      <c r="BG220" s="75"/>
      <c r="BH220" s="75"/>
      <c r="BI220" s="75" t="s">
        <v>439</v>
      </c>
      <c r="BJ220" s="75"/>
      <c r="BK220" s="75"/>
      <c r="BL220" s="75" t="s">
        <v>439</v>
      </c>
      <c r="BM220" s="75"/>
    </row>
    <row r="221" spans="1:65" ht="12.75" customHeight="1" x14ac:dyDescent="0.2">
      <c r="A221" s="38"/>
      <c r="B221" s="38"/>
      <c r="C221" s="75"/>
      <c r="D221" s="75"/>
      <c r="E221" s="75"/>
      <c r="F221" s="75"/>
      <c r="G221" s="75"/>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t="s">
        <v>439</v>
      </c>
      <c r="BG221" s="75"/>
      <c r="BH221" s="75"/>
      <c r="BI221" s="75" t="s">
        <v>439</v>
      </c>
      <c r="BJ221" s="75"/>
      <c r="BK221" s="75"/>
      <c r="BL221" s="75" t="s">
        <v>439</v>
      </c>
      <c r="BM221" s="75"/>
    </row>
    <row r="222" spans="1:65" ht="12.75" customHeight="1" x14ac:dyDescent="0.2">
      <c r="A222" s="38"/>
      <c r="B222" s="38"/>
      <c r="C222" s="75"/>
      <c r="D222" s="75"/>
      <c r="E222" s="75"/>
      <c r="F222" s="75"/>
      <c r="G222" s="75"/>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t="s">
        <v>439</v>
      </c>
      <c r="BG222" s="75"/>
      <c r="BH222" s="75"/>
      <c r="BI222" s="75" t="s">
        <v>439</v>
      </c>
      <c r="BJ222" s="75"/>
      <c r="BK222" s="75"/>
      <c r="BL222" s="75" t="s">
        <v>439</v>
      </c>
      <c r="BM222" s="75"/>
    </row>
    <row r="223" spans="1:65" ht="12.75" customHeight="1" x14ac:dyDescent="0.2">
      <c r="A223" s="38"/>
      <c r="B223" s="38"/>
      <c r="C223" s="75"/>
      <c r="D223" s="75"/>
      <c r="E223" s="75"/>
      <c r="F223" s="75"/>
      <c r="G223" s="75"/>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t="s">
        <v>439</v>
      </c>
      <c r="BG223" s="75"/>
      <c r="BH223" s="75"/>
      <c r="BI223" s="75" t="s">
        <v>439</v>
      </c>
      <c r="BJ223" s="75"/>
      <c r="BK223" s="75"/>
      <c r="BL223" s="75" t="s">
        <v>439</v>
      </c>
      <c r="BM223" s="75"/>
    </row>
    <row r="224" spans="1:65" ht="12.75" customHeight="1" x14ac:dyDescent="0.2">
      <c r="A224" s="38"/>
      <c r="B224" s="38"/>
      <c r="C224" s="75"/>
      <c r="D224" s="75"/>
      <c r="E224" s="75"/>
      <c r="F224" s="75"/>
      <c r="G224" s="75"/>
      <c r="H224" s="75"/>
      <c r="I224" s="75"/>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t="s">
        <v>439</v>
      </c>
      <c r="BG224" s="75"/>
      <c r="BH224" s="75"/>
      <c r="BI224" s="75" t="s">
        <v>439</v>
      </c>
      <c r="BJ224" s="75"/>
      <c r="BK224" s="75"/>
      <c r="BL224" s="75" t="s">
        <v>439</v>
      </c>
      <c r="BM224" s="75"/>
    </row>
    <row r="225" spans="1:65" ht="12.75" customHeight="1" x14ac:dyDescent="0.2">
      <c r="A225" s="38"/>
      <c r="B225" s="38"/>
      <c r="C225" s="75"/>
      <c r="D225" s="75"/>
      <c r="E225" s="75"/>
      <c r="F225" s="75"/>
      <c r="G225" s="75"/>
      <c r="H225" s="75"/>
      <c r="I225" s="75"/>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t="s">
        <v>439</v>
      </c>
      <c r="BG225" s="75"/>
      <c r="BH225" s="75"/>
      <c r="BI225" s="75" t="s">
        <v>439</v>
      </c>
      <c r="BJ225" s="75"/>
      <c r="BK225" s="75"/>
      <c r="BL225" s="75" t="s">
        <v>439</v>
      </c>
      <c r="BM225" s="75"/>
    </row>
    <row r="226" spans="1:65" ht="12.75" customHeight="1" x14ac:dyDescent="0.2">
      <c r="A226" s="38"/>
      <c r="B226" s="38"/>
      <c r="C226" s="75"/>
      <c r="D226" s="75"/>
      <c r="E226" s="75"/>
      <c r="F226" s="75"/>
      <c r="G226" s="75"/>
      <c r="H226" s="75"/>
      <c r="I226" s="75"/>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t="s">
        <v>439</v>
      </c>
      <c r="BG226" s="75"/>
      <c r="BH226" s="75"/>
      <c r="BI226" s="75" t="s">
        <v>439</v>
      </c>
      <c r="BJ226" s="75"/>
      <c r="BK226" s="75"/>
      <c r="BL226" s="75" t="s">
        <v>439</v>
      </c>
      <c r="BM226" s="75"/>
    </row>
    <row r="227" spans="1:65" ht="12.75" customHeight="1" x14ac:dyDescent="0.2">
      <c r="A227" s="38"/>
      <c r="B227" s="38"/>
      <c r="C227" s="75"/>
      <c r="D227" s="75"/>
      <c r="E227" s="75"/>
      <c r="F227" s="75"/>
      <c r="G227" s="75"/>
      <c r="H227" s="75"/>
      <c r="I227" s="75"/>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t="s">
        <v>439</v>
      </c>
      <c r="BG227" s="75"/>
      <c r="BH227" s="75"/>
      <c r="BI227" s="75" t="s">
        <v>439</v>
      </c>
      <c r="BJ227" s="75"/>
      <c r="BK227" s="75"/>
      <c r="BL227" s="75" t="s">
        <v>439</v>
      </c>
      <c r="BM227" s="75"/>
    </row>
    <row r="228" spans="1:65" ht="12.75" customHeight="1" x14ac:dyDescent="0.2">
      <c r="A228" s="38"/>
      <c r="B228" s="38"/>
      <c r="C228" s="75"/>
      <c r="D228" s="75"/>
      <c r="E228" s="75"/>
      <c r="F228" s="75"/>
      <c r="G228" s="75"/>
      <c r="H228" s="75"/>
      <c r="I228" s="75"/>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t="s">
        <v>439</v>
      </c>
      <c r="BG228" s="75"/>
      <c r="BH228" s="75"/>
      <c r="BI228" s="75" t="s">
        <v>439</v>
      </c>
      <c r="BJ228" s="75"/>
      <c r="BK228" s="75"/>
      <c r="BL228" s="75" t="s">
        <v>439</v>
      </c>
      <c r="BM228" s="75"/>
    </row>
    <row r="229" spans="1:65" ht="12.75" customHeight="1" x14ac:dyDescent="0.2">
      <c r="A229" s="38"/>
      <c r="B229" s="38"/>
      <c r="C229" s="75"/>
      <c r="D229" s="75"/>
      <c r="E229" s="75"/>
      <c r="F229" s="75"/>
      <c r="G229" s="75"/>
      <c r="H229" s="75"/>
      <c r="I229" s="75"/>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t="s">
        <v>439</v>
      </c>
      <c r="BG229" s="75"/>
      <c r="BH229" s="75"/>
      <c r="BI229" s="75" t="s">
        <v>439</v>
      </c>
      <c r="BJ229" s="75"/>
      <c r="BK229" s="75"/>
      <c r="BL229" s="75" t="s">
        <v>439</v>
      </c>
      <c r="BM229" s="75"/>
    </row>
    <row r="230" spans="1:65" ht="12.75" customHeight="1" x14ac:dyDescent="0.2">
      <c r="A230" s="38"/>
      <c r="B230" s="38"/>
      <c r="C230" s="75"/>
      <c r="D230" s="75"/>
      <c r="E230" s="75"/>
      <c r="F230" s="75"/>
      <c r="G230" s="75"/>
      <c r="H230" s="75"/>
      <c r="I230" s="75"/>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t="s">
        <v>439</v>
      </c>
      <c r="BG230" s="75"/>
      <c r="BH230" s="75"/>
      <c r="BI230" s="75" t="s">
        <v>439</v>
      </c>
      <c r="BJ230" s="75"/>
      <c r="BK230" s="75"/>
      <c r="BL230" s="75" t="s">
        <v>439</v>
      </c>
      <c r="BM230" s="75"/>
    </row>
    <row r="231" spans="1:65" ht="12.75" customHeight="1" x14ac:dyDescent="0.2">
      <c r="A231" s="38"/>
      <c r="B231" s="38"/>
      <c r="C231" s="75"/>
      <c r="D231" s="75"/>
      <c r="E231" s="75"/>
      <c r="F231" s="75"/>
      <c r="G231" s="75"/>
      <c r="H231" s="75"/>
      <c r="I231" s="75"/>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t="s">
        <v>439</v>
      </c>
      <c r="BG231" s="75"/>
      <c r="BH231" s="75"/>
      <c r="BI231" s="75" t="s">
        <v>439</v>
      </c>
      <c r="BJ231" s="75"/>
      <c r="BK231" s="75"/>
      <c r="BL231" s="75" t="s">
        <v>439</v>
      </c>
      <c r="BM231" s="75"/>
    </row>
    <row r="232" spans="1:65" ht="12.75" customHeight="1" x14ac:dyDescent="0.2">
      <c r="A232" s="38"/>
      <c r="B232" s="38"/>
      <c r="C232" s="75"/>
      <c r="D232" s="75"/>
      <c r="E232" s="75"/>
      <c r="F232" s="75"/>
      <c r="G232" s="75"/>
      <c r="H232" s="75"/>
      <c r="I232" s="75"/>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t="s">
        <v>439</v>
      </c>
      <c r="BG232" s="75"/>
      <c r="BH232" s="75"/>
      <c r="BI232" s="75" t="s">
        <v>439</v>
      </c>
      <c r="BJ232" s="75"/>
      <c r="BK232" s="75"/>
      <c r="BL232" s="75" t="s">
        <v>439</v>
      </c>
      <c r="BM232" s="75"/>
    </row>
    <row r="233" spans="1:65" ht="12.75" customHeight="1" x14ac:dyDescent="0.2">
      <c r="A233" s="38"/>
      <c r="B233" s="38"/>
      <c r="C233" s="75"/>
      <c r="D233" s="75"/>
      <c r="E233" s="75"/>
      <c r="F233" s="75"/>
      <c r="G233" s="75"/>
      <c r="H233" s="75"/>
      <c r="I233" s="75"/>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t="s">
        <v>439</v>
      </c>
      <c r="BG233" s="75"/>
      <c r="BH233" s="75"/>
      <c r="BI233" s="75" t="s">
        <v>439</v>
      </c>
      <c r="BJ233" s="75"/>
      <c r="BK233" s="75"/>
      <c r="BL233" s="75" t="s">
        <v>439</v>
      </c>
      <c r="BM233" s="75"/>
    </row>
    <row r="234" spans="1:65" ht="12.75" customHeight="1" x14ac:dyDescent="0.2">
      <c r="A234" s="38"/>
      <c r="B234" s="38"/>
      <c r="C234" s="75"/>
      <c r="D234" s="75"/>
      <c r="E234" s="75"/>
      <c r="F234" s="75"/>
      <c r="G234" s="75"/>
      <c r="H234" s="75"/>
      <c r="I234" s="75"/>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t="s">
        <v>439</v>
      </c>
      <c r="BG234" s="75"/>
      <c r="BH234" s="75"/>
      <c r="BI234" s="75" t="s">
        <v>439</v>
      </c>
      <c r="BJ234" s="75"/>
      <c r="BK234" s="75"/>
      <c r="BL234" s="75" t="s">
        <v>439</v>
      </c>
      <c r="BM234" s="75"/>
    </row>
    <row r="235" spans="1:65" ht="12.75" customHeight="1" x14ac:dyDescent="0.2">
      <c r="A235" s="38"/>
      <c r="B235" s="38"/>
      <c r="C235" s="75"/>
      <c r="D235" s="75"/>
      <c r="E235" s="75"/>
      <c r="F235" s="75"/>
      <c r="G235" s="75"/>
      <c r="H235" s="75"/>
      <c r="I235" s="75"/>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t="s">
        <v>439</v>
      </c>
      <c r="BG235" s="75"/>
      <c r="BH235" s="75"/>
      <c r="BI235" s="75" t="s">
        <v>439</v>
      </c>
      <c r="BJ235" s="75"/>
      <c r="BK235" s="75"/>
      <c r="BL235" s="75" t="s">
        <v>439</v>
      </c>
      <c r="BM235" s="75"/>
    </row>
    <row r="236" spans="1:65" ht="12.75" customHeight="1" x14ac:dyDescent="0.2">
      <c r="A236" s="38"/>
      <c r="B236" s="38"/>
      <c r="C236" s="75"/>
      <c r="D236" s="75"/>
      <c r="E236" s="75"/>
      <c r="F236" s="75"/>
      <c r="G236" s="75"/>
      <c r="H236" s="75"/>
      <c r="I236" s="75"/>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t="s">
        <v>439</v>
      </c>
      <c r="BG236" s="75"/>
      <c r="BH236" s="75"/>
      <c r="BI236" s="75" t="s">
        <v>439</v>
      </c>
      <c r="BJ236" s="75"/>
      <c r="BK236" s="75"/>
      <c r="BL236" s="75" t="s">
        <v>439</v>
      </c>
      <c r="BM236" s="75"/>
    </row>
    <row r="237" spans="1:65" ht="12.75" customHeight="1" x14ac:dyDescent="0.2">
      <c r="A237" s="38"/>
      <c r="B237" s="38"/>
      <c r="C237" s="75"/>
      <c r="D237" s="75"/>
      <c r="E237" s="75"/>
      <c r="F237" s="75"/>
      <c r="G237" s="75"/>
      <c r="H237" s="75"/>
      <c r="I237" s="75"/>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t="s">
        <v>439</v>
      </c>
      <c r="BG237" s="75"/>
      <c r="BH237" s="75"/>
      <c r="BI237" s="75" t="s">
        <v>439</v>
      </c>
      <c r="BJ237" s="75"/>
      <c r="BK237" s="75"/>
      <c r="BL237" s="75" t="s">
        <v>439</v>
      </c>
      <c r="BM237" s="75"/>
    </row>
    <row r="238" spans="1:65" ht="12.75" customHeight="1" x14ac:dyDescent="0.2">
      <c r="A238" s="38"/>
      <c r="B238" s="38"/>
      <c r="C238" s="75"/>
      <c r="D238" s="75"/>
      <c r="E238" s="75"/>
      <c r="F238" s="75"/>
      <c r="G238" s="75"/>
      <c r="H238" s="75"/>
      <c r="I238" s="75"/>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t="s">
        <v>439</v>
      </c>
      <c r="BG238" s="75"/>
      <c r="BH238" s="75"/>
      <c r="BI238" s="75" t="s">
        <v>439</v>
      </c>
      <c r="BJ238" s="75"/>
      <c r="BK238" s="75"/>
      <c r="BL238" s="75" t="s">
        <v>439</v>
      </c>
      <c r="BM238" s="75"/>
    </row>
    <row r="239" spans="1:65" ht="12.75" customHeight="1" x14ac:dyDescent="0.2">
      <c r="A239" s="38"/>
      <c r="B239" s="38"/>
      <c r="C239" s="75"/>
      <c r="D239" s="75"/>
      <c r="E239" s="75"/>
      <c r="F239" s="75"/>
      <c r="G239" s="75"/>
      <c r="H239" s="75"/>
      <c r="I239" s="75"/>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t="s">
        <v>439</v>
      </c>
      <c r="BG239" s="75"/>
      <c r="BH239" s="75"/>
      <c r="BI239" s="75" t="s">
        <v>439</v>
      </c>
      <c r="BJ239" s="75"/>
      <c r="BK239" s="75"/>
      <c r="BL239" s="75" t="s">
        <v>439</v>
      </c>
      <c r="BM239" s="75"/>
    </row>
    <row r="240" spans="1:65" ht="12.75" customHeight="1" x14ac:dyDescent="0.2">
      <c r="A240" s="38"/>
      <c r="B240" s="38"/>
      <c r="C240" s="75"/>
      <c r="D240" s="75"/>
      <c r="E240" s="75"/>
      <c r="F240" s="75"/>
      <c r="G240" s="75"/>
      <c r="H240" s="75"/>
      <c r="I240" s="75"/>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t="s">
        <v>439</v>
      </c>
      <c r="BG240" s="75"/>
      <c r="BH240" s="75"/>
      <c r="BI240" s="75" t="s">
        <v>439</v>
      </c>
      <c r="BJ240" s="75"/>
      <c r="BK240" s="75"/>
      <c r="BL240" s="75" t="s">
        <v>439</v>
      </c>
      <c r="BM240" s="75"/>
    </row>
    <row r="241" spans="1:65" ht="12.75" customHeight="1" x14ac:dyDescent="0.2">
      <c r="A241" s="38"/>
      <c r="B241" s="38"/>
      <c r="C241" s="75"/>
      <c r="D241" s="75"/>
      <c r="E241" s="75"/>
      <c r="F241" s="75"/>
      <c r="G241" s="75"/>
      <c r="H241" s="75"/>
      <c r="I241" s="75"/>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t="s">
        <v>439</v>
      </c>
      <c r="BG241" s="75"/>
      <c r="BH241" s="75"/>
      <c r="BI241" s="75" t="s">
        <v>439</v>
      </c>
      <c r="BJ241" s="75"/>
      <c r="BK241" s="75"/>
      <c r="BL241" s="75" t="s">
        <v>439</v>
      </c>
      <c r="BM241" s="75"/>
    </row>
    <row r="242" spans="1:65" ht="12.75" customHeight="1" x14ac:dyDescent="0.2">
      <c r="A242" s="38"/>
      <c r="B242" s="38"/>
      <c r="C242" s="75"/>
      <c r="D242" s="75"/>
      <c r="E242" s="75"/>
      <c r="F242" s="75"/>
      <c r="G242" s="75"/>
      <c r="H242" s="75"/>
      <c r="I242" s="75"/>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t="s">
        <v>439</v>
      </c>
      <c r="BG242" s="75"/>
      <c r="BH242" s="75"/>
      <c r="BI242" s="75" t="s">
        <v>439</v>
      </c>
      <c r="BJ242" s="75"/>
      <c r="BK242" s="75"/>
      <c r="BL242" s="75" t="s">
        <v>439</v>
      </c>
      <c r="BM242" s="75"/>
    </row>
    <row r="243" spans="1:65" ht="12.75" customHeight="1" x14ac:dyDescent="0.2">
      <c r="A243" s="38"/>
      <c r="B243" s="38"/>
      <c r="C243" s="75"/>
      <c r="D243" s="75"/>
      <c r="E243" s="75"/>
      <c r="F243" s="75"/>
      <c r="G243" s="75"/>
      <c r="H243" s="75"/>
      <c r="I243" s="75"/>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t="s">
        <v>439</v>
      </c>
      <c r="BG243" s="75"/>
      <c r="BH243" s="75"/>
      <c r="BI243" s="75" t="s">
        <v>439</v>
      </c>
      <c r="BJ243" s="75"/>
      <c r="BK243" s="75"/>
      <c r="BL243" s="75" t="s">
        <v>439</v>
      </c>
      <c r="BM243" s="75"/>
    </row>
    <row r="244" spans="1:65" ht="12.75" customHeight="1" x14ac:dyDescent="0.2">
      <c r="A244" s="38"/>
      <c r="B244" s="38"/>
      <c r="C244" s="75"/>
      <c r="D244" s="75"/>
      <c r="E244" s="75"/>
      <c r="F244" s="75"/>
      <c r="G244" s="75"/>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t="s">
        <v>439</v>
      </c>
      <c r="BG244" s="75"/>
      <c r="BH244" s="75"/>
      <c r="BI244" s="75" t="s">
        <v>439</v>
      </c>
      <c r="BJ244" s="75"/>
      <c r="BK244" s="75"/>
      <c r="BL244" s="75" t="s">
        <v>439</v>
      </c>
      <c r="BM244" s="75"/>
    </row>
    <row r="245" spans="1:65" ht="12.75" customHeight="1" x14ac:dyDescent="0.2">
      <c r="A245" s="38"/>
      <c r="B245" s="38"/>
      <c r="C245" s="75"/>
      <c r="D245" s="75"/>
      <c r="E245" s="75"/>
      <c r="F245" s="75"/>
      <c r="G245" s="75"/>
      <c r="H245" s="75"/>
      <c r="I245" s="75"/>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t="s">
        <v>439</v>
      </c>
      <c r="BG245" s="75"/>
      <c r="BH245" s="75"/>
      <c r="BI245" s="75" t="s">
        <v>439</v>
      </c>
      <c r="BJ245" s="75"/>
      <c r="BK245" s="75"/>
      <c r="BL245" s="75" t="s">
        <v>439</v>
      </c>
      <c r="BM245" s="75"/>
    </row>
    <row r="246" spans="1:65" ht="12.75" customHeight="1" x14ac:dyDescent="0.2">
      <c r="A246" s="38"/>
      <c r="B246" s="38"/>
      <c r="C246" s="75"/>
      <c r="D246" s="75"/>
      <c r="E246" s="75"/>
      <c r="F246" s="75"/>
      <c r="G246" s="75"/>
      <c r="H246" s="75"/>
      <c r="I246" s="75"/>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t="s">
        <v>439</v>
      </c>
      <c r="BG246" s="75"/>
      <c r="BH246" s="75"/>
      <c r="BI246" s="75" t="s">
        <v>439</v>
      </c>
      <c r="BJ246" s="75"/>
      <c r="BK246" s="75"/>
      <c r="BL246" s="75" t="s">
        <v>439</v>
      </c>
      <c r="BM246" s="75"/>
    </row>
    <row r="247" spans="1:65" ht="12.75" customHeight="1" x14ac:dyDescent="0.2">
      <c r="A247" s="38"/>
      <c r="B247" s="38"/>
      <c r="C247" s="75"/>
      <c r="D247" s="75"/>
      <c r="E247" s="75"/>
      <c r="F247" s="75"/>
      <c r="G247" s="75"/>
      <c r="H247" s="75"/>
      <c r="I247" s="75"/>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t="s">
        <v>439</v>
      </c>
      <c r="BG247" s="75"/>
      <c r="BH247" s="75"/>
      <c r="BI247" s="75" t="s">
        <v>439</v>
      </c>
      <c r="BJ247" s="75"/>
      <c r="BK247" s="75"/>
      <c r="BL247" s="75" t="s">
        <v>439</v>
      </c>
      <c r="BM247" s="75"/>
    </row>
    <row r="248" spans="1:65" ht="12.75" customHeight="1" x14ac:dyDescent="0.2">
      <c r="A248" s="38"/>
      <c r="B248" s="38"/>
      <c r="C248" s="75"/>
      <c r="D248" s="75"/>
      <c r="E248" s="75"/>
      <c r="F248" s="75"/>
      <c r="G248" s="75"/>
      <c r="H248" s="75"/>
      <c r="I248" s="75"/>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t="s">
        <v>439</v>
      </c>
      <c r="BG248" s="75"/>
      <c r="BH248" s="75"/>
      <c r="BI248" s="75" t="s">
        <v>439</v>
      </c>
      <c r="BJ248" s="75"/>
      <c r="BK248" s="75"/>
      <c r="BL248" s="75" t="s">
        <v>439</v>
      </c>
      <c r="BM248" s="75"/>
    </row>
    <row r="249" spans="1:65" ht="12.75" customHeight="1" x14ac:dyDescent="0.2">
      <c r="A249" s="38"/>
      <c r="B249" s="38"/>
      <c r="C249" s="75"/>
      <c r="D249" s="75"/>
      <c r="E249" s="75"/>
      <c r="F249" s="75"/>
      <c r="G249" s="75"/>
      <c r="H249" s="75"/>
      <c r="I249" s="75"/>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t="s">
        <v>439</v>
      </c>
      <c r="BG249" s="75"/>
      <c r="BH249" s="75"/>
      <c r="BI249" s="75" t="s">
        <v>439</v>
      </c>
      <c r="BJ249" s="75"/>
      <c r="BK249" s="75"/>
      <c r="BL249" s="75" t="s">
        <v>439</v>
      </c>
      <c r="BM249" s="75"/>
    </row>
    <row r="250" spans="1:65" ht="12.75" customHeight="1" x14ac:dyDescent="0.2">
      <c r="A250" s="38"/>
      <c r="B250" s="38"/>
      <c r="C250" s="75"/>
      <c r="D250" s="75"/>
      <c r="E250" s="75"/>
      <c r="F250" s="75"/>
      <c r="G250" s="75"/>
      <c r="H250" s="75"/>
      <c r="I250" s="75"/>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t="s">
        <v>439</v>
      </c>
      <c r="BG250" s="75"/>
      <c r="BH250" s="75"/>
      <c r="BI250" s="75" t="s">
        <v>439</v>
      </c>
      <c r="BJ250" s="75"/>
      <c r="BK250" s="75"/>
      <c r="BL250" s="75" t="s">
        <v>439</v>
      </c>
      <c r="BM250" s="75"/>
    </row>
    <row r="251" spans="1:65" ht="12.75" customHeight="1" x14ac:dyDescent="0.2">
      <c r="A251" s="38"/>
      <c r="B251" s="38"/>
      <c r="C251" s="75"/>
      <c r="D251" s="75"/>
      <c r="E251" s="75"/>
      <c r="F251" s="75"/>
      <c r="G251" s="75"/>
      <c r="H251" s="75"/>
      <c r="I251" s="75"/>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t="s">
        <v>439</v>
      </c>
      <c r="BG251" s="75"/>
      <c r="BH251" s="75"/>
      <c r="BI251" s="75" t="s">
        <v>439</v>
      </c>
      <c r="BJ251" s="75"/>
      <c r="BK251" s="75"/>
      <c r="BL251" s="75" t="s">
        <v>439</v>
      </c>
      <c r="BM251" s="75"/>
    </row>
    <row r="252" spans="1:65" ht="12.75" customHeight="1" x14ac:dyDescent="0.2">
      <c r="A252" s="38"/>
      <c r="B252" s="38"/>
      <c r="C252" s="75"/>
      <c r="D252" s="75"/>
      <c r="E252" s="75"/>
      <c r="F252" s="75"/>
      <c r="G252" s="75"/>
      <c r="H252" s="75"/>
      <c r="I252" s="75"/>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t="s">
        <v>439</v>
      </c>
      <c r="BG252" s="75"/>
      <c r="BH252" s="75"/>
      <c r="BI252" s="75" t="s">
        <v>439</v>
      </c>
      <c r="BJ252" s="75"/>
      <c r="BK252" s="75"/>
      <c r="BL252" s="75" t="s">
        <v>439</v>
      </c>
      <c r="BM252" s="75"/>
    </row>
    <row r="253" spans="1:65" ht="12.75" customHeight="1" x14ac:dyDescent="0.2">
      <c r="A253" s="38"/>
      <c r="B253" s="38"/>
      <c r="C253" s="75"/>
      <c r="D253" s="75"/>
      <c r="E253" s="75"/>
      <c r="F253" s="75"/>
      <c r="G253" s="75"/>
      <c r="H253" s="75"/>
      <c r="I253" s="75"/>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t="s">
        <v>439</v>
      </c>
      <c r="BG253" s="75"/>
      <c r="BH253" s="75"/>
      <c r="BI253" s="75" t="s">
        <v>439</v>
      </c>
      <c r="BJ253" s="75"/>
      <c r="BK253" s="75"/>
      <c r="BL253" s="75" t="s">
        <v>439</v>
      </c>
      <c r="BM253" s="75"/>
    </row>
    <row r="254" spans="1:65" ht="12.75" customHeight="1" x14ac:dyDescent="0.2">
      <c r="A254" s="38"/>
      <c r="B254" s="38"/>
      <c r="C254" s="75"/>
      <c r="D254" s="75"/>
      <c r="E254" s="75"/>
      <c r="F254" s="75"/>
      <c r="G254" s="75"/>
      <c r="H254" s="75"/>
      <c r="I254" s="75"/>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t="s">
        <v>439</v>
      </c>
      <c r="BG254" s="75"/>
      <c r="BH254" s="75"/>
      <c r="BI254" s="75" t="s">
        <v>439</v>
      </c>
      <c r="BJ254" s="75"/>
      <c r="BK254" s="75"/>
      <c r="BL254" s="75" t="s">
        <v>439</v>
      </c>
      <c r="BM254" s="75"/>
    </row>
    <row r="255" spans="1:65" ht="12.75" customHeight="1" x14ac:dyDescent="0.2">
      <c r="A255" s="38"/>
      <c r="B255" s="38"/>
      <c r="C255" s="75"/>
      <c r="D255" s="75"/>
      <c r="E255" s="75"/>
      <c r="F255" s="75"/>
      <c r="G255" s="75"/>
      <c r="H255" s="75"/>
      <c r="I255" s="75"/>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t="s">
        <v>439</v>
      </c>
      <c r="BG255" s="75"/>
      <c r="BH255" s="75"/>
      <c r="BI255" s="75" t="s">
        <v>439</v>
      </c>
      <c r="BJ255" s="75"/>
      <c r="BK255" s="75"/>
      <c r="BL255" s="75" t="s">
        <v>439</v>
      </c>
      <c r="BM255" s="75"/>
    </row>
    <row r="256" spans="1:65" ht="12.75" customHeight="1" x14ac:dyDescent="0.2">
      <c r="A256" s="38"/>
      <c r="B256" s="38"/>
      <c r="C256" s="75"/>
      <c r="D256" s="75"/>
      <c r="E256" s="75"/>
      <c r="F256" s="75"/>
      <c r="G256" s="75"/>
      <c r="H256" s="75"/>
      <c r="I256" s="75"/>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t="s">
        <v>439</v>
      </c>
      <c r="BG256" s="75"/>
      <c r="BH256" s="75"/>
      <c r="BI256" s="75" t="s">
        <v>439</v>
      </c>
      <c r="BJ256" s="75"/>
      <c r="BK256" s="75"/>
      <c r="BL256" s="75" t="s">
        <v>439</v>
      </c>
      <c r="BM256" s="75"/>
    </row>
    <row r="257" spans="1:65" ht="12.75" customHeight="1" x14ac:dyDescent="0.2">
      <c r="A257" s="38"/>
      <c r="B257" s="38"/>
      <c r="C257" s="75"/>
      <c r="D257" s="75"/>
      <c r="E257" s="75"/>
      <c r="F257" s="75"/>
      <c r="G257" s="75"/>
      <c r="H257" s="75"/>
      <c r="I257" s="75"/>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t="s">
        <v>439</v>
      </c>
      <c r="BG257" s="75"/>
      <c r="BH257" s="75"/>
      <c r="BI257" s="75" t="s">
        <v>439</v>
      </c>
      <c r="BJ257" s="75"/>
      <c r="BK257" s="75"/>
      <c r="BL257" s="75" t="s">
        <v>439</v>
      </c>
      <c r="BM257" s="75"/>
    </row>
    <row r="258" spans="1:65" ht="12.75" customHeight="1" x14ac:dyDescent="0.2">
      <c r="A258" s="38"/>
      <c r="B258" s="38"/>
      <c r="C258" s="75"/>
      <c r="D258" s="75"/>
      <c r="E258" s="75"/>
      <c r="F258" s="75"/>
      <c r="G258" s="75"/>
      <c r="H258" s="75"/>
      <c r="I258" s="75"/>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t="s">
        <v>439</v>
      </c>
      <c r="BG258" s="75"/>
      <c r="BH258" s="75"/>
      <c r="BI258" s="75" t="s">
        <v>439</v>
      </c>
      <c r="BJ258" s="75"/>
      <c r="BK258" s="75"/>
      <c r="BL258" s="75" t="s">
        <v>439</v>
      </c>
      <c r="BM258" s="75"/>
    </row>
    <row r="259" spans="1:65" ht="12.75" customHeight="1" x14ac:dyDescent="0.2">
      <c r="A259" s="38"/>
      <c r="B259" s="38"/>
      <c r="C259" s="75"/>
      <c r="D259" s="75"/>
      <c r="E259" s="75"/>
      <c r="F259" s="75"/>
      <c r="G259" s="75"/>
      <c r="H259" s="75"/>
      <c r="I259" s="75"/>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t="s">
        <v>439</v>
      </c>
      <c r="BG259" s="75"/>
      <c r="BH259" s="75"/>
      <c r="BI259" s="75" t="s">
        <v>439</v>
      </c>
      <c r="BJ259" s="75"/>
      <c r="BK259" s="75"/>
      <c r="BL259" s="75" t="s">
        <v>439</v>
      </c>
      <c r="BM259" s="75"/>
    </row>
    <row r="260" spans="1:65" ht="12.75" customHeight="1" x14ac:dyDescent="0.2">
      <c r="A260" s="38"/>
      <c r="B260" s="38"/>
      <c r="C260" s="75"/>
      <c r="D260" s="75"/>
      <c r="E260" s="75"/>
      <c r="F260" s="75"/>
      <c r="G260" s="75"/>
      <c r="H260" s="75"/>
      <c r="I260" s="75"/>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t="s">
        <v>439</v>
      </c>
      <c r="BG260" s="75"/>
      <c r="BH260" s="75"/>
      <c r="BI260" s="75" t="s">
        <v>439</v>
      </c>
      <c r="BJ260" s="75"/>
      <c r="BK260" s="75"/>
      <c r="BL260" s="75" t="s">
        <v>439</v>
      </c>
      <c r="BM260" s="75"/>
    </row>
    <row r="261" spans="1:65" ht="12.75" customHeight="1" x14ac:dyDescent="0.2">
      <c r="A261" s="38"/>
      <c r="B261" s="38"/>
      <c r="C261" s="75"/>
      <c r="D261" s="75"/>
      <c r="E261" s="75"/>
      <c r="F261" s="75"/>
      <c r="G261" s="75"/>
      <c r="H261" s="75"/>
      <c r="I261" s="75"/>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t="s">
        <v>439</v>
      </c>
      <c r="BG261" s="75"/>
      <c r="BH261" s="75"/>
      <c r="BI261" s="75" t="s">
        <v>439</v>
      </c>
      <c r="BJ261" s="75"/>
      <c r="BK261" s="75"/>
      <c r="BL261" s="75" t="s">
        <v>439</v>
      </c>
      <c r="BM261" s="75"/>
    </row>
    <row r="262" spans="1:65" ht="12.75" customHeight="1" x14ac:dyDescent="0.2">
      <c r="A262" s="38"/>
      <c r="B262" s="38"/>
      <c r="C262" s="75"/>
      <c r="D262" s="75"/>
      <c r="E262" s="75"/>
      <c r="F262" s="75"/>
      <c r="G262" s="75"/>
      <c r="H262" s="75"/>
      <c r="I262" s="75"/>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t="s">
        <v>439</v>
      </c>
      <c r="BG262" s="75"/>
      <c r="BH262" s="75"/>
      <c r="BI262" s="75" t="s">
        <v>439</v>
      </c>
      <c r="BJ262" s="75"/>
      <c r="BK262" s="75"/>
      <c r="BL262" s="75" t="s">
        <v>439</v>
      </c>
      <c r="BM262" s="75"/>
    </row>
    <row r="263" spans="1:65" ht="12.75" customHeight="1" x14ac:dyDescent="0.2">
      <c r="A263" s="38"/>
      <c r="B263" s="38"/>
      <c r="C263" s="75"/>
      <c r="D263" s="75"/>
      <c r="E263" s="75"/>
      <c r="F263" s="75"/>
      <c r="G263" s="75"/>
      <c r="H263" s="75"/>
      <c r="I263" s="75"/>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t="s">
        <v>439</v>
      </c>
      <c r="BG263" s="75"/>
      <c r="BH263" s="75"/>
      <c r="BI263" s="75" t="s">
        <v>439</v>
      </c>
      <c r="BJ263" s="75"/>
      <c r="BK263" s="75"/>
      <c r="BL263" s="75" t="s">
        <v>439</v>
      </c>
      <c r="BM263" s="75"/>
    </row>
    <row r="264" spans="1:65" ht="12.75" customHeight="1" x14ac:dyDescent="0.2">
      <c r="A264" s="38"/>
      <c r="B264" s="38"/>
      <c r="C264" s="75"/>
      <c r="D264" s="75"/>
      <c r="E264" s="75"/>
      <c r="F264" s="75"/>
      <c r="G264" s="75"/>
      <c r="H264" s="75"/>
      <c r="I264" s="75"/>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t="s">
        <v>439</v>
      </c>
      <c r="BG264" s="75"/>
      <c r="BH264" s="75"/>
      <c r="BI264" s="75" t="s">
        <v>439</v>
      </c>
      <c r="BJ264" s="75"/>
      <c r="BK264" s="75"/>
      <c r="BL264" s="75" t="s">
        <v>439</v>
      </c>
      <c r="BM264" s="75"/>
    </row>
    <row r="265" spans="1:65" ht="12.75" customHeight="1" x14ac:dyDescent="0.2">
      <c r="A265" s="38"/>
      <c r="B265" s="38"/>
      <c r="C265" s="75"/>
      <c r="D265" s="75"/>
      <c r="E265" s="75"/>
      <c r="F265" s="75"/>
      <c r="G265" s="75"/>
      <c r="H265" s="75"/>
      <c r="I265" s="75"/>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t="s">
        <v>439</v>
      </c>
      <c r="BG265" s="75"/>
      <c r="BH265" s="75"/>
      <c r="BI265" s="75" t="s">
        <v>439</v>
      </c>
      <c r="BJ265" s="75"/>
      <c r="BK265" s="75"/>
      <c r="BL265" s="75" t="s">
        <v>439</v>
      </c>
      <c r="BM265" s="75"/>
    </row>
    <row r="266" spans="1:65" ht="12.75" customHeight="1" x14ac:dyDescent="0.2">
      <c r="A266" s="38"/>
      <c r="B266" s="38"/>
      <c r="C266" s="75"/>
      <c r="D266" s="75"/>
      <c r="E266" s="75"/>
      <c r="F266" s="75"/>
      <c r="G266" s="75"/>
      <c r="H266" s="75"/>
      <c r="I266" s="75"/>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t="s">
        <v>439</v>
      </c>
      <c r="BG266" s="75"/>
      <c r="BH266" s="75"/>
      <c r="BI266" s="75" t="s">
        <v>439</v>
      </c>
      <c r="BJ266" s="75"/>
      <c r="BK266" s="75"/>
      <c r="BL266" s="75" t="s">
        <v>439</v>
      </c>
      <c r="BM266" s="75"/>
    </row>
    <row r="267" spans="1:65" ht="12.75" customHeight="1" x14ac:dyDescent="0.2">
      <c r="A267" s="38"/>
      <c r="B267" s="38"/>
      <c r="C267" s="75"/>
      <c r="D267" s="75"/>
      <c r="E267" s="75"/>
      <c r="F267" s="75"/>
      <c r="G267" s="75"/>
      <c r="H267" s="75"/>
      <c r="I267" s="75"/>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t="s">
        <v>439</v>
      </c>
      <c r="BG267" s="75"/>
      <c r="BH267" s="75"/>
      <c r="BI267" s="75" t="s">
        <v>439</v>
      </c>
      <c r="BJ267" s="75"/>
      <c r="BK267" s="75"/>
      <c r="BL267" s="75" t="s">
        <v>439</v>
      </c>
      <c r="BM267" s="75"/>
    </row>
    <row r="268" spans="1:65" ht="12.75" customHeight="1" x14ac:dyDescent="0.2">
      <c r="A268" s="38"/>
      <c r="B268" s="38"/>
      <c r="C268" s="75"/>
      <c r="D268" s="75"/>
      <c r="E268" s="75"/>
      <c r="F268" s="75"/>
      <c r="G268" s="75"/>
      <c r="H268" s="75"/>
      <c r="I268" s="75"/>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t="s">
        <v>439</v>
      </c>
      <c r="BG268" s="75"/>
      <c r="BH268" s="75"/>
      <c r="BI268" s="75" t="s">
        <v>439</v>
      </c>
      <c r="BJ268" s="75"/>
      <c r="BK268" s="75"/>
      <c r="BL268" s="75" t="s">
        <v>439</v>
      </c>
      <c r="BM268" s="75"/>
    </row>
    <row r="269" spans="1:65" ht="12.75" customHeight="1" x14ac:dyDescent="0.2">
      <c r="A269" s="38"/>
      <c r="B269" s="38"/>
      <c r="C269" s="75"/>
      <c r="D269" s="75"/>
      <c r="E269" s="75"/>
      <c r="F269" s="75"/>
      <c r="G269" s="75"/>
      <c r="H269" s="75"/>
      <c r="I269" s="75"/>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t="s">
        <v>439</v>
      </c>
      <c r="BG269" s="75"/>
      <c r="BH269" s="75"/>
      <c r="BI269" s="75" t="s">
        <v>439</v>
      </c>
      <c r="BJ269" s="75"/>
      <c r="BK269" s="75"/>
      <c r="BL269" s="75" t="s">
        <v>439</v>
      </c>
      <c r="BM269" s="75"/>
    </row>
    <row r="270" spans="1:65" ht="12.75" customHeight="1" x14ac:dyDescent="0.2">
      <c r="A270" s="38"/>
      <c r="B270" s="38"/>
      <c r="C270" s="75"/>
      <c r="D270" s="75"/>
      <c r="E270" s="75"/>
      <c r="F270" s="75"/>
      <c r="G270" s="75"/>
      <c r="H270" s="75"/>
      <c r="I270" s="75"/>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t="s">
        <v>439</v>
      </c>
      <c r="BG270" s="75"/>
      <c r="BH270" s="75"/>
      <c r="BI270" s="75" t="s">
        <v>439</v>
      </c>
      <c r="BJ270" s="75"/>
      <c r="BK270" s="75"/>
      <c r="BL270" s="75" t="s">
        <v>439</v>
      </c>
      <c r="BM270" s="75"/>
    </row>
    <row r="271" spans="1:65" ht="12.75" customHeight="1" x14ac:dyDescent="0.2">
      <c r="A271" s="38"/>
      <c r="B271" s="38"/>
      <c r="C271" s="75"/>
      <c r="D271" s="75"/>
      <c r="E271" s="75"/>
      <c r="F271" s="75"/>
      <c r="G271" s="75"/>
      <c r="H271" s="75"/>
      <c r="I271" s="75"/>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t="s">
        <v>439</v>
      </c>
      <c r="BG271" s="75"/>
      <c r="BH271" s="75"/>
      <c r="BI271" s="75" t="s">
        <v>439</v>
      </c>
      <c r="BJ271" s="75"/>
      <c r="BK271" s="75"/>
      <c r="BL271" s="75" t="s">
        <v>439</v>
      </c>
      <c r="BM271" s="75"/>
    </row>
    <row r="272" spans="1:65" ht="12.75" customHeight="1" x14ac:dyDescent="0.2">
      <c r="A272" s="38"/>
      <c r="B272" s="38"/>
      <c r="C272" s="75"/>
      <c r="D272" s="75"/>
      <c r="E272" s="75"/>
      <c r="F272" s="75"/>
      <c r="G272" s="75"/>
      <c r="H272" s="75"/>
      <c r="I272" s="75"/>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t="s">
        <v>439</v>
      </c>
      <c r="BG272" s="75"/>
      <c r="BH272" s="75"/>
      <c r="BI272" s="75" t="s">
        <v>439</v>
      </c>
      <c r="BJ272" s="75"/>
      <c r="BK272" s="75"/>
      <c r="BL272" s="75" t="s">
        <v>439</v>
      </c>
      <c r="BM272" s="75"/>
    </row>
    <row r="273" spans="1:65" ht="12.75" customHeight="1" x14ac:dyDescent="0.2">
      <c r="A273" s="38"/>
      <c r="B273" s="38"/>
      <c r="C273" s="75"/>
      <c r="D273" s="75"/>
      <c r="E273" s="75"/>
      <c r="F273" s="75"/>
      <c r="G273" s="75"/>
      <c r="H273" s="75"/>
      <c r="I273" s="75"/>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t="s">
        <v>439</v>
      </c>
      <c r="BG273" s="75"/>
      <c r="BH273" s="75"/>
      <c r="BI273" s="75" t="s">
        <v>439</v>
      </c>
      <c r="BJ273" s="75"/>
      <c r="BK273" s="75"/>
      <c r="BL273" s="75" t="s">
        <v>439</v>
      </c>
      <c r="BM273" s="75"/>
    </row>
    <row r="274" spans="1:65" ht="12.75" customHeight="1" x14ac:dyDescent="0.2">
      <c r="A274" s="38"/>
      <c r="B274" s="38"/>
      <c r="C274" s="75"/>
      <c r="D274" s="75"/>
      <c r="E274" s="75"/>
      <c r="F274" s="75"/>
      <c r="G274" s="75"/>
      <c r="H274" s="75"/>
      <c r="I274" s="75"/>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t="s">
        <v>439</v>
      </c>
      <c r="BG274" s="75"/>
      <c r="BH274" s="75"/>
      <c r="BI274" s="75" t="s">
        <v>439</v>
      </c>
      <c r="BJ274" s="75"/>
      <c r="BK274" s="75"/>
      <c r="BL274" s="75" t="s">
        <v>439</v>
      </c>
      <c r="BM274" s="75"/>
    </row>
    <row r="275" spans="1:65" ht="12.75" customHeight="1" x14ac:dyDescent="0.2">
      <c r="A275" s="38"/>
      <c r="B275" s="38"/>
      <c r="C275" s="75"/>
      <c r="D275" s="75"/>
      <c r="E275" s="75"/>
      <c r="F275" s="75"/>
      <c r="G275" s="75"/>
      <c r="H275" s="75"/>
      <c r="I275" s="75"/>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t="s">
        <v>439</v>
      </c>
      <c r="BG275" s="75"/>
      <c r="BH275" s="75"/>
      <c r="BI275" s="75" t="s">
        <v>439</v>
      </c>
      <c r="BJ275" s="75"/>
      <c r="BK275" s="75"/>
      <c r="BL275" s="75" t="s">
        <v>439</v>
      </c>
      <c r="BM275" s="75"/>
    </row>
    <row r="276" spans="1:65" ht="12.75" customHeight="1" x14ac:dyDescent="0.2">
      <c r="A276" s="38"/>
      <c r="B276" s="38"/>
      <c r="C276" s="75"/>
      <c r="D276" s="75"/>
      <c r="E276" s="75"/>
      <c r="F276" s="75"/>
      <c r="G276" s="75"/>
      <c r="H276" s="75"/>
      <c r="I276" s="75"/>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t="s">
        <v>439</v>
      </c>
      <c r="BG276" s="75"/>
      <c r="BH276" s="75"/>
      <c r="BI276" s="75" t="s">
        <v>439</v>
      </c>
      <c r="BJ276" s="75"/>
      <c r="BK276" s="75"/>
      <c r="BL276" s="75" t="s">
        <v>439</v>
      </c>
      <c r="BM276" s="75"/>
    </row>
    <row r="277" spans="1:65" ht="12.75" customHeight="1" x14ac:dyDescent="0.2">
      <c r="A277" s="38"/>
      <c r="B277" s="38"/>
      <c r="C277" s="75"/>
      <c r="D277" s="75"/>
      <c r="E277" s="75"/>
      <c r="F277" s="75"/>
      <c r="G277" s="75"/>
      <c r="H277" s="75"/>
      <c r="I277" s="75"/>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t="s">
        <v>439</v>
      </c>
      <c r="BG277" s="75"/>
      <c r="BH277" s="75"/>
      <c r="BI277" s="75" t="s">
        <v>439</v>
      </c>
      <c r="BJ277" s="75"/>
      <c r="BK277" s="75"/>
      <c r="BL277" s="75" t="s">
        <v>439</v>
      </c>
      <c r="BM277" s="75"/>
    </row>
    <row r="278" spans="1:65" ht="12.75" customHeight="1" x14ac:dyDescent="0.2">
      <c r="A278" s="38"/>
      <c r="B278" s="38"/>
      <c r="C278" s="75"/>
      <c r="D278" s="75"/>
      <c r="E278" s="75"/>
      <c r="F278" s="75"/>
      <c r="G278" s="75"/>
      <c r="H278" s="75"/>
      <c r="I278" s="75"/>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t="s">
        <v>439</v>
      </c>
      <c r="BG278" s="75"/>
      <c r="BH278" s="75"/>
      <c r="BI278" s="75" t="s">
        <v>439</v>
      </c>
      <c r="BJ278" s="75"/>
      <c r="BK278" s="75"/>
      <c r="BL278" s="75" t="s">
        <v>439</v>
      </c>
      <c r="BM278" s="75"/>
    </row>
    <row r="279" spans="1:65" ht="12.75" customHeight="1" x14ac:dyDescent="0.2">
      <c r="A279" s="38"/>
      <c r="B279" s="38"/>
      <c r="C279" s="75"/>
      <c r="D279" s="75"/>
      <c r="E279" s="75"/>
      <c r="F279" s="75"/>
      <c r="G279" s="75"/>
      <c r="H279" s="75"/>
      <c r="I279" s="75"/>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t="s">
        <v>439</v>
      </c>
      <c r="BG279" s="75"/>
      <c r="BH279" s="75"/>
      <c r="BI279" s="75" t="s">
        <v>439</v>
      </c>
      <c r="BJ279" s="75"/>
      <c r="BK279" s="75"/>
      <c r="BL279" s="75" t="s">
        <v>439</v>
      </c>
      <c r="BM279" s="75"/>
    </row>
    <row r="280" spans="1:65" ht="12.75" customHeight="1" x14ac:dyDescent="0.2">
      <c r="A280" s="38"/>
      <c r="B280" s="38"/>
      <c r="C280" s="75"/>
      <c r="D280" s="75"/>
      <c r="E280" s="75"/>
      <c r="F280" s="75"/>
      <c r="G280" s="75"/>
      <c r="H280" s="75"/>
      <c r="I280" s="75"/>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t="s">
        <v>439</v>
      </c>
      <c r="BG280" s="75"/>
      <c r="BH280" s="75"/>
      <c r="BI280" s="75" t="s">
        <v>439</v>
      </c>
      <c r="BJ280" s="75"/>
      <c r="BK280" s="75"/>
      <c r="BL280" s="75" t="s">
        <v>439</v>
      </c>
      <c r="BM280" s="75"/>
    </row>
    <row r="281" spans="1:65" ht="12.75" customHeight="1" x14ac:dyDescent="0.2">
      <c r="A281" s="38"/>
      <c r="B281" s="38"/>
      <c r="C281" s="75"/>
      <c r="D281" s="75"/>
      <c r="E281" s="75"/>
      <c r="F281" s="75"/>
      <c r="G281" s="75"/>
      <c r="H281" s="75"/>
      <c r="I281" s="75"/>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t="s">
        <v>439</v>
      </c>
      <c r="BG281" s="75"/>
      <c r="BH281" s="75"/>
      <c r="BI281" s="75" t="s">
        <v>439</v>
      </c>
      <c r="BJ281" s="75"/>
      <c r="BK281" s="75"/>
      <c r="BL281" s="75" t="s">
        <v>439</v>
      </c>
      <c r="BM281" s="75"/>
    </row>
    <row r="282" spans="1:65" ht="12.75" customHeight="1" x14ac:dyDescent="0.2">
      <c r="A282" s="38"/>
      <c r="B282" s="38"/>
      <c r="C282" s="75"/>
      <c r="D282" s="75"/>
      <c r="E282" s="75"/>
      <c r="F282" s="75"/>
      <c r="G282" s="75"/>
      <c r="H282" s="75"/>
      <c r="I282" s="75"/>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t="s">
        <v>439</v>
      </c>
      <c r="BG282" s="75"/>
      <c r="BH282" s="75"/>
      <c r="BI282" s="75" t="s">
        <v>439</v>
      </c>
      <c r="BJ282" s="75"/>
      <c r="BK282" s="75"/>
      <c r="BL282" s="75" t="s">
        <v>439</v>
      </c>
      <c r="BM282" s="75"/>
    </row>
    <row r="283" spans="1:65" ht="12.75" customHeight="1" x14ac:dyDescent="0.2">
      <c r="A283" s="38"/>
      <c r="B283" s="38"/>
      <c r="C283" s="75"/>
      <c r="D283" s="75"/>
      <c r="E283" s="75"/>
      <c r="F283" s="75"/>
      <c r="G283" s="75"/>
      <c r="H283" s="75"/>
      <c r="I283" s="75"/>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t="s">
        <v>439</v>
      </c>
      <c r="BG283" s="75"/>
      <c r="BH283" s="75"/>
      <c r="BI283" s="75" t="s">
        <v>439</v>
      </c>
      <c r="BJ283" s="75"/>
      <c r="BK283" s="75"/>
      <c r="BL283" s="75" t="s">
        <v>439</v>
      </c>
      <c r="BM283" s="75"/>
    </row>
    <row r="284" spans="1:65" ht="12.75" customHeight="1" x14ac:dyDescent="0.2">
      <c r="A284" s="38"/>
      <c r="B284" s="38"/>
      <c r="C284" s="75"/>
      <c r="D284" s="75"/>
      <c r="E284" s="75"/>
      <c r="F284" s="75"/>
      <c r="G284" s="75"/>
      <c r="H284" s="75"/>
      <c r="I284" s="75"/>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t="s">
        <v>439</v>
      </c>
      <c r="BG284" s="75"/>
      <c r="BH284" s="75"/>
      <c r="BI284" s="75" t="s">
        <v>439</v>
      </c>
      <c r="BJ284" s="75"/>
      <c r="BK284" s="75"/>
      <c r="BL284" s="75" t="s">
        <v>439</v>
      </c>
      <c r="BM284" s="75"/>
    </row>
    <row r="285" spans="1:65" ht="12.75" customHeight="1" x14ac:dyDescent="0.2">
      <c r="A285" s="38"/>
      <c r="B285" s="38"/>
      <c r="C285" s="75"/>
      <c r="D285" s="75"/>
      <c r="E285" s="75"/>
      <c r="F285" s="75"/>
      <c r="G285" s="75"/>
      <c r="H285" s="75"/>
      <c r="I285" s="75"/>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t="s">
        <v>439</v>
      </c>
      <c r="BG285" s="75"/>
      <c r="BH285" s="75"/>
      <c r="BI285" s="75" t="s">
        <v>439</v>
      </c>
      <c r="BJ285" s="75"/>
      <c r="BK285" s="75"/>
      <c r="BL285" s="75" t="s">
        <v>439</v>
      </c>
      <c r="BM285" s="75"/>
    </row>
    <row r="286" spans="1:65" ht="12.75" customHeight="1" x14ac:dyDescent="0.2">
      <c r="A286" s="38"/>
      <c r="B286" s="38"/>
      <c r="C286" s="75"/>
      <c r="D286" s="75"/>
      <c r="E286" s="75"/>
      <c r="F286" s="75"/>
      <c r="G286" s="75"/>
      <c r="H286" s="75"/>
      <c r="I286" s="75"/>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t="s">
        <v>439</v>
      </c>
      <c r="BG286" s="75"/>
      <c r="BH286" s="75"/>
      <c r="BI286" s="75" t="s">
        <v>439</v>
      </c>
      <c r="BJ286" s="75"/>
      <c r="BK286" s="75"/>
      <c r="BL286" s="75" t="s">
        <v>439</v>
      </c>
      <c r="BM286" s="75"/>
    </row>
    <row r="287" spans="1:65" ht="12.75" customHeight="1" x14ac:dyDescent="0.2">
      <c r="A287" s="38"/>
      <c r="B287" s="38"/>
      <c r="C287" s="75"/>
      <c r="D287" s="75"/>
      <c r="E287" s="75"/>
      <c r="F287" s="75"/>
      <c r="G287" s="75"/>
      <c r="H287" s="75"/>
      <c r="I287" s="75"/>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t="s">
        <v>439</v>
      </c>
      <c r="BG287" s="75"/>
      <c r="BH287" s="75"/>
      <c r="BI287" s="75" t="s">
        <v>439</v>
      </c>
      <c r="BJ287" s="75"/>
      <c r="BK287" s="75"/>
      <c r="BL287" s="75" t="s">
        <v>439</v>
      </c>
      <c r="BM287" s="75"/>
    </row>
    <row r="288" spans="1:65" ht="12.75" customHeight="1" x14ac:dyDescent="0.2">
      <c r="A288" s="38"/>
      <c r="B288" s="38"/>
      <c r="C288" s="75"/>
      <c r="D288" s="75"/>
      <c r="E288" s="75"/>
      <c r="F288" s="75"/>
      <c r="G288" s="75"/>
      <c r="H288" s="75"/>
      <c r="I288" s="75"/>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t="s">
        <v>439</v>
      </c>
      <c r="BG288" s="75"/>
      <c r="BH288" s="75"/>
      <c r="BI288" s="75" t="s">
        <v>439</v>
      </c>
      <c r="BJ288" s="75"/>
      <c r="BK288" s="75"/>
      <c r="BL288" s="75" t="s">
        <v>439</v>
      </c>
      <c r="BM288" s="75"/>
    </row>
    <row r="289" spans="1:65" ht="12.75" customHeight="1" x14ac:dyDescent="0.2">
      <c r="A289" s="38"/>
      <c r="B289" s="38"/>
      <c r="C289" s="75"/>
      <c r="D289" s="75"/>
      <c r="E289" s="75"/>
      <c r="F289" s="75"/>
      <c r="G289" s="75"/>
      <c r="H289" s="75"/>
      <c r="I289" s="75"/>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t="s">
        <v>439</v>
      </c>
      <c r="BG289" s="75"/>
      <c r="BH289" s="75"/>
      <c r="BI289" s="75" t="s">
        <v>439</v>
      </c>
      <c r="BJ289" s="75"/>
      <c r="BK289" s="75"/>
      <c r="BL289" s="75" t="s">
        <v>439</v>
      </c>
      <c r="BM289" s="75"/>
    </row>
    <row r="290" spans="1:65" ht="12.75" customHeight="1" x14ac:dyDescent="0.2">
      <c r="A290" s="38"/>
      <c r="B290" s="38"/>
      <c r="C290" s="75"/>
      <c r="D290" s="75"/>
      <c r="E290" s="75"/>
      <c r="F290" s="75"/>
      <c r="G290" s="75"/>
      <c r="H290" s="75"/>
      <c r="I290" s="75"/>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t="s">
        <v>439</v>
      </c>
      <c r="BG290" s="75"/>
      <c r="BH290" s="75"/>
      <c r="BI290" s="75" t="s">
        <v>439</v>
      </c>
      <c r="BJ290" s="75"/>
      <c r="BK290" s="75"/>
      <c r="BL290" s="75" t="s">
        <v>439</v>
      </c>
      <c r="BM290" s="75"/>
    </row>
    <row r="291" spans="1:65" ht="12.75" customHeight="1" x14ac:dyDescent="0.2">
      <c r="A291" s="38"/>
      <c r="B291" s="38"/>
      <c r="C291" s="75"/>
      <c r="D291" s="75"/>
      <c r="E291" s="75"/>
      <c r="F291" s="75"/>
      <c r="G291" s="75"/>
      <c r="H291" s="75"/>
      <c r="I291" s="75"/>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t="s">
        <v>439</v>
      </c>
      <c r="BG291" s="75"/>
      <c r="BH291" s="75"/>
      <c r="BI291" s="75" t="s">
        <v>439</v>
      </c>
      <c r="BJ291" s="75"/>
      <c r="BK291" s="75"/>
      <c r="BL291" s="75" t="s">
        <v>439</v>
      </c>
      <c r="BM291" s="75"/>
    </row>
    <row r="292" spans="1:65" ht="12.75" customHeight="1" x14ac:dyDescent="0.2">
      <c r="A292" s="38"/>
      <c r="B292" s="38"/>
      <c r="C292" s="75"/>
      <c r="D292" s="75"/>
      <c r="E292" s="75"/>
      <c r="F292" s="75"/>
      <c r="G292" s="75"/>
      <c r="H292" s="75"/>
      <c r="I292" s="75"/>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t="s">
        <v>439</v>
      </c>
      <c r="BG292" s="75"/>
      <c r="BH292" s="75"/>
      <c r="BI292" s="75" t="s">
        <v>439</v>
      </c>
      <c r="BJ292" s="75"/>
      <c r="BK292" s="75"/>
      <c r="BL292" s="75" t="s">
        <v>439</v>
      </c>
      <c r="BM292" s="75"/>
    </row>
    <row r="293" spans="1:65" ht="12.75" customHeight="1" x14ac:dyDescent="0.2">
      <c r="A293" s="38"/>
      <c r="B293" s="38"/>
      <c r="C293" s="75"/>
      <c r="D293" s="75"/>
      <c r="E293" s="75"/>
      <c r="F293" s="75"/>
      <c r="G293" s="75"/>
      <c r="H293" s="75"/>
      <c r="I293" s="75"/>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t="s">
        <v>439</v>
      </c>
      <c r="BG293" s="75"/>
      <c r="BH293" s="75"/>
      <c r="BI293" s="75" t="s">
        <v>439</v>
      </c>
      <c r="BJ293" s="75"/>
      <c r="BK293" s="75"/>
      <c r="BL293" s="75" t="s">
        <v>439</v>
      </c>
      <c r="BM293" s="75"/>
    </row>
    <row r="294" spans="1:65" ht="12.75" customHeight="1" x14ac:dyDescent="0.2">
      <c r="A294" s="38"/>
      <c r="B294" s="38"/>
      <c r="C294" s="75"/>
      <c r="D294" s="75"/>
      <c r="E294" s="75"/>
      <c r="F294" s="75"/>
      <c r="G294" s="75"/>
      <c r="H294" s="75"/>
      <c r="I294" s="75"/>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t="s">
        <v>439</v>
      </c>
      <c r="BG294" s="75"/>
      <c r="BH294" s="75"/>
      <c r="BI294" s="75" t="s">
        <v>439</v>
      </c>
      <c r="BJ294" s="75"/>
      <c r="BK294" s="75"/>
      <c r="BL294" s="75" t="s">
        <v>439</v>
      </c>
      <c r="BM294" s="75"/>
    </row>
    <row r="295" spans="1:65" ht="12.75" customHeight="1" x14ac:dyDescent="0.2">
      <c r="A295" s="38"/>
      <c r="B295" s="38"/>
      <c r="C295" s="75"/>
      <c r="D295" s="75"/>
      <c r="E295" s="75"/>
      <c r="F295" s="75"/>
      <c r="G295" s="75"/>
      <c r="H295" s="75"/>
      <c r="I295" s="75"/>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t="s">
        <v>439</v>
      </c>
      <c r="BG295" s="75"/>
      <c r="BH295" s="75"/>
      <c r="BI295" s="75" t="s">
        <v>439</v>
      </c>
      <c r="BJ295" s="75"/>
      <c r="BK295" s="75"/>
      <c r="BL295" s="75" t="s">
        <v>439</v>
      </c>
      <c r="BM295" s="75"/>
    </row>
    <row r="296" spans="1:65" ht="12.75" customHeight="1" x14ac:dyDescent="0.2">
      <c r="A296" s="38"/>
      <c r="B296" s="38"/>
      <c r="C296" s="75"/>
      <c r="D296" s="75"/>
      <c r="E296" s="75"/>
      <c r="F296" s="75"/>
      <c r="G296" s="75"/>
      <c r="H296" s="75"/>
      <c r="I296" s="75"/>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t="s">
        <v>439</v>
      </c>
      <c r="BG296" s="75"/>
      <c r="BH296" s="75"/>
      <c r="BI296" s="75" t="s">
        <v>439</v>
      </c>
      <c r="BJ296" s="75"/>
      <c r="BK296" s="75"/>
      <c r="BL296" s="75" t="s">
        <v>439</v>
      </c>
      <c r="BM296" s="75"/>
    </row>
    <row r="297" spans="1:65" ht="12.75" customHeight="1" x14ac:dyDescent="0.2">
      <c r="A297" s="38"/>
      <c r="B297" s="38"/>
      <c r="C297" s="75"/>
      <c r="D297" s="75"/>
      <c r="E297" s="75"/>
      <c r="F297" s="75"/>
      <c r="G297" s="75"/>
      <c r="H297" s="75"/>
      <c r="I297" s="75"/>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t="s">
        <v>439</v>
      </c>
      <c r="BG297" s="75"/>
      <c r="BH297" s="75"/>
      <c r="BI297" s="75" t="s">
        <v>439</v>
      </c>
      <c r="BJ297" s="75"/>
      <c r="BK297" s="75"/>
      <c r="BL297" s="75" t="s">
        <v>439</v>
      </c>
      <c r="BM297" s="75"/>
    </row>
    <row r="298" spans="1:65" ht="12.75" customHeight="1" x14ac:dyDescent="0.2">
      <c r="A298" s="38"/>
      <c r="B298" s="38"/>
      <c r="C298" s="75"/>
      <c r="D298" s="75"/>
      <c r="E298" s="75"/>
      <c r="F298" s="75"/>
      <c r="G298" s="75"/>
      <c r="H298" s="75"/>
      <c r="I298" s="75"/>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t="s">
        <v>439</v>
      </c>
      <c r="BG298" s="75"/>
      <c r="BH298" s="75"/>
      <c r="BI298" s="75" t="s">
        <v>439</v>
      </c>
      <c r="BJ298" s="75"/>
      <c r="BK298" s="75"/>
      <c r="BL298" s="75" t="s">
        <v>439</v>
      </c>
      <c r="BM298" s="75"/>
    </row>
    <row r="299" spans="1:65" ht="12.75" customHeight="1" x14ac:dyDescent="0.2">
      <c r="A299" s="38"/>
      <c r="B299" s="38"/>
      <c r="C299" s="75"/>
      <c r="D299" s="75"/>
      <c r="E299" s="75"/>
      <c r="F299" s="75"/>
      <c r="G299" s="75"/>
      <c r="H299" s="75"/>
      <c r="I299" s="75"/>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t="s">
        <v>439</v>
      </c>
      <c r="BG299" s="75"/>
      <c r="BH299" s="75"/>
      <c r="BI299" s="75" t="s">
        <v>439</v>
      </c>
      <c r="BJ299" s="75"/>
      <c r="BK299" s="75"/>
      <c r="BL299" s="75" t="s">
        <v>439</v>
      </c>
      <c r="BM299" s="75"/>
    </row>
    <row r="300" spans="1:65" ht="12.75" customHeight="1" x14ac:dyDescent="0.2">
      <c r="A300" s="38"/>
      <c r="B300" s="38"/>
      <c r="C300" s="75"/>
      <c r="D300" s="75"/>
      <c r="E300" s="75"/>
      <c r="F300" s="75"/>
      <c r="G300" s="75"/>
      <c r="H300" s="75"/>
      <c r="I300" s="75"/>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t="s">
        <v>439</v>
      </c>
      <c r="BG300" s="75"/>
      <c r="BH300" s="75"/>
      <c r="BI300" s="75" t="s">
        <v>439</v>
      </c>
      <c r="BJ300" s="75"/>
      <c r="BK300" s="75"/>
      <c r="BL300" s="75" t="s">
        <v>439</v>
      </c>
      <c r="BM300" s="75"/>
    </row>
    <row r="301" spans="1:65" ht="12.75" customHeight="1" x14ac:dyDescent="0.2">
      <c r="A301" s="38"/>
      <c r="B301" s="38"/>
      <c r="C301" s="75"/>
      <c r="D301" s="75"/>
      <c r="E301" s="75"/>
      <c r="F301" s="75"/>
      <c r="G301" s="75"/>
      <c r="H301" s="75"/>
      <c r="I301" s="75"/>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t="s">
        <v>439</v>
      </c>
      <c r="BG301" s="75"/>
      <c r="BH301" s="75"/>
      <c r="BI301" s="75" t="s">
        <v>439</v>
      </c>
      <c r="BJ301" s="75"/>
      <c r="BK301" s="75"/>
      <c r="BL301" s="75" t="s">
        <v>439</v>
      </c>
      <c r="BM301" s="75"/>
    </row>
    <row r="302" spans="1:65" ht="12.75" customHeight="1" x14ac:dyDescent="0.2">
      <c r="A302" s="38"/>
      <c r="B302" s="38"/>
      <c r="C302" s="75"/>
      <c r="D302" s="75"/>
      <c r="E302" s="75"/>
      <c r="F302" s="75"/>
      <c r="G302" s="75"/>
      <c r="H302" s="75"/>
      <c r="I302" s="75"/>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t="s">
        <v>439</v>
      </c>
      <c r="BG302" s="75"/>
      <c r="BH302" s="75"/>
      <c r="BI302" s="75" t="s">
        <v>439</v>
      </c>
      <c r="BJ302" s="75"/>
      <c r="BK302" s="75"/>
      <c r="BL302" s="75" t="s">
        <v>439</v>
      </c>
      <c r="BM302" s="75"/>
    </row>
    <row r="303" spans="1:65" ht="12.75" customHeight="1" x14ac:dyDescent="0.2">
      <c r="A303" s="38"/>
      <c r="B303" s="38"/>
      <c r="C303" s="75"/>
      <c r="D303" s="75"/>
      <c r="E303" s="75"/>
      <c r="F303" s="75"/>
      <c r="G303" s="75"/>
      <c r="H303" s="75"/>
      <c r="I303" s="75"/>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t="s">
        <v>439</v>
      </c>
      <c r="BG303" s="75"/>
      <c r="BH303" s="75"/>
      <c r="BI303" s="75" t="s">
        <v>439</v>
      </c>
      <c r="BJ303" s="75"/>
      <c r="BK303" s="75"/>
      <c r="BL303" s="75" t="s">
        <v>439</v>
      </c>
      <c r="BM303" s="75"/>
    </row>
    <row r="304" spans="1:65" ht="12.75" customHeight="1" x14ac:dyDescent="0.2">
      <c r="A304" s="38"/>
      <c r="B304" s="38"/>
      <c r="C304" s="75"/>
      <c r="D304" s="75"/>
      <c r="E304" s="75"/>
      <c r="F304" s="75"/>
      <c r="G304" s="75"/>
      <c r="H304" s="75"/>
      <c r="I304" s="75"/>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t="s">
        <v>439</v>
      </c>
      <c r="BG304" s="75"/>
      <c r="BH304" s="75"/>
      <c r="BI304" s="75" t="s">
        <v>439</v>
      </c>
      <c r="BJ304" s="75"/>
      <c r="BK304" s="75"/>
      <c r="BL304" s="75" t="s">
        <v>439</v>
      </c>
      <c r="BM304" s="75"/>
    </row>
    <row r="305" spans="1:65" ht="12.75" customHeight="1" x14ac:dyDescent="0.2">
      <c r="A305" s="38"/>
      <c r="B305" s="38"/>
      <c r="C305" s="75"/>
      <c r="D305" s="75"/>
      <c r="E305" s="75"/>
      <c r="F305" s="75"/>
      <c r="G305" s="75"/>
      <c r="H305" s="75"/>
      <c r="I305" s="75"/>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t="s">
        <v>439</v>
      </c>
      <c r="BG305" s="75"/>
      <c r="BH305" s="75"/>
      <c r="BI305" s="75" t="s">
        <v>439</v>
      </c>
      <c r="BJ305" s="75"/>
      <c r="BK305" s="75"/>
      <c r="BL305" s="75" t="s">
        <v>439</v>
      </c>
      <c r="BM305" s="75"/>
    </row>
    <row r="306" spans="1:65" ht="12.75" customHeight="1" x14ac:dyDescent="0.2">
      <c r="A306" s="38"/>
      <c r="B306" s="38"/>
      <c r="C306" s="75"/>
      <c r="D306" s="75"/>
      <c r="E306" s="75"/>
      <c r="F306" s="75"/>
      <c r="G306" s="75"/>
      <c r="H306" s="75"/>
      <c r="I306" s="75"/>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t="s">
        <v>439</v>
      </c>
      <c r="BG306" s="75"/>
      <c r="BH306" s="75"/>
      <c r="BI306" s="75" t="s">
        <v>439</v>
      </c>
      <c r="BJ306" s="75"/>
      <c r="BK306" s="75"/>
      <c r="BL306" s="75" t="s">
        <v>439</v>
      </c>
      <c r="BM306" s="75"/>
    </row>
    <row r="307" spans="1:65" ht="12.75" customHeight="1" x14ac:dyDescent="0.2">
      <c r="A307" s="38"/>
      <c r="B307" s="38"/>
      <c r="C307" s="75"/>
      <c r="D307" s="75"/>
      <c r="E307" s="75"/>
      <c r="F307" s="75"/>
      <c r="G307" s="75"/>
      <c r="H307" s="75"/>
      <c r="I307" s="75"/>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t="s">
        <v>439</v>
      </c>
      <c r="BG307" s="75"/>
      <c r="BH307" s="75"/>
      <c r="BI307" s="75" t="s">
        <v>439</v>
      </c>
      <c r="BJ307" s="75"/>
      <c r="BK307" s="75"/>
      <c r="BL307" s="75" t="s">
        <v>439</v>
      </c>
      <c r="BM307" s="75"/>
    </row>
    <row r="308" spans="1:65" ht="12.75" customHeight="1" x14ac:dyDescent="0.2">
      <c r="A308" s="38"/>
      <c r="B308" s="38"/>
      <c r="C308" s="75"/>
      <c r="D308" s="75"/>
      <c r="E308" s="75"/>
      <c r="F308" s="75"/>
      <c r="G308" s="75"/>
      <c r="H308" s="75"/>
      <c r="I308" s="75"/>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t="s">
        <v>439</v>
      </c>
      <c r="BG308" s="75"/>
      <c r="BH308" s="75"/>
      <c r="BI308" s="75" t="s">
        <v>439</v>
      </c>
      <c r="BJ308" s="75"/>
      <c r="BK308" s="75"/>
      <c r="BL308" s="75" t="s">
        <v>439</v>
      </c>
      <c r="BM308" s="75"/>
    </row>
    <row r="309" spans="1:65" ht="12.75" customHeight="1" x14ac:dyDescent="0.2">
      <c r="A309" s="38"/>
      <c r="B309" s="38"/>
      <c r="C309" s="75"/>
      <c r="D309" s="75"/>
      <c r="E309" s="75"/>
      <c r="F309" s="75"/>
      <c r="G309" s="75"/>
      <c r="H309" s="75"/>
      <c r="I309" s="75"/>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t="s">
        <v>439</v>
      </c>
      <c r="BG309" s="75"/>
      <c r="BH309" s="75"/>
      <c r="BI309" s="75" t="s">
        <v>439</v>
      </c>
      <c r="BJ309" s="75"/>
      <c r="BK309" s="75"/>
      <c r="BL309" s="75" t="s">
        <v>439</v>
      </c>
      <c r="BM309" s="75"/>
    </row>
    <row r="310" spans="1:65" ht="12.75" customHeight="1" x14ac:dyDescent="0.2">
      <c r="A310" s="38"/>
      <c r="B310" s="38"/>
      <c r="C310" s="75"/>
      <c r="D310" s="75"/>
      <c r="E310" s="75"/>
      <c r="F310" s="75"/>
      <c r="G310" s="75"/>
      <c r="H310" s="75"/>
      <c r="I310" s="75"/>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t="s">
        <v>439</v>
      </c>
      <c r="BG310" s="75"/>
      <c r="BH310" s="75"/>
      <c r="BI310" s="75" t="s">
        <v>439</v>
      </c>
      <c r="BJ310" s="75"/>
      <c r="BK310" s="75"/>
      <c r="BL310" s="75" t="s">
        <v>439</v>
      </c>
      <c r="BM310" s="75"/>
    </row>
    <row r="311" spans="1:65" ht="12.75" customHeight="1" x14ac:dyDescent="0.2">
      <c r="A311" s="38"/>
      <c r="B311" s="38"/>
      <c r="C311" s="75"/>
      <c r="D311" s="75"/>
      <c r="E311" s="75"/>
      <c r="F311" s="75"/>
      <c r="G311" s="75"/>
      <c r="H311" s="75"/>
      <c r="I311" s="75"/>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t="s">
        <v>439</v>
      </c>
      <c r="BG311" s="75"/>
      <c r="BH311" s="75"/>
      <c r="BI311" s="75" t="s">
        <v>439</v>
      </c>
      <c r="BJ311" s="75"/>
      <c r="BK311" s="75"/>
      <c r="BL311" s="75" t="s">
        <v>439</v>
      </c>
      <c r="BM311" s="75"/>
    </row>
    <row r="312" spans="1:65" ht="12.75" customHeight="1" x14ac:dyDescent="0.2">
      <c r="A312" s="38"/>
      <c r="B312" s="38"/>
      <c r="C312" s="75"/>
      <c r="D312" s="75"/>
      <c r="E312" s="75"/>
      <c r="F312" s="75"/>
      <c r="G312" s="75"/>
      <c r="H312" s="75"/>
      <c r="I312" s="75"/>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t="s">
        <v>439</v>
      </c>
      <c r="BG312" s="75"/>
      <c r="BH312" s="75"/>
      <c r="BI312" s="75" t="s">
        <v>439</v>
      </c>
      <c r="BJ312" s="75"/>
      <c r="BK312" s="75"/>
      <c r="BL312" s="75" t="s">
        <v>439</v>
      </c>
      <c r="BM312" s="75"/>
    </row>
    <row r="313" spans="1:65" ht="12.75" customHeight="1" x14ac:dyDescent="0.2">
      <c r="A313" s="38"/>
      <c r="B313" s="38"/>
      <c r="C313" s="75"/>
      <c r="D313" s="75"/>
      <c r="E313" s="75"/>
      <c r="F313" s="75"/>
      <c r="G313" s="75"/>
      <c r="H313" s="75"/>
      <c r="I313" s="75"/>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t="s">
        <v>439</v>
      </c>
      <c r="BG313" s="75"/>
      <c r="BH313" s="75"/>
      <c r="BI313" s="75" t="s">
        <v>439</v>
      </c>
      <c r="BJ313" s="75"/>
      <c r="BK313" s="75"/>
      <c r="BL313" s="75" t="s">
        <v>439</v>
      </c>
      <c r="BM313" s="75"/>
    </row>
    <row r="314" spans="1:65" ht="12.75" customHeight="1" x14ac:dyDescent="0.2">
      <c r="A314" s="38"/>
      <c r="B314" s="38"/>
      <c r="C314" s="75"/>
      <c r="D314" s="75"/>
      <c r="E314" s="75"/>
      <c r="F314" s="75"/>
      <c r="G314" s="75"/>
      <c r="H314" s="75"/>
      <c r="I314" s="75"/>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t="s">
        <v>439</v>
      </c>
      <c r="BG314" s="75"/>
      <c r="BH314" s="75"/>
      <c r="BI314" s="75" t="s">
        <v>439</v>
      </c>
      <c r="BJ314" s="75"/>
      <c r="BK314" s="75"/>
      <c r="BL314" s="75" t="s">
        <v>439</v>
      </c>
      <c r="BM314" s="75"/>
    </row>
    <row r="315" spans="1:65" ht="12.75" customHeight="1" x14ac:dyDescent="0.2">
      <c r="A315" s="38"/>
      <c r="B315" s="38"/>
      <c r="C315" s="75"/>
      <c r="D315" s="75"/>
      <c r="E315" s="75"/>
      <c r="F315" s="75"/>
      <c r="G315" s="75"/>
      <c r="H315" s="75"/>
      <c r="I315" s="75"/>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t="s">
        <v>439</v>
      </c>
      <c r="BG315" s="75"/>
      <c r="BH315" s="75"/>
      <c r="BI315" s="75" t="s">
        <v>439</v>
      </c>
      <c r="BJ315" s="75"/>
      <c r="BK315" s="75"/>
      <c r="BL315" s="75" t="s">
        <v>439</v>
      </c>
      <c r="BM315" s="75"/>
    </row>
    <row r="316" spans="1:65" ht="12.75" customHeight="1" x14ac:dyDescent="0.2">
      <c r="A316" s="38"/>
      <c r="B316" s="38"/>
      <c r="C316" s="75"/>
      <c r="D316" s="75"/>
      <c r="E316" s="75"/>
      <c r="F316" s="75"/>
      <c r="G316" s="75"/>
      <c r="H316" s="75"/>
      <c r="I316" s="75"/>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t="s">
        <v>439</v>
      </c>
      <c r="BG316" s="75"/>
      <c r="BH316" s="75"/>
      <c r="BI316" s="75" t="s">
        <v>439</v>
      </c>
      <c r="BJ316" s="75"/>
      <c r="BK316" s="75"/>
      <c r="BL316" s="75" t="s">
        <v>439</v>
      </c>
      <c r="BM316" s="75"/>
    </row>
    <row r="317" spans="1:65" ht="12.75" customHeight="1" x14ac:dyDescent="0.2">
      <c r="A317" s="38"/>
      <c r="B317" s="38"/>
      <c r="C317" s="75"/>
      <c r="D317" s="75"/>
      <c r="E317" s="75"/>
      <c r="F317" s="75"/>
      <c r="G317" s="75"/>
      <c r="H317" s="75"/>
      <c r="I317" s="75"/>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t="s">
        <v>439</v>
      </c>
      <c r="BG317" s="75"/>
      <c r="BH317" s="75"/>
      <c r="BI317" s="75" t="s">
        <v>439</v>
      </c>
      <c r="BJ317" s="75"/>
      <c r="BK317" s="75"/>
      <c r="BL317" s="75" t="s">
        <v>439</v>
      </c>
      <c r="BM317" s="75"/>
    </row>
    <row r="318" spans="1:65" ht="12.75" customHeight="1" x14ac:dyDescent="0.2">
      <c r="A318" s="38"/>
      <c r="B318" s="38"/>
      <c r="C318" s="75"/>
      <c r="D318" s="75"/>
      <c r="E318" s="75"/>
      <c r="F318" s="75"/>
      <c r="G318" s="75"/>
      <c r="H318" s="75"/>
      <c r="I318" s="75"/>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t="s">
        <v>439</v>
      </c>
      <c r="BG318" s="75"/>
      <c r="BH318" s="75"/>
      <c r="BI318" s="75" t="s">
        <v>439</v>
      </c>
      <c r="BJ318" s="75"/>
      <c r="BK318" s="75"/>
      <c r="BL318" s="75" t="s">
        <v>439</v>
      </c>
      <c r="BM318" s="75"/>
    </row>
    <row r="319" spans="1:65" ht="12.75" customHeight="1" x14ac:dyDescent="0.2">
      <c r="A319" s="38"/>
      <c r="B319" s="38"/>
      <c r="C319" s="75"/>
      <c r="D319" s="75"/>
      <c r="E319" s="75"/>
      <c r="F319" s="75"/>
      <c r="G319" s="75"/>
      <c r="H319" s="75"/>
      <c r="I319" s="75"/>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t="s">
        <v>439</v>
      </c>
      <c r="BG319" s="75"/>
      <c r="BH319" s="75"/>
      <c r="BI319" s="75" t="s">
        <v>439</v>
      </c>
      <c r="BJ319" s="75"/>
      <c r="BK319" s="75"/>
      <c r="BL319" s="75" t="s">
        <v>439</v>
      </c>
      <c r="BM319" s="75"/>
    </row>
    <row r="320" spans="1:65" ht="12.75" customHeight="1" x14ac:dyDescent="0.2">
      <c r="A320" s="38"/>
      <c r="B320" s="38"/>
      <c r="C320" s="75"/>
      <c r="D320" s="75"/>
      <c r="E320" s="75"/>
      <c r="F320" s="75"/>
      <c r="G320" s="75"/>
      <c r="H320" s="75"/>
      <c r="I320" s="75"/>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t="s">
        <v>439</v>
      </c>
      <c r="BG320" s="75"/>
      <c r="BH320" s="75"/>
      <c r="BI320" s="75" t="s">
        <v>439</v>
      </c>
      <c r="BJ320" s="75"/>
      <c r="BK320" s="75"/>
      <c r="BL320" s="75" t="s">
        <v>439</v>
      </c>
      <c r="BM320" s="75"/>
    </row>
    <row r="321" spans="1:65" ht="12.75" customHeight="1" x14ac:dyDescent="0.2">
      <c r="A321" s="38"/>
      <c r="B321" s="38"/>
      <c r="C321" s="75"/>
      <c r="D321" s="75"/>
      <c r="E321" s="75"/>
      <c r="F321" s="75"/>
      <c r="G321" s="75"/>
      <c r="H321" s="75"/>
      <c r="I321" s="75"/>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t="s">
        <v>439</v>
      </c>
      <c r="BG321" s="75"/>
      <c r="BH321" s="75"/>
      <c r="BI321" s="75" t="s">
        <v>439</v>
      </c>
      <c r="BJ321" s="75"/>
      <c r="BK321" s="75"/>
      <c r="BL321" s="75" t="s">
        <v>439</v>
      </c>
      <c r="BM321" s="75"/>
    </row>
    <row r="322" spans="1:65" ht="12.75" customHeight="1" x14ac:dyDescent="0.2">
      <c r="A322" s="38"/>
      <c r="B322" s="38"/>
      <c r="C322" s="75"/>
      <c r="D322" s="75"/>
      <c r="E322" s="75"/>
      <c r="F322" s="75"/>
      <c r="G322" s="75"/>
      <c r="H322" s="75"/>
      <c r="I322" s="75"/>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t="s">
        <v>439</v>
      </c>
      <c r="BG322" s="75"/>
      <c r="BH322" s="75"/>
      <c r="BI322" s="75" t="s">
        <v>439</v>
      </c>
      <c r="BJ322" s="75"/>
      <c r="BK322" s="75"/>
      <c r="BL322" s="75" t="s">
        <v>439</v>
      </c>
      <c r="BM322" s="75"/>
    </row>
    <row r="323" spans="1:65" ht="12.75" customHeight="1" x14ac:dyDescent="0.2">
      <c r="A323" s="38"/>
      <c r="B323" s="38"/>
      <c r="C323" s="75"/>
      <c r="D323" s="75"/>
      <c r="E323" s="75"/>
      <c r="F323" s="75"/>
      <c r="G323" s="75"/>
      <c r="H323" s="75"/>
      <c r="I323" s="75"/>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t="s">
        <v>439</v>
      </c>
      <c r="BG323" s="75"/>
      <c r="BH323" s="75"/>
      <c r="BI323" s="75" t="s">
        <v>439</v>
      </c>
      <c r="BJ323" s="75"/>
      <c r="BK323" s="75"/>
      <c r="BL323" s="75" t="s">
        <v>439</v>
      </c>
      <c r="BM323" s="75"/>
    </row>
    <row r="324" spans="1:65" ht="12.75" customHeight="1" x14ac:dyDescent="0.2">
      <c r="A324" s="38"/>
      <c r="B324" s="38"/>
      <c r="C324" s="75"/>
      <c r="D324" s="75"/>
      <c r="E324" s="75"/>
      <c r="F324" s="75"/>
      <c r="G324" s="75"/>
      <c r="H324" s="75"/>
      <c r="I324" s="75"/>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t="s">
        <v>439</v>
      </c>
      <c r="BG324" s="75"/>
      <c r="BH324" s="75"/>
      <c r="BI324" s="75" t="s">
        <v>439</v>
      </c>
      <c r="BJ324" s="75"/>
      <c r="BK324" s="75"/>
      <c r="BL324" s="75" t="s">
        <v>439</v>
      </c>
      <c r="BM324" s="75"/>
    </row>
    <row r="325" spans="1:65" ht="12.75" customHeight="1" x14ac:dyDescent="0.2">
      <c r="A325" s="38"/>
      <c r="B325" s="38"/>
      <c r="C325" s="75"/>
      <c r="D325" s="75"/>
      <c r="E325" s="75"/>
      <c r="F325" s="75"/>
      <c r="G325" s="75"/>
      <c r="H325" s="75"/>
      <c r="I325" s="75"/>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t="s">
        <v>439</v>
      </c>
      <c r="BG325" s="75"/>
      <c r="BH325" s="75"/>
      <c r="BI325" s="75" t="s">
        <v>439</v>
      </c>
      <c r="BJ325" s="75"/>
      <c r="BK325" s="75"/>
      <c r="BL325" s="75" t="s">
        <v>439</v>
      </c>
      <c r="BM325" s="75"/>
    </row>
    <row r="326" spans="1:65" ht="12.75" customHeight="1" x14ac:dyDescent="0.2">
      <c r="A326" s="38"/>
      <c r="B326" s="38"/>
      <c r="C326" s="75"/>
      <c r="D326" s="75"/>
      <c r="E326" s="75"/>
      <c r="F326" s="75"/>
      <c r="G326" s="75"/>
      <c r="H326" s="75"/>
      <c r="I326" s="75"/>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t="s">
        <v>439</v>
      </c>
      <c r="BG326" s="75"/>
      <c r="BH326" s="75"/>
      <c r="BI326" s="75" t="s">
        <v>439</v>
      </c>
      <c r="BJ326" s="75"/>
      <c r="BK326" s="75"/>
      <c r="BL326" s="75" t="s">
        <v>439</v>
      </c>
      <c r="BM326" s="75"/>
    </row>
    <row r="327" spans="1:65" ht="12.75" customHeight="1" x14ac:dyDescent="0.2">
      <c r="A327" s="38"/>
      <c r="B327" s="38"/>
      <c r="C327" s="75"/>
      <c r="D327" s="75"/>
      <c r="E327" s="75"/>
      <c r="F327" s="75"/>
      <c r="G327" s="75"/>
      <c r="H327" s="75"/>
      <c r="I327" s="75"/>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t="s">
        <v>439</v>
      </c>
      <c r="BG327" s="75"/>
      <c r="BH327" s="75"/>
      <c r="BI327" s="75" t="s">
        <v>439</v>
      </c>
      <c r="BJ327" s="75"/>
      <c r="BK327" s="75"/>
      <c r="BL327" s="75" t="s">
        <v>439</v>
      </c>
      <c r="BM327" s="75"/>
    </row>
    <row r="328" spans="1:65" ht="12.75" customHeight="1" x14ac:dyDescent="0.2">
      <c r="A328" s="38"/>
      <c r="B328" s="38"/>
      <c r="C328" s="75"/>
      <c r="D328" s="75"/>
      <c r="E328" s="75"/>
      <c r="F328" s="75"/>
      <c r="G328" s="75"/>
      <c r="H328" s="75"/>
      <c r="I328" s="75"/>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t="s">
        <v>439</v>
      </c>
      <c r="BG328" s="75"/>
      <c r="BH328" s="75"/>
      <c r="BI328" s="75" t="s">
        <v>439</v>
      </c>
      <c r="BJ328" s="75"/>
      <c r="BK328" s="75"/>
      <c r="BL328" s="75" t="s">
        <v>439</v>
      </c>
      <c r="BM328" s="75"/>
    </row>
    <row r="329" spans="1:65" ht="12.75" customHeight="1" x14ac:dyDescent="0.2">
      <c r="A329" s="38"/>
      <c r="B329" s="38"/>
      <c r="C329" s="75"/>
      <c r="D329" s="75"/>
      <c r="E329" s="75"/>
      <c r="F329" s="75"/>
      <c r="G329" s="75"/>
      <c r="H329" s="75"/>
      <c r="I329" s="75"/>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t="s">
        <v>439</v>
      </c>
      <c r="BG329" s="75"/>
      <c r="BH329" s="75"/>
      <c r="BI329" s="75" t="s">
        <v>439</v>
      </c>
      <c r="BJ329" s="75"/>
      <c r="BK329" s="75"/>
      <c r="BL329" s="75" t="s">
        <v>439</v>
      </c>
      <c r="BM329" s="75"/>
    </row>
    <row r="330" spans="1:65" ht="12.75" customHeight="1" x14ac:dyDescent="0.2">
      <c r="A330" s="38"/>
      <c r="B330" s="38"/>
      <c r="C330" s="75"/>
      <c r="D330" s="75"/>
      <c r="E330" s="75"/>
      <c r="F330" s="75"/>
      <c r="G330" s="75"/>
      <c r="H330" s="75"/>
      <c r="I330" s="75"/>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t="s">
        <v>439</v>
      </c>
      <c r="BG330" s="75"/>
      <c r="BH330" s="75"/>
      <c r="BI330" s="75" t="s">
        <v>439</v>
      </c>
      <c r="BJ330" s="75"/>
      <c r="BK330" s="75"/>
      <c r="BL330" s="75" t="s">
        <v>439</v>
      </c>
      <c r="BM330" s="75"/>
    </row>
    <row r="331" spans="1:65" ht="12.75" customHeight="1" x14ac:dyDescent="0.2">
      <c r="A331" s="38"/>
      <c r="B331" s="38"/>
      <c r="C331" s="75"/>
      <c r="D331" s="75"/>
      <c r="E331" s="75"/>
      <c r="F331" s="75"/>
      <c r="G331" s="75"/>
      <c r="H331" s="75"/>
      <c r="I331" s="75"/>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t="s">
        <v>439</v>
      </c>
      <c r="BG331" s="75"/>
      <c r="BH331" s="75"/>
      <c r="BI331" s="75" t="s">
        <v>439</v>
      </c>
      <c r="BJ331" s="75"/>
      <c r="BK331" s="75"/>
      <c r="BL331" s="75" t="s">
        <v>439</v>
      </c>
      <c r="BM331" s="75"/>
    </row>
    <row r="332" spans="1:65" ht="12.75" customHeight="1" x14ac:dyDescent="0.2">
      <c r="A332" s="38"/>
      <c r="B332" s="38"/>
      <c r="C332" s="75"/>
      <c r="D332" s="75"/>
      <c r="E332" s="75"/>
      <c r="F332" s="75"/>
      <c r="G332" s="75"/>
      <c r="H332" s="75"/>
      <c r="I332" s="75"/>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t="s">
        <v>439</v>
      </c>
      <c r="BG332" s="75"/>
      <c r="BH332" s="75"/>
      <c r="BI332" s="75" t="s">
        <v>439</v>
      </c>
      <c r="BJ332" s="75"/>
      <c r="BK332" s="75"/>
      <c r="BL332" s="75" t="s">
        <v>439</v>
      </c>
      <c r="BM332" s="75"/>
    </row>
    <row r="333" spans="1:65" ht="12.75" customHeight="1" x14ac:dyDescent="0.2">
      <c r="A333" s="38"/>
      <c r="B333" s="38"/>
      <c r="C333" s="75"/>
      <c r="D333" s="75"/>
      <c r="E333" s="75"/>
      <c r="F333" s="75"/>
      <c r="G333" s="75"/>
      <c r="H333" s="75"/>
      <c r="I333" s="75"/>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t="s">
        <v>439</v>
      </c>
      <c r="BG333" s="75"/>
      <c r="BH333" s="75"/>
      <c r="BI333" s="75" t="s">
        <v>439</v>
      </c>
      <c r="BJ333" s="75"/>
      <c r="BK333" s="75"/>
      <c r="BL333" s="75" t="s">
        <v>439</v>
      </c>
      <c r="BM333" s="75"/>
    </row>
    <row r="334" spans="1:65" ht="12.75" customHeight="1" x14ac:dyDescent="0.2">
      <c r="A334" s="38"/>
      <c r="B334" s="38"/>
      <c r="C334" s="75"/>
      <c r="D334" s="75"/>
      <c r="E334" s="75"/>
      <c r="F334" s="75"/>
      <c r="G334" s="75"/>
      <c r="H334" s="75"/>
      <c r="I334" s="75"/>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t="s">
        <v>439</v>
      </c>
      <c r="BG334" s="75"/>
      <c r="BH334" s="75"/>
      <c r="BI334" s="75" t="s">
        <v>439</v>
      </c>
      <c r="BJ334" s="75"/>
      <c r="BK334" s="75"/>
      <c r="BL334" s="75" t="s">
        <v>439</v>
      </c>
      <c r="BM334" s="75"/>
    </row>
    <row r="335" spans="1:65" ht="12.75" customHeight="1" x14ac:dyDescent="0.2">
      <c r="A335" s="38"/>
      <c r="B335" s="38"/>
      <c r="C335" s="75"/>
      <c r="D335" s="75"/>
      <c r="E335" s="75"/>
      <c r="F335" s="75"/>
      <c r="G335" s="75"/>
      <c r="H335" s="75"/>
      <c r="I335" s="75"/>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t="s">
        <v>439</v>
      </c>
      <c r="BG335" s="75"/>
      <c r="BH335" s="75"/>
      <c r="BI335" s="75" t="s">
        <v>439</v>
      </c>
      <c r="BJ335" s="75"/>
      <c r="BK335" s="75"/>
      <c r="BL335" s="75" t="s">
        <v>439</v>
      </c>
      <c r="BM335" s="75"/>
    </row>
    <row r="336" spans="1:65" ht="12.75" customHeight="1" x14ac:dyDescent="0.2">
      <c r="A336" s="38"/>
      <c r="B336" s="38"/>
      <c r="C336" s="75"/>
      <c r="D336" s="75"/>
      <c r="E336" s="75"/>
      <c r="F336" s="75"/>
      <c r="G336" s="75"/>
      <c r="H336" s="75"/>
      <c r="I336" s="75"/>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t="s">
        <v>439</v>
      </c>
      <c r="BG336" s="75"/>
      <c r="BH336" s="75"/>
      <c r="BI336" s="75" t="s">
        <v>439</v>
      </c>
      <c r="BJ336" s="75"/>
      <c r="BK336" s="75"/>
      <c r="BL336" s="75" t="s">
        <v>439</v>
      </c>
      <c r="BM336" s="75"/>
    </row>
    <row r="337" spans="1:65" ht="12.75" customHeight="1" x14ac:dyDescent="0.2">
      <c r="A337" s="38"/>
      <c r="B337" s="38"/>
      <c r="C337" s="75"/>
      <c r="D337" s="75"/>
      <c r="E337" s="75"/>
      <c r="F337" s="75"/>
      <c r="G337" s="75"/>
      <c r="H337" s="75"/>
      <c r="I337" s="75"/>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t="s">
        <v>439</v>
      </c>
      <c r="BG337" s="75"/>
      <c r="BH337" s="75"/>
      <c r="BI337" s="75" t="s">
        <v>439</v>
      </c>
      <c r="BJ337" s="75"/>
      <c r="BK337" s="75"/>
      <c r="BL337" s="75" t="s">
        <v>439</v>
      </c>
      <c r="BM337" s="75"/>
    </row>
    <row r="338" spans="1:65" ht="12.75" customHeight="1" x14ac:dyDescent="0.2">
      <c r="A338" s="38"/>
      <c r="B338" s="38"/>
      <c r="C338" s="75"/>
      <c r="D338" s="75"/>
      <c r="E338" s="75"/>
      <c r="F338" s="75"/>
      <c r="G338" s="75"/>
      <c r="H338" s="75"/>
      <c r="I338" s="75"/>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t="s">
        <v>439</v>
      </c>
      <c r="BG338" s="75"/>
      <c r="BH338" s="75"/>
      <c r="BI338" s="75" t="s">
        <v>439</v>
      </c>
      <c r="BJ338" s="75"/>
      <c r="BK338" s="75"/>
      <c r="BL338" s="75" t="s">
        <v>439</v>
      </c>
      <c r="BM338" s="75"/>
    </row>
    <row r="339" spans="1:65" ht="12.75" customHeight="1" x14ac:dyDescent="0.2">
      <c r="A339" s="38"/>
      <c r="B339" s="38"/>
      <c r="C339" s="75"/>
      <c r="D339" s="75"/>
      <c r="E339" s="75"/>
      <c r="F339" s="75"/>
      <c r="G339" s="75"/>
      <c r="H339" s="75"/>
      <c r="I339" s="75"/>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t="s">
        <v>439</v>
      </c>
      <c r="BG339" s="75"/>
      <c r="BH339" s="75"/>
      <c r="BI339" s="75" t="s">
        <v>439</v>
      </c>
      <c r="BJ339" s="75"/>
      <c r="BK339" s="75"/>
      <c r="BL339" s="75" t="s">
        <v>439</v>
      </c>
      <c r="BM339" s="75"/>
    </row>
    <row r="340" spans="1:65" ht="12.75" customHeight="1" x14ac:dyDescent="0.2">
      <c r="A340" s="38"/>
      <c r="B340" s="38"/>
      <c r="C340" s="75"/>
      <c r="D340" s="75"/>
      <c r="E340" s="75"/>
      <c r="F340" s="75"/>
      <c r="G340" s="75"/>
      <c r="H340" s="75"/>
      <c r="I340" s="75"/>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t="s">
        <v>439</v>
      </c>
      <c r="BG340" s="75"/>
      <c r="BH340" s="75"/>
      <c r="BI340" s="75" t="s">
        <v>439</v>
      </c>
      <c r="BJ340" s="75"/>
      <c r="BK340" s="75"/>
      <c r="BL340" s="75" t="s">
        <v>439</v>
      </c>
      <c r="BM340" s="75"/>
    </row>
    <row r="341" spans="1:65" ht="12.75" customHeight="1" x14ac:dyDescent="0.2">
      <c r="A341" s="38"/>
      <c r="B341" s="38"/>
      <c r="C341" s="75"/>
      <c r="D341" s="75"/>
      <c r="E341" s="75"/>
      <c r="F341" s="75"/>
      <c r="G341" s="75"/>
      <c r="H341" s="75"/>
      <c r="I341" s="75"/>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t="s">
        <v>439</v>
      </c>
      <c r="BG341" s="75"/>
      <c r="BH341" s="75"/>
      <c r="BI341" s="75" t="s">
        <v>439</v>
      </c>
      <c r="BJ341" s="75"/>
      <c r="BK341" s="75"/>
      <c r="BL341" s="75" t="s">
        <v>439</v>
      </c>
      <c r="BM341" s="75"/>
    </row>
    <row r="342" spans="1:65" ht="12.75" customHeight="1" x14ac:dyDescent="0.2">
      <c r="A342" s="38"/>
      <c r="B342" s="38"/>
      <c r="C342" s="75"/>
      <c r="D342" s="75"/>
      <c r="E342" s="75"/>
      <c r="F342" s="75"/>
      <c r="G342" s="75"/>
      <c r="H342" s="75"/>
      <c r="I342" s="75"/>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t="s">
        <v>439</v>
      </c>
      <c r="BG342" s="75"/>
      <c r="BH342" s="75"/>
      <c r="BI342" s="75" t="s">
        <v>439</v>
      </c>
      <c r="BJ342" s="75"/>
      <c r="BK342" s="75"/>
      <c r="BL342" s="75" t="s">
        <v>439</v>
      </c>
      <c r="BM342" s="75"/>
    </row>
    <row r="343" spans="1:65" ht="12.75" customHeight="1" x14ac:dyDescent="0.2">
      <c r="A343" s="38"/>
      <c r="B343" s="38"/>
      <c r="C343" s="75"/>
      <c r="D343" s="75"/>
      <c r="E343" s="75"/>
      <c r="F343" s="75"/>
      <c r="G343" s="75"/>
      <c r="H343" s="75"/>
      <c r="I343" s="75"/>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t="s">
        <v>439</v>
      </c>
      <c r="BG343" s="75"/>
      <c r="BH343" s="75"/>
      <c r="BI343" s="75" t="s">
        <v>439</v>
      </c>
      <c r="BJ343" s="75"/>
      <c r="BK343" s="75"/>
      <c r="BL343" s="75" t="s">
        <v>439</v>
      </c>
      <c r="BM343" s="75"/>
    </row>
    <row r="344" spans="1:65" ht="12.75" customHeight="1" x14ac:dyDescent="0.2">
      <c r="A344" s="38"/>
      <c r="B344" s="38"/>
      <c r="C344" s="75"/>
      <c r="D344" s="75"/>
      <c r="E344" s="75"/>
      <c r="F344" s="75"/>
      <c r="G344" s="75"/>
      <c r="H344" s="75"/>
      <c r="I344" s="75"/>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t="s">
        <v>439</v>
      </c>
      <c r="BG344" s="75"/>
      <c r="BH344" s="75"/>
      <c r="BI344" s="75" t="s">
        <v>439</v>
      </c>
      <c r="BJ344" s="75"/>
      <c r="BK344" s="75"/>
      <c r="BL344" s="75" t="s">
        <v>439</v>
      </c>
      <c r="BM344" s="75"/>
    </row>
    <row r="345" spans="1:65" ht="12.75" customHeight="1" x14ac:dyDescent="0.2">
      <c r="A345" s="38"/>
      <c r="B345" s="38"/>
      <c r="C345" s="75"/>
      <c r="D345" s="75"/>
      <c r="E345" s="75"/>
      <c r="F345" s="75"/>
      <c r="G345" s="75"/>
      <c r="H345" s="75"/>
      <c r="I345" s="75"/>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t="s">
        <v>439</v>
      </c>
      <c r="BG345" s="75"/>
      <c r="BH345" s="75"/>
      <c r="BI345" s="75" t="s">
        <v>439</v>
      </c>
      <c r="BJ345" s="75"/>
      <c r="BK345" s="75"/>
      <c r="BL345" s="75" t="s">
        <v>439</v>
      </c>
      <c r="BM345" s="75"/>
    </row>
    <row r="346" spans="1:65" ht="12.75" customHeight="1" x14ac:dyDescent="0.2">
      <c r="A346" s="38"/>
      <c r="B346" s="38"/>
      <c r="C346" s="75"/>
      <c r="D346" s="75"/>
      <c r="E346" s="75"/>
      <c r="F346" s="75"/>
      <c r="G346" s="75"/>
      <c r="H346" s="75"/>
      <c r="I346" s="75"/>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t="s">
        <v>439</v>
      </c>
      <c r="BG346" s="75"/>
      <c r="BH346" s="75"/>
      <c r="BI346" s="75" t="s">
        <v>439</v>
      </c>
      <c r="BJ346" s="75"/>
      <c r="BK346" s="75"/>
      <c r="BL346" s="75" t="s">
        <v>439</v>
      </c>
      <c r="BM346" s="75"/>
    </row>
    <row r="347" spans="1:65" ht="12.75" customHeight="1" x14ac:dyDescent="0.2">
      <c r="A347" s="38"/>
      <c r="B347" s="38"/>
      <c r="C347" s="75"/>
      <c r="D347" s="75"/>
      <c r="E347" s="75"/>
      <c r="F347" s="75"/>
      <c r="G347" s="75"/>
      <c r="H347" s="75"/>
      <c r="I347" s="75"/>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t="s">
        <v>439</v>
      </c>
      <c r="BG347" s="75"/>
      <c r="BH347" s="75"/>
      <c r="BI347" s="75" t="s">
        <v>439</v>
      </c>
      <c r="BJ347" s="75"/>
      <c r="BK347" s="75"/>
      <c r="BL347" s="75" t="s">
        <v>439</v>
      </c>
      <c r="BM347" s="75"/>
    </row>
    <row r="348" spans="1:65" ht="12.75" customHeight="1" x14ac:dyDescent="0.2">
      <c r="A348" s="38"/>
      <c r="B348" s="38"/>
      <c r="C348" s="75"/>
      <c r="D348" s="75"/>
      <c r="E348" s="75"/>
      <c r="F348" s="75"/>
      <c r="G348" s="75"/>
      <c r="H348" s="75"/>
      <c r="I348" s="75"/>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t="s">
        <v>439</v>
      </c>
      <c r="BG348" s="75"/>
      <c r="BH348" s="75"/>
      <c r="BI348" s="75" t="s">
        <v>439</v>
      </c>
      <c r="BJ348" s="75"/>
      <c r="BK348" s="75"/>
      <c r="BL348" s="75" t="s">
        <v>439</v>
      </c>
      <c r="BM348" s="75"/>
    </row>
    <row r="349" spans="1:65" ht="12.75" customHeight="1" x14ac:dyDescent="0.2">
      <c r="A349" s="38"/>
      <c r="B349" s="38"/>
      <c r="C349" s="75"/>
      <c r="D349" s="75"/>
      <c r="E349" s="75"/>
      <c r="F349" s="75"/>
      <c r="G349" s="75"/>
      <c r="H349" s="75"/>
      <c r="I349" s="75"/>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t="s">
        <v>439</v>
      </c>
      <c r="BG349" s="75"/>
      <c r="BH349" s="75"/>
      <c r="BI349" s="75" t="s">
        <v>439</v>
      </c>
      <c r="BJ349" s="75"/>
      <c r="BK349" s="75"/>
      <c r="BL349" s="75" t="s">
        <v>439</v>
      </c>
      <c r="BM349" s="75"/>
    </row>
    <row r="350" spans="1:65" ht="12.75" customHeight="1" x14ac:dyDescent="0.2">
      <c r="A350" s="38"/>
      <c r="B350" s="38"/>
      <c r="C350" s="75"/>
      <c r="D350" s="75"/>
      <c r="E350" s="75"/>
      <c r="F350" s="75"/>
      <c r="G350" s="75"/>
      <c r="H350" s="75"/>
      <c r="I350" s="75"/>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t="s">
        <v>439</v>
      </c>
      <c r="BG350" s="75"/>
      <c r="BH350" s="75"/>
      <c r="BI350" s="75" t="s">
        <v>439</v>
      </c>
      <c r="BJ350" s="75"/>
      <c r="BK350" s="75"/>
      <c r="BL350" s="75" t="s">
        <v>439</v>
      </c>
      <c r="BM350" s="75"/>
    </row>
    <row r="351" spans="1:65" ht="12.75" customHeight="1" x14ac:dyDescent="0.2">
      <c r="A351" s="38"/>
      <c r="B351" s="38"/>
      <c r="C351" s="75"/>
      <c r="D351" s="75"/>
      <c r="E351" s="75"/>
      <c r="F351" s="75"/>
      <c r="G351" s="75"/>
      <c r="H351" s="75"/>
      <c r="I351" s="75"/>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t="s">
        <v>439</v>
      </c>
      <c r="BG351" s="75"/>
      <c r="BH351" s="75"/>
      <c r="BI351" s="75" t="s">
        <v>439</v>
      </c>
      <c r="BJ351" s="75"/>
      <c r="BK351" s="75"/>
      <c r="BL351" s="75" t="s">
        <v>439</v>
      </c>
      <c r="BM351" s="75"/>
    </row>
    <row r="352" spans="1:65" ht="12.75" customHeight="1" x14ac:dyDescent="0.2">
      <c r="A352" s="38"/>
      <c r="B352" s="38"/>
      <c r="C352" s="75"/>
      <c r="D352" s="75"/>
      <c r="E352" s="75"/>
      <c r="F352" s="75"/>
      <c r="G352" s="75"/>
      <c r="H352" s="75"/>
      <c r="I352" s="75"/>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t="s">
        <v>439</v>
      </c>
      <c r="BG352" s="75"/>
      <c r="BH352" s="75"/>
      <c r="BI352" s="75" t="s">
        <v>439</v>
      </c>
      <c r="BJ352" s="75"/>
      <c r="BK352" s="75"/>
      <c r="BL352" s="75" t="s">
        <v>439</v>
      </c>
      <c r="BM352" s="75"/>
    </row>
    <row r="353" spans="1:65" ht="12.75" customHeight="1" x14ac:dyDescent="0.2">
      <c r="A353" s="38"/>
      <c r="B353" s="38"/>
      <c r="C353" s="75"/>
      <c r="D353" s="75"/>
      <c r="E353" s="75"/>
      <c r="F353" s="75"/>
      <c r="G353" s="75"/>
      <c r="H353" s="75"/>
      <c r="I353" s="75"/>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t="s">
        <v>439</v>
      </c>
      <c r="BG353" s="75"/>
      <c r="BH353" s="75"/>
      <c r="BI353" s="75" t="s">
        <v>439</v>
      </c>
      <c r="BJ353" s="75"/>
      <c r="BK353" s="75"/>
      <c r="BL353" s="75" t="s">
        <v>439</v>
      </c>
      <c r="BM353" s="75"/>
    </row>
    <row r="354" spans="1:65" ht="12.75" customHeight="1" x14ac:dyDescent="0.2">
      <c r="A354" s="38"/>
      <c r="B354" s="38"/>
      <c r="C354" s="75"/>
      <c r="D354" s="75"/>
      <c r="E354" s="75"/>
      <c r="F354" s="75"/>
      <c r="G354" s="75"/>
      <c r="H354" s="75"/>
      <c r="I354" s="75"/>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t="s">
        <v>439</v>
      </c>
      <c r="BG354" s="75"/>
      <c r="BH354" s="75"/>
      <c r="BI354" s="75" t="s">
        <v>439</v>
      </c>
      <c r="BJ354" s="75"/>
      <c r="BK354" s="75"/>
      <c r="BL354" s="75" t="s">
        <v>439</v>
      </c>
      <c r="BM354" s="75"/>
    </row>
    <row r="355" spans="1:65" ht="12.75" customHeight="1" x14ac:dyDescent="0.2">
      <c r="A355" s="38"/>
      <c r="B355" s="38"/>
      <c r="C355" s="75"/>
      <c r="D355" s="75"/>
      <c r="E355" s="75"/>
      <c r="F355" s="75"/>
      <c r="G355" s="75"/>
      <c r="H355" s="75"/>
      <c r="I355" s="75"/>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t="s">
        <v>439</v>
      </c>
      <c r="BG355" s="75"/>
      <c r="BH355" s="75"/>
      <c r="BI355" s="75" t="s">
        <v>439</v>
      </c>
      <c r="BJ355" s="75"/>
      <c r="BK355" s="75"/>
      <c r="BL355" s="75" t="s">
        <v>439</v>
      </c>
      <c r="BM355" s="75"/>
    </row>
    <row r="356" spans="1:65" ht="12.75" customHeight="1" x14ac:dyDescent="0.2">
      <c r="A356" s="38"/>
      <c r="B356" s="38"/>
      <c r="C356" s="75"/>
      <c r="D356" s="75"/>
      <c r="E356" s="75"/>
      <c r="F356" s="75"/>
      <c r="G356" s="75"/>
      <c r="H356" s="75"/>
      <c r="I356" s="75"/>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t="s">
        <v>439</v>
      </c>
      <c r="BG356" s="75"/>
      <c r="BH356" s="75"/>
      <c r="BI356" s="75" t="s">
        <v>439</v>
      </c>
      <c r="BJ356" s="75"/>
      <c r="BK356" s="75"/>
      <c r="BL356" s="75" t="s">
        <v>439</v>
      </c>
      <c r="BM356" s="75"/>
    </row>
    <row r="357" spans="1:65" ht="12.75" customHeight="1" x14ac:dyDescent="0.2">
      <c r="A357" s="38"/>
      <c r="B357" s="38"/>
      <c r="C357" s="75"/>
      <c r="D357" s="75"/>
      <c r="E357" s="75"/>
      <c r="F357" s="75"/>
      <c r="G357" s="75"/>
      <c r="H357" s="75"/>
      <c r="I357" s="75"/>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t="s">
        <v>439</v>
      </c>
      <c r="BG357" s="75"/>
      <c r="BH357" s="75"/>
      <c r="BI357" s="75" t="s">
        <v>439</v>
      </c>
      <c r="BJ357" s="75"/>
      <c r="BK357" s="75"/>
      <c r="BL357" s="75" t="s">
        <v>439</v>
      </c>
      <c r="BM357" s="75"/>
    </row>
    <row r="358" spans="1:65" ht="12.75" customHeight="1" x14ac:dyDescent="0.2">
      <c r="A358" s="38"/>
      <c r="B358" s="38"/>
      <c r="C358" s="75"/>
      <c r="D358" s="75"/>
      <c r="E358" s="75"/>
      <c r="F358" s="75"/>
      <c r="G358" s="75"/>
      <c r="H358" s="75"/>
      <c r="I358" s="75"/>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t="s">
        <v>439</v>
      </c>
      <c r="BG358" s="75"/>
      <c r="BH358" s="75"/>
      <c r="BI358" s="75" t="s">
        <v>439</v>
      </c>
      <c r="BJ358" s="75"/>
      <c r="BK358" s="75"/>
      <c r="BL358" s="75" t="s">
        <v>439</v>
      </c>
      <c r="BM358" s="75"/>
    </row>
    <row r="359" spans="1:65" ht="12.75" customHeight="1" x14ac:dyDescent="0.2">
      <c r="A359" s="38"/>
      <c r="B359" s="38"/>
      <c r="C359" s="75"/>
      <c r="D359" s="75"/>
      <c r="E359" s="75"/>
      <c r="F359" s="75"/>
      <c r="G359" s="75"/>
      <c r="H359" s="75"/>
      <c r="I359" s="75"/>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t="s">
        <v>439</v>
      </c>
      <c r="BG359" s="75"/>
      <c r="BH359" s="75"/>
      <c r="BI359" s="75" t="s">
        <v>439</v>
      </c>
      <c r="BJ359" s="75"/>
      <c r="BK359" s="75"/>
      <c r="BL359" s="75" t="s">
        <v>439</v>
      </c>
      <c r="BM359" s="75"/>
    </row>
    <row r="360" spans="1:65" ht="12.75" customHeight="1" x14ac:dyDescent="0.2">
      <c r="A360" s="38"/>
      <c r="B360" s="38"/>
      <c r="C360" s="75"/>
      <c r="D360" s="75"/>
      <c r="E360" s="75"/>
      <c r="F360" s="75"/>
      <c r="G360" s="75"/>
      <c r="H360" s="75"/>
      <c r="I360" s="75"/>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t="s">
        <v>439</v>
      </c>
      <c r="BG360" s="75"/>
      <c r="BH360" s="75"/>
      <c r="BI360" s="75" t="s">
        <v>439</v>
      </c>
      <c r="BJ360" s="75"/>
      <c r="BK360" s="75"/>
      <c r="BL360" s="75" t="s">
        <v>439</v>
      </c>
      <c r="BM360" s="75"/>
    </row>
    <row r="361" spans="1:65" ht="12.75" customHeight="1" x14ac:dyDescent="0.2">
      <c r="A361" s="38"/>
      <c r="B361" s="38"/>
      <c r="C361" s="75"/>
      <c r="D361" s="75"/>
      <c r="E361" s="75"/>
      <c r="F361" s="75"/>
      <c r="G361" s="75"/>
      <c r="H361" s="75"/>
      <c r="I361" s="75"/>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t="s">
        <v>439</v>
      </c>
      <c r="BG361" s="75"/>
      <c r="BH361" s="75"/>
      <c r="BI361" s="75" t="s">
        <v>439</v>
      </c>
      <c r="BJ361" s="75"/>
      <c r="BK361" s="75"/>
      <c r="BL361" s="75" t="s">
        <v>439</v>
      </c>
      <c r="BM361" s="75"/>
    </row>
    <row r="362" spans="1:65" ht="12.75" customHeight="1" x14ac:dyDescent="0.2">
      <c r="A362" s="38"/>
      <c r="B362" s="38"/>
      <c r="C362" s="75"/>
      <c r="D362" s="75"/>
      <c r="E362" s="75"/>
      <c r="F362" s="75"/>
      <c r="G362" s="75"/>
      <c r="H362" s="75"/>
      <c r="I362" s="75"/>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t="s">
        <v>439</v>
      </c>
      <c r="BG362" s="75"/>
      <c r="BH362" s="75"/>
      <c r="BI362" s="75" t="s">
        <v>439</v>
      </c>
      <c r="BJ362" s="75"/>
      <c r="BK362" s="75"/>
      <c r="BL362" s="75" t="s">
        <v>439</v>
      </c>
      <c r="BM362" s="75"/>
    </row>
    <row r="363" spans="1:65" ht="12.75" customHeight="1" x14ac:dyDescent="0.2">
      <c r="A363" s="38"/>
      <c r="B363" s="38"/>
      <c r="C363" s="75"/>
      <c r="D363" s="75"/>
      <c r="E363" s="75"/>
      <c r="F363" s="75"/>
      <c r="G363" s="75"/>
      <c r="H363" s="75"/>
      <c r="I363" s="75"/>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t="s">
        <v>439</v>
      </c>
      <c r="BG363" s="75"/>
      <c r="BH363" s="75"/>
      <c r="BI363" s="75" t="s">
        <v>439</v>
      </c>
      <c r="BJ363" s="75"/>
      <c r="BK363" s="75"/>
      <c r="BL363" s="75" t="s">
        <v>439</v>
      </c>
      <c r="BM363" s="75"/>
    </row>
    <row r="364" spans="1:65" ht="12.75" customHeight="1" x14ac:dyDescent="0.2">
      <c r="A364" s="38"/>
      <c r="B364" s="38"/>
      <c r="C364" s="75"/>
      <c r="D364" s="75"/>
      <c r="E364" s="75"/>
      <c r="F364" s="75"/>
      <c r="G364" s="75"/>
      <c r="H364" s="75"/>
      <c r="I364" s="75"/>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t="s">
        <v>439</v>
      </c>
      <c r="BG364" s="75"/>
      <c r="BH364" s="75"/>
      <c r="BI364" s="75" t="s">
        <v>439</v>
      </c>
      <c r="BJ364" s="75"/>
      <c r="BK364" s="75"/>
      <c r="BL364" s="75" t="s">
        <v>439</v>
      </c>
      <c r="BM364" s="75"/>
    </row>
    <row r="365" spans="1:65" ht="12.75" customHeight="1" x14ac:dyDescent="0.2">
      <c r="A365" s="38"/>
      <c r="B365" s="38"/>
      <c r="C365" s="75"/>
      <c r="D365" s="75"/>
      <c r="E365" s="75"/>
      <c r="F365" s="75"/>
      <c r="G365" s="75"/>
      <c r="H365" s="75"/>
      <c r="I365" s="75"/>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t="s">
        <v>439</v>
      </c>
      <c r="BG365" s="75"/>
      <c r="BH365" s="75"/>
      <c r="BI365" s="75" t="s">
        <v>439</v>
      </c>
      <c r="BJ365" s="75"/>
      <c r="BK365" s="75"/>
      <c r="BL365" s="75" t="s">
        <v>439</v>
      </c>
      <c r="BM365" s="75"/>
    </row>
    <row r="366" spans="1:65" ht="12.75" customHeight="1" x14ac:dyDescent="0.2">
      <c r="A366" s="38"/>
      <c r="B366" s="38"/>
      <c r="C366" s="75"/>
      <c r="D366" s="75"/>
      <c r="E366" s="75"/>
      <c r="F366" s="75"/>
      <c r="G366" s="75"/>
      <c r="H366" s="75"/>
      <c r="I366" s="75"/>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t="s">
        <v>439</v>
      </c>
      <c r="BG366" s="75"/>
      <c r="BH366" s="75"/>
      <c r="BI366" s="75" t="s">
        <v>439</v>
      </c>
      <c r="BJ366" s="75"/>
      <c r="BK366" s="75"/>
      <c r="BL366" s="75" t="s">
        <v>439</v>
      </c>
      <c r="BM366" s="75"/>
    </row>
    <row r="367" spans="1:65" ht="12.75" customHeight="1" x14ac:dyDescent="0.2">
      <c r="A367" s="38"/>
      <c r="B367" s="38"/>
      <c r="C367" s="75"/>
      <c r="D367" s="75"/>
      <c r="E367" s="75"/>
      <c r="F367" s="75"/>
      <c r="G367" s="75"/>
      <c r="H367" s="75"/>
      <c r="I367" s="75"/>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t="s">
        <v>439</v>
      </c>
      <c r="BG367" s="75"/>
      <c r="BH367" s="75"/>
      <c r="BI367" s="75" t="s">
        <v>439</v>
      </c>
      <c r="BJ367" s="75"/>
      <c r="BK367" s="75"/>
      <c r="BL367" s="75" t="s">
        <v>439</v>
      </c>
      <c r="BM367" s="75"/>
    </row>
    <row r="368" spans="1:65" ht="12.75" customHeight="1" x14ac:dyDescent="0.2">
      <c r="A368" s="38"/>
      <c r="B368" s="38"/>
      <c r="C368" s="75"/>
      <c r="D368" s="75"/>
      <c r="E368" s="75"/>
      <c r="F368" s="75"/>
      <c r="G368" s="75"/>
      <c r="H368" s="75"/>
      <c r="I368" s="75"/>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t="s">
        <v>439</v>
      </c>
      <c r="BG368" s="75"/>
      <c r="BH368" s="75"/>
      <c r="BI368" s="75" t="s">
        <v>439</v>
      </c>
      <c r="BJ368" s="75"/>
      <c r="BK368" s="75"/>
      <c r="BL368" s="75" t="s">
        <v>439</v>
      </c>
      <c r="BM368" s="75"/>
    </row>
    <row r="369" spans="1:65" ht="12.75" customHeight="1" x14ac:dyDescent="0.2">
      <c r="A369" s="38"/>
      <c r="B369" s="38"/>
      <c r="C369" s="75"/>
      <c r="D369" s="75"/>
      <c r="E369" s="75"/>
      <c r="F369" s="75"/>
      <c r="G369" s="75"/>
      <c r="H369" s="75"/>
      <c r="I369" s="75"/>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t="s">
        <v>439</v>
      </c>
      <c r="BG369" s="75"/>
      <c r="BH369" s="75"/>
      <c r="BI369" s="75" t="s">
        <v>439</v>
      </c>
      <c r="BJ369" s="75"/>
      <c r="BK369" s="75"/>
      <c r="BL369" s="75" t="s">
        <v>439</v>
      </c>
      <c r="BM369" s="75"/>
    </row>
    <row r="370" spans="1:65" ht="12.75" customHeight="1" x14ac:dyDescent="0.2">
      <c r="A370" s="38"/>
      <c r="B370" s="38"/>
      <c r="C370" s="75"/>
      <c r="D370" s="75"/>
      <c r="E370" s="75"/>
      <c r="F370" s="75"/>
      <c r="G370" s="75"/>
      <c r="H370" s="75"/>
      <c r="I370" s="75"/>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t="s">
        <v>439</v>
      </c>
      <c r="BG370" s="75"/>
      <c r="BH370" s="75"/>
      <c r="BI370" s="75" t="s">
        <v>439</v>
      </c>
      <c r="BJ370" s="75"/>
      <c r="BK370" s="75"/>
      <c r="BL370" s="75" t="s">
        <v>439</v>
      </c>
      <c r="BM370" s="75"/>
    </row>
    <row r="371" spans="1:65" ht="12.75" customHeight="1" x14ac:dyDescent="0.2">
      <c r="A371" s="38"/>
      <c r="B371" s="38"/>
      <c r="C371" s="75"/>
      <c r="D371" s="75"/>
      <c r="E371" s="75"/>
      <c r="F371" s="75"/>
      <c r="G371" s="75"/>
      <c r="H371" s="75"/>
      <c r="I371" s="75"/>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t="s">
        <v>439</v>
      </c>
      <c r="BG371" s="75"/>
      <c r="BH371" s="75"/>
      <c r="BI371" s="75" t="s">
        <v>439</v>
      </c>
      <c r="BJ371" s="75"/>
      <c r="BK371" s="75"/>
      <c r="BL371" s="75" t="s">
        <v>439</v>
      </c>
      <c r="BM371" s="75"/>
    </row>
    <row r="372" spans="1:65" ht="12.75" customHeight="1" x14ac:dyDescent="0.2">
      <c r="A372" s="38"/>
      <c r="B372" s="38"/>
      <c r="C372" s="75"/>
      <c r="D372" s="75"/>
      <c r="E372" s="75"/>
      <c r="F372" s="75"/>
      <c r="G372" s="75"/>
      <c r="H372" s="75"/>
      <c r="I372" s="75"/>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t="s">
        <v>439</v>
      </c>
      <c r="BG372" s="75"/>
      <c r="BH372" s="75"/>
      <c r="BI372" s="75" t="s">
        <v>439</v>
      </c>
      <c r="BJ372" s="75"/>
      <c r="BK372" s="75"/>
      <c r="BL372" s="75" t="s">
        <v>439</v>
      </c>
      <c r="BM372" s="75"/>
    </row>
    <row r="373" spans="1:65" ht="12.75" customHeight="1" x14ac:dyDescent="0.2">
      <c r="A373" s="38"/>
      <c r="B373" s="38"/>
      <c r="C373" s="75"/>
      <c r="D373" s="75"/>
      <c r="E373" s="75"/>
      <c r="F373" s="75"/>
      <c r="G373" s="75"/>
      <c r="H373" s="75"/>
      <c r="I373" s="75"/>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t="s">
        <v>439</v>
      </c>
      <c r="BG373" s="75"/>
      <c r="BH373" s="75"/>
      <c r="BI373" s="75" t="s">
        <v>439</v>
      </c>
      <c r="BJ373" s="75"/>
      <c r="BK373" s="75"/>
      <c r="BL373" s="75" t="s">
        <v>439</v>
      </c>
      <c r="BM373" s="75"/>
    </row>
    <row r="374" spans="1:65" ht="12.75" customHeight="1" x14ac:dyDescent="0.2">
      <c r="A374" s="38"/>
      <c r="B374" s="38"/>
      <c r="C374" s="75"/>
      <c r="D374" s="75"/>
      <c r="E374" s="75"/>
      <c r="F374" s="75"/>
      <c r="G374" s="75"/>
      <c r="H374" s="75"/>
      <c r="I374" s="75"/>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t="s">
        <v>439</v>
      </c>
      <c r="BG374" s="75"/>
      <c r="BH374" s="75"/>
      <c r="BI374" s="75" t="s">
        <v>439</v>
      </c>
      <c r="BJ374" s="75"/>
      <c r="BK374" s="75"/>
      <c r="BL374" s="75" t="s">
        <v>439</v>
      </c>
      <c r="BM374" s="75"/>
    </row>
    <row r="375" spans="1:65" ht="12.75" customHeight="1" x14ac:dyDescent="0.2">
      <c r="A375" s="38"/>
      <c r="B375" s="38"/>
      <c r="C375" s="75"/>
      <c r="D375" s="75"/>
      <c r="E375" s="75"/>
      <c r="F375" s="75"/>
      <c r="G375" s="75"/>
      <c r="H375" s="75"/>
      <c r="I375" s="75"/>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t="s">
        <v>439</v>
      </c>
      <c r="BG375" s="75"/>
      <c r="BH375" s="75"/>
      <c r="BI375" s="75" t="s">
        <v>439</v>
      </c>
      <c r="BJ375" s="75"/>
      <c r="BK375" s="75"/>
      <c r="BL375" s="75" t="s">
        <v>439</v>
      </c>
      <c r="BM375" s="75"/>
    </row>
    <row r="376" spans="1:65" ht="12.75" customHeight="1" x14ac:dyDescent="0.2">
      <c r="A376" s="38"/>
      <c r="B376" s="38"/>
      <c r="C376" s="75"/>
      <c r="D376" s="75"/>
      <c r="E376" s="75"/>
      <c r="F376" s="75"/>
      <c r="G376" s="75"/>
      <c r="H376" s="75"/>
      <c r="I376" s="75"/>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t="s">
        <v>439</v>
      </c>
      <c r="BG376" s="75"/>
      <c r="BH376" s="75"/>
      <c r="BI376" s="75" t="s">
        <v>439</v>
      </c>
      <c r="BJ376" s="75"/>
      <c r="BK376" s="75"/>
      <c r="BL376" s="75" t="s">
        <v>439</v>
      </c>
      <c r="BM376" s="75"/>
    </row>
    <row r="377" spans="1:65" ht="12.75" customHeight="1" x14ac:dyDescent="0.2">
      <c r="A377" s="38"/>
      <c r="B377" s="38"/>
      <c r="C377" s="75"/>
      <c r="D377" s="75"/>
      <c r="E377" s="75"/>
      <c r="F377" s="75"/>
      <c r="G377" s="75"/>
      <c r="H377" s="75"/>
      <c r="I377" s="75"/>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t="s">
        <v>439</v>
      </c>
      <c r="BG377" s="75"/>
      <c r="BH377" s="75"/>
      <c r="BI377" s="75" t="s">
        <v>439</v>
      </c>
      <c r="BJ377" s="75"/>
      <c r="BK377" s="75"/>
      <c r="BL377" s="75" t="s">
        <v>439</v>
      </c>
      <c r="BM377" s="75"/>
    </row>
    <row r="378" spans="1:65" ht="12.75" customHeight="1" x14ac:dyDescent="0.2">
      <c r="A378" s="38"/>
      <c r="B378" s="38"/>
      <c r="C378" s="75"/>
      <c r="D378" s="75"/>
      <c r="E378" s="75"/>
      <c r="F378" s="75"/>
      <c r="G378" s="75"/>
      <c r="H378" s="75"/>
      <c r="I378" s="75"/>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t="s">
        <v>439</v>
      </c>
      <c r="BG378" s="75"/>
      <c r="BH378" s="75"/>
      <c r="BI378" s="75" t="s">
        <v>439</v>
      </c>
      <c r="BJ378" s="75"/>
      <c r="BK378" s="75"/>
      <c r="BL378" s="75" t="s">
        <v>439</v>
      </c>
      <c r="BM378" s="75"/>
    </row>
    <row r="379" spans="1:65" ht="12.75" customHeight="1" x14ac:dyDescent="0.2">
      <c r="A379" s="38"/>
      <c r="B379" s="38"/>
      <c r="C379" s="75"/>
      <c r="D379" s="75"/>
      <c r="E379" s="75"/>
      <c r="F379" s="75"/>
      <c r="G379" s="75"/>
      <c r="H379" s="75"/>
      <c r="I379" s="75"/>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t="s">
        <v>439</v>
      </c>
      <c r="BG379" s="75"/>
      <c r="BH379" s="75"/>
      <c r="BI379" s="75" t="s">
        <v>439</v>
      </c>
      <c r="BJ379" s="75"/>
      <c r="BK379" s="75"/>
      <c r="BL379" s="75" t="s">
        <v>439</v>
      </c>
      <c r="BM379" s="75"/>
    </row>
    <row r="380" spans="1:65" ht="12.75" customHeight="1" x14ac:dyDescent="0.2">
      <c r="A380" s="38"/>
      <c r="B380" s="38"/>
      <c r="C380" s="75"/>
      <c r="D380" s="75"/>
      <c r="E380" s="75"/>
      <c r="F380" s="75"/>
      <c r="G380" s="75"/>
      <c r="H380" s="75"/>
      <c r="I380" s="75"/>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t="s">
        <v>439</v>
      </c>
      <c r="BG380" s="75"/>
      <c r="BH380" s="75"/>
      <c r="BI380" s="75" t="s">
        <v>439</v>
      </c>
      <c r="BJ380" s="75"/>
      <c r="BK380" s="75"/>
      <c r="BL380" s="75" t="s">
        <v>439</v>
      </c>
      <c r="BM380" s="75"/>
    </row>
    <row r="381" spans="1:65" ht="12.75" customHeight="1" x14ac:dyDescent="0.2">
      <c r="A381" s="38"/>
      <c r="B381" s="38"/>
      <c r="C381" s="75"/>
      <c r="D381" s="75"/>
      <c r="E381" s="75"/>
      <c r="F381" s="75"/>
      <c r="G381" s="75"/>
      <c r="H381" s="75"/>
      <c r="I381" s="75"/>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t="s">
        <v>439</v>
      </c>
      <c r="BG381" s="75"/>
      <c r="BH381" s="75"/>
      <c r="BI381" s="75" t="s">
        <v>439</v>
      </c>
      <c r="BJ381" s="75"/>
      <c r="BK381" s="75"/>
      <c r="BL381" s="75" t="s">
        <v>439</v>
      </c>
      <c r="BM381" s="75"/>
    </row>
    <row r="382" spans="1:65" ht="12.75" customHeight="1" x14ac:dyDescent="0.2">
      <c r="A382" s="38"/>
      <c r="B382" s="38"/>
      <c r="C382" s="75"/>
      <c r="D382" s="75"/>
      <c r="E382" s="75"/>
      <c r="F382" s="75"/>
      <c r="G382" s="75"/>
      <c r="H382" s="75"/>
      <c r="I382" s="75"/>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t="s">
        <v>439</v>
      </c>
      <c r="BG382" s="75"/>
      <c r="BH382" s="75"/>
      <c r="BI382" s="75" t="s">
        <v>439</v>
      </c>
      <c r="BJ382" s="75"/>
      <c r="BK382" s="75"/>
      <c r="BL382" s="75" t="s">
        <v>439</v>
      </c>
      <c r="BM382" s="75"/>
    </row>
    <row r="383" spans="1:65" ht="12.75" customHeight="1" x14ac:dyDescent="0.2">
      <c r="A383" s="38"/>
      <c r="B383" s="38"/>
      <c r="C383" s="75"/>
      <c r="D383" s="75"/>
      <c r="E383" s="75"/>
      <c r="F383" s="75"/>
      <c r="G383" s="75"/>
      <c r="H383" s="75"/>
      <c r="I383" s="75"/>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t="s">
        <v>439</v>
      </c>
      <c r="BG383" s="75"/>
      <c r="BH383" s="75"/>
      <c r="BI383" s="75" t="s">
        <v>439</v>
      </c>
      <c r="BJ383" s="75"/>
      <c r="BK383" s="75"/>
      <c r="BL383" s="75" t="s">
        <v>439</v>
      </c>
      <c r="BM383" s="75"/>
    </row>
    <row r="384" spans="1:65" ht="12.75" customHeight="1" x14ac:dyDescent="0.2">
      <c r="A384" s="38"/>
      <c r="B384" s="38"/>
      <c r="C384" s="75"/>
      <c r="D384" s="75"/>
      <c r="E384" s="75"/>
      <c r="F384" s="75"/>
      <c r="G384" s="75"/>
      <c r="H384" s="75"/>
      <c r="I384" s="75"/>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t="s">
        <v>439</v>
      </c>
      <c r="BG384" s="75"/>
      <c r="BH384" s="75"/>
      <c r="BI384" s="75" t="s">
        <v>439</v>
      </c>
      <c r="BJ384" s="75"/>
      <c r="BK384" s="75"/>
      <c r="BL384" s="75" t="s">
        <v>439</v>
      </c>
      <c r="BM384" s="75"/>
    </row>
    <row r="385" spans="1:65" ht="12.75" customHeight="1" x14ac:dyDescent="0.2">
      <c r="A385" s="38"/>
      <c r="B385" s="38"/>
      <c r="C385" s="75"/>
      <c r="D385" s="75"/>
      <c r="E385" s="75"/>
      <c r="F385" s="75"/>
      <c r="G385" s="75"/>
      <c r="H385" s="75"/>
      <c r="I385" s="75"/>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t="s">
        <v>439</v>
      </c>
      <c r="BG385" s="75"/>
      <c r="BH385" s="75"/>
      <c r="BI385" s="75" t="s">
        <v>439</v>
      </c>
      <c r="BJ385" s="75"/>
      <c r="BK385" s="75"/>
      <c r="BL385" s="75" t="s">
        <v>439</v>
      </c>
      <c r="BM385" s="75"/>
    </row>
    <row r="386" spans="1:65" ht="12.75" customHeight="1" x14ac:dyDescent="0.2">
      <c r="A386" s="38"/>
      <c r="B386" s="38"/>
      <c r="C386" s="75"/>
      <c r="D386" s="75"/>
      <c r="E386" s="75"/>
      <c r="F386" s="75"/>
      <c r="G386" s="75"/>
      <c r="H386" s="75"/>
      <c r="I386" s="75"/>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t="s">
        <v>439</v>
      </c>
      <c r="BG386" s="75"/>
      <c r="BH386" s="75"/>
      <c r="BI386" s="75" t="s">
        <v>439</v>
      </c>
      <c r="BJ386" s="75"/>
      <c r="BK386" s="75"/>
      <c r="BL386" s="75" t="s">
        <v>439</v>
      </c>
      <c r="BM386" s="75"/>
    </row>
    <row r="387" spans="1:65" ht="12.75" customHeight="1" x14ac:dyDescent="0.2">
      <c r="A387" s="38"/>
      <c r="B387" s="38"/>
      <c r="C387" s="75"/>
      <c r="D387" s="75"/>
      <c r="E387" s="75"/>
      <c r="F387" s="75"/>
      <c r="G387" s="75"/>
      <c r="H387" s="75"/>
      <c r="I387" s="75"/>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t="s">
        <v>439</v>
      </c>
      <c r="BG387" s="75"/>
      <c r="BH387" s="75"/>
      <c r="BI387" s="75" t="s">
        <v>439</v>
      </c>
      <c r="BJ387" s="75"/>
      <c r="BK387" s="75"/>
      <c r="BL387" s="75" t="s">
        <v>439</v>
      </c>
      <c r="BM387" s="75"/>
    </row>
    <row r="388" spans="1:65" ht="12.75" customHeight="1" x14ac:dyDescent="0.2">
      <c r="A388" s="38"/>
      <c r="B388" s="38"/>
      <c r="C388" s="75"/>
      <c r="D388" s="75"/>
      <c r="E388" s="75"/>
      <c r="F388" s="75"/>
      <c r="G388" s="75"/>
      <c r="H388" s="75"/>
      <c r="I388" s="75"/>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t="s">
        <v>439</v>
      </c>
      <c r="BG388" s="75"/>
      <c r="BH388" s="75"/>
      <c r="BI388" s="75" t="s">
        <v>439</v>
      </c>
      <c r="BJ388" s="75"/>
      <c r="BK388" s="75"/>
      <c r="BL388" s="75" t="s">
        <v>439</v>
      </c>
      <c r="BM388" s="75"/>
    </row>
    <row r="389" spans="1:65" ht="12.75" customHeight="1" x14ac:dyDescent="0.2">
      <c r="A389" s="38"/>
      <c r="B389" s="38"/>
      <c r="C389" s="75"/>
      <c r="D389" s="75"/>
      <c r="E389" s="75"/>
      <c r="F389" s="75"/>
      <c r="G389" s="75"/>
      <c r="H389" s="75"/>
      <c r="I389" s="75"/>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t="s">
        <v>439</v>
      </c>
      <c r="BG389" s="75"/>
      <c r="BH389" s="75"/>
      <c r="BI389" s="75" t="s">
        <v>439</v>
      </c>
      <c r="BJ389" s="75"/>
      <c r="BK389" s="75"/>
      <c r="BL389" s="75" t="s">
        <v>439</v>
      </c>
      <c r="BM389" s="75"/>
    </row>
    <row r="390" spans="1:65" ht="12.75" customHeight="1" x14ac:dyDescent="0.2">
      <c r="A390" s="38"/>
      <c r="B390" s="38"/>
      <c r="C390" s="75"/>
      <c r="D390" s="75"/>
      <c r="E390" s="75"/>
      <c r="F390" s="75"/>
      <c r="G390" s="75"/>
      <c r="H390" s="75"/>
      <c r="I390" s="75"/>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t="s">
        <v>439</v>
      </c>
      <c r="BG390" s="75"/>
      <c r="BH390" s="75"/>
      <c r="BI390" s="75" t="s">
        <v>439</v>
      </c>
      <c r="BJ390" s="75"/>
      <c r="BK390" s="75"/>
      <c r="BL390" s="75" t="s">
        <v>439</v>
      </c>
      <c r="BM390" s="75"/>
    </row>
    <row r="391" spans="1:65" ht="12.75" customHeight="1" x14ac:dyDescent="0.2">
      <c r="A391" s="38"/>
      <c r="B391" s="38"/>
      <c r="C391" s="75"/>
      <c r="D391" s="75"/>
      <c r="E391" s="75"/>
      <c r="F391" s="75"/>
      <c r="G391" s="75"/>
      <c r="H391" s="75"/>
      <c r="I391" s="75"/>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t="s">
        <v>439</v>
      </c>
      <c r="BG391" s="75"/>
      <c r="BH391" s="75"/>
      <c r="BI391" s="75" t="s">
        <v>439</v>
      </c>
      <c r="BJ391" s="75"/>
      <c r="BK391" s="75"/>
      <c r="BL391" s="75" t="s">
        <v>439</v>
      </c>
      <c r="BM391" s="75"/>
    </row>
    <row r="392" spans="1:65" ht="12.75" customHeight="1" x14ac:dyDescent="0.2">
      <c r="A392" s="38"/>
      <c r="B392" s="38"/>
      <c r="C392" s="75"/>
      <c r="D392" s="75"/>
      <c r="E392" s="75"/>
      <c r="F392" s="75"/>
      <c r="G392" s="75"/>
      <c r="H392" s="75"/>
      <c r="I392" s="75"/>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t="s">
        <v>439</v>
      </c>
      <c r="BG392" s="75"/>
      <c r="BH392" s="75"/>
      <c r="BI392" s="75" t="s">
        <v>439</v>
      </c>
      <c r="BJ392" s="75"/>
      <c r="BK392" s="75"/>
      <c r="BL392" s="75" t="s">
        <v>439</v>
      </c>
      <c r="BM392" s="75"/>
    </row>
    <row r="393" spans="1:65" ht="12.75" customHeight="1" x14ac:dyDescent="0.2">
      <c r="A393" s="38"/>
      <c r="B393" s="38"/>
      <c r="C393" s="75"/>
      <c r="D393" s="75"/>
      <c r="E393" s="75"/>
      <c r="F393" s="75"/>
      <c r="G393" s="75"/>
      <c r="H393" s="75"/>
      <c r="I393" s="75"/>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t="s">
        <v>439</v>
      </c>
      <c r="BG393" s="75"/>
      <c r="BH393" s="75"/>
      <c r="BI393" s="75" t="s">
        <v>439</v>
      </c>
      <c r="BJ393" s="75"/>
      <c r="BK393" s="75"/>
      <c r="BL393" s="75" t="s">
        <v>439</v>
      </c>
      <c r="BM393" s="75"/>
    </row>
    <row r="394" spans="1:65" ht="12.75" customHeight="1" x14ac:dyDescent="0.2">
      <c r="A394" s="38"/>
      <c r="B394" s="38"/>
      <c r="C394" s="75"/>
      <c r="D394" s="75"/>
      <c r="E394" s="75"/>
      <c r="F394" s="75"/>
      <c r="G394" s="75"/>
      <c r="H394" s="75"/>
      <c r="I394" s="75"/>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t="s">
        <v>439</v>
      </c>
      <c r="BG394" s="75"/>
      <c r="BH394" s="75"/>
      <c r="BI394" s="75" t="s">
        <v>439</v>
      </c>
      <c r="BJ394" s="75"/>
      <c r="BK394" s="75"/>
      <c r="BL394" s="75" t="s">
        <v>439</v>
      </c>
      <c r="BM394" s="75"/>
    </row>
    <row r="395" spans="1:65" ht="12.75" customHeight="1" x14ac:dyDescent="0.2">
      <c r="A395" s="38"/>
      <c r="B395" s="38"/>
      <c r="C395" s="75"/>
      <c r="D395" s="75"/>
      <c r="E395" s="75"/>
      <c r="F395" s="75"/>
      <c r="G395" s="75"/>
      <c r="H395" s="75"/>
      <c r="I395" s="75"/>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t="s">
        <v>439</v>
      </c>
      <c r="BG395" s="75"/>
      <c r="BH395" s="75"/>
      <c r="BI395" s="75" t="s">
        <v>439</v>
      </c>
      <c r="BJ395" s="75"/>
      <c r="BK395" s="75"/>
      <c r="BL395" s="75" t="s">
        <v>439</v>
      </c>
      <c r="BM395" s="75"/>
    </row>
    <row r="396" spans="1:65" ht="12.75" customHeight="1" x14ac:dyDescent="0.2">
      <c r="A396" s="38"/>
      <c r="B396" s="38"/>
      <c r="C396" s="75"/>
      <c r="D396" s="75"/>
      <c r="E396" s="75"/>
      <c r="F396" s="75"/>
      <c r="G396" s="75"/>
      <c r="H396" s="75"/>
      <c r="I396" s="75"/>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t="s">
        <v>439</v>
      </c>
      <c r="BG396" s="75"/>
      <c r="BH396" s="75"/>
      <c r="BI396" s="75" t="s">
        <v>439</v>
      </c>
      <c r="BJ396" s="75"/>
      <c r="BK396" s="75"/>
      <c r="BL396" s="75" t="s">
        <v>439</v>
      </c>
      <c r="BM396" s="75"/>
    </row>
    <row r="397" spans="1:65" ht="12.75" customHeight="1" x14ac:dyDescent="0.2">
      <c r="A397" s="38"/>
      <c r="B397" s="38"/>
      <c r="C397" s="75"/>
      <c r="D397" s="75"/>
      <c r="E397" s="75"/>
      <c r="F397" s="75"/>
      <c r="G397" s="75"/>
      <c r="H397" s="75"/>
      <c r="I397" s="75"/>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t="s">
        <v>439</v>
      </c>
      <c r="BG397" s="75"/>
      <c r="BH397" s="75"/>
      <c r="BI397" s="75" t="s">
        <v>439</v>
      </c>
      <c r="BJ397" s="75"/>
      <c r="BK397" s="75"/>
      <c r="BL397" s="75" t="s">
        <v>439</v>
      </c>
      <c r="BM397" s="75"/>
    </row>
    <row r="398" spans="1:65" ht="12.75" customHeight="1" x14ac:dyDescent="0.2">
      <c r="A398" s="38"/>
      <c r="B398" s="38"/>
      <c r="C398" s="75"/>
      <c r="D398" s="75"/>
      <c r="E398" s="75"/>
      <c r="F398" s="75"/>
      <c r="G398" s="75"/>
      <c r="H398" s="75"/>
      <c r="I398" s="75"/>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t="s">
        <v>439</v>
      </c>
      <c r="BG398" s="75"/>
      <c r="BH398" s="75"/>
      <c r="BI398" s="75" t="s">
        <v>439</v>
      </c>
      <c r="BJ398" s="75"/>
      <c r="BK398" s="75"/>
      <c r="BL398" s="75" t="s">
        <v>439</v>
      </c>
      <c r="BM398" s="75"/>
    </row>
    <row r="399" spans="1:65" ht="12.75" customHeight="1" x14ac:dyDescent="0.2">
      <c r="A399" s="38"/>
      <c r="B399" s="38"/>
      <c r="C399" s="75"/>
      <c r="D399" s="75"/>
      <c r="E399" s="75"/>
      <c r="F399" s="75"/>
      <c r="G399" s="75"/>
      <c r="H399" s="75"/>
      <c r="I399" s="75"/>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t="s">
        <v>439</v>
      </c>
      <c r="BG399" s="75"/>
      <c r="BH399" s="75"/>
      <c r="BI399" s="75" t="s">
        <v>439</v>
      </c>
      <c r="BJ399" s="75"/>
      <c r="BK399" s="75"/>
      <c r="BL399" s="75" t="s">
        <v>439</v>
      </c>
      <c r="BM399" s="75"/>
    </row>
    <row r="400" spans="1:65" ht="12.75" customHeight="1" x14ac:dyDescent="0.2">
      <c r="A400" s="38"/>
      <c r="B400" s="38"/>
      <c r="C400" s="75"/>
      <c r="D400" s="75"/>
      <c r="E400" s="75"/>
      <c r="F400" s="75"/>
      <c r="G400" s="75"/>
      <c r="H400" s="75"/>
      <c r="I400" s="75"/>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t="s">
        <v>439</v>
      </c>
      <c r="BG400" s="75"/>
      <c r="BH400" s="75"/>
      <c r="BI400" s="75" t="s">
        <v>439</v>
      </c>
      <c r="BJ400" s="75"/>
      <c r="BK400" s="75"/>
      <c r="BL400" s="75" t="s">
        <v>439</v>
      </c>
      <c r="BM400" s="75"/>
    </row>
    <row r="401" spans="1:65" ht="12.75" customHeight="1" x14ac:dyDescent="0.2">
      <c r="A401" s="38"/>
      <c r="B401" s="38"/>
      <c r="C401" s="75"/>
      <c r="D401" s="75"/>
      <c r="E401" s="75"/>
      <c r="F401" s="75"/>
      <c r="G401" s="75"/>
      <c r="H401" s="75"/>
      <c r="I401" s="75"/>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t="s">
        <v>439</v>
      </c>
      <c r="BG401" s="75"/>
      <c r="BH401" s="75"/>
      <c r="BI401" s="75" t="s">
        <v>439</v>
      </c>
      <c r="BJ401" s="75"/>
      <c r="BK401" s="75"/>
      <c r="BL401" s="75" t="s">
        <v>439</v>
      </c>
      <c r="BM401" s="75"/>
    </row>
    <row r="402" spans="1:65" ht="12.75" customHeight="1" x14ac:dyDescent="0.2">
      <c r="A402" s="38"/>
      <c r="B402" s="38"/>
      <c r="C402" s="75"/>
      <c r="D402" s="75"/>
      <c r="E402" s="75"/>
      <c r="F402" s="75"/>
      <c r="G402" s="75"/>
      <c r="H402" s="75"/>
      <c r="I402" s="75"/>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t="s">
        <v>439</v>
      </c>
      <c r="BG402" s="75"/>
      <c r="BH402" s="75"/>
      <c r="BI402" s="75" t="s">
        <v>439</v>
      </c>
      <c r="BJ402" s="75"/>
      <c r="BK402" s="75"/>
      <c r="BL402" s="75" t="s">
        <v>439</v>
      </c>
      <c r="BM402" s="75"/>
    </row>
    <row r="403" spans="1:65" ht="12.75" customHeight="1" x14ac:dyDescent="0.2">
      <c r="A403" s="38"/>
      <c r="B403" s="38"/>
      <c r="C403" s="75"/>
      <c r="D403" s="75"/>
      <c r="E403" s="75"/>
      <c r="F403" s="75"/>
      <c r="G403" s="75"/>
      <c r="H403" s="75"/>
      <c r="I403" s="75"/>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t="s">
        <v>439</v>
      </c>
      <c r="BG403" s="75"/>
      <c r="BH403" s="75"/>
      <c r="BI403" s="75" t="s">
        <v>439</v>
      </c>
      <c r="BJ403" s="75"/>
      <c r="BK403" s="75"/>
      <c r="BL403" s="75" t="s">
        <v>439</v>
      </c>
      <c r="BM403" s="75"/>
    </row>
    <row r="404" spans="1:65" ht="12.75" customHeight="1" x14ac:dyDescent="0.2">
      <c r="A404" s="38"/>
      <c r="B404" s="38"/>
      <c r="C404" s="75"/>
      <c r="D404" s="75"/>
      <c r="E404" s="75"/>
      <c r="F404" s="75"/>
      <c r="G404" s="75"/>
      <c r="H404" s="75"/>
      <c r="I404" s="75"/>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t="s">
        <v>439</v>
      </c>
      <c r="BG404" s="75"/>
      <c r="BH404" s="75"/>
      <c r="BI404" s="75" t="s">
        <v>439</v>
      </c>
      <c r="BJ404" s="75"/>
      <c r="BK404" s="75"/>
      <c r="BL404" s="75" t="s">
        <v>439</v>
      </c>
      <c r="BM404" s="75"/>
    </row>
    <row r="405" spans="1:65" ht="12.75" customHeight="1" x14ac:dyDescent="0.2">
      <c r="A405" s="38"/>
      <c r="B405" s="38"/>
      <c r="C405" s="75"/>
      <c r="D405" s="75"/>
      <c r="E405" s="75"/>
      <c r="F405" s="75"/>
      <c r="G405" s="75"/>
      <c r="H405" s="75"/>
      <c r="I405" s="75"/>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t="s">
        <v>439</v>
      </c>
      <c r="BG405" s="75"/>
      <c r="BH405" s="75"/>
      <c r="BI405" s="75" t="s">
        <v>439</v>
      </c>
      <c r="BJ405" s="75"/>
      <c r="BK405" s="75"/>
      <c r="BL405" s="75" t="s">
        <v>439</v>
      </c>
      <c r="BM405" s="75"/>
    </row>
    <row r="406" spans="1:65" ht="12.75" customHeight="1" x14ac:dyDescent="0.2">
      <c r="A406" s="38"/>
      <c r="B406" s="38"/>
      <c r="C406" s="75"/>
      <c r="D406" s="75"/>
      <c r="E406" s="75"/>
      <c r="F406" s="75"/>
      <c r="G406" s="75"/>
      <c r="H406" s="75"/>
      <c r="I406" s="75"/>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t="s">
        <v>439</v>
      </c>
      <c r="BG406" s="75"/>
      <c r="BH406" s="75"/>
      <c r="BI406" s="75" t="s">
        <v>439</v>
      </c>
      <c r="BJ406" s="75"/>
      <c r="BK406" s="75"/>
      <c r="BL406" s="75" t="s">
        <v>439</v>
      </c>
      <c r="BM406" s="75"/>
    </row>
    <row r="407" spans="1:65" ht="12.75" customHeight="1" x14ac:dyDescent="0.2">
      <c r="A407" s="38"/>
      <c r="B407" s="38"/>
      <c r="C407" s="75"/>
      <c r="D407" s="75"/>
      <c r="E407" s="75"/>
      <c r="F407" s="75"/>
      <c r="G407" s="75"/>
      <c r="H407" s="75"/>
      <c r="I407" s="75"/>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t="s">
        <v>439</v>
      </c>
      <c r="BG407" s="75"/>
      <c r="BH407" s="75"/>
      <c r="BI407" s="75" t="s">
        <v>439</v>
      </c>
      <c r="BJ407" s="75"/>
      <c r="BK407" s="75"/>
      <c r="BL407" s="75" t="s">
        <v>439</v>
      </c>
      <c r="BM407" s="75"/>
    </row>
    <row r="408" spans="1:65" ht="12.75" customHeight="1" x14ac:dyDescent="0.2">
      <c r="A408" s="38"/>
      <c r="B408" s="38"/>
      <c r="C408" s="75"/>
      <c r="D408" s="75"/>
      <c r="E408" s="75"/>
      <c r="F408" s="75"/>
      <c r="G408" s="75"/>
      <c r="H408" s="75"/>
      <c r="I408" s="75"/>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t="s">
        <v>439</v>
      </c>
      <c r="BG408" s="75"/>
      <c r="BH408" s="75"/>
      <c r="BI408" s="75" t="s">
        <v>439</v>
      </c>
      <c r="BJ408" s="75"/>
      <c r="BK408" s="75"/>
      <c r="BL408" s="75" t="s">
        <v>439</v>
      </c>
      <c r="BM408" s="75"/>
    </row>
    <row r="409" spans="1:65" ht="12.75" customHeight="1" x14ac:dyDescent="0.2">
      <c r="A409" s="38"/>
      <c r="B409" s="38"/>
      <c r="C409" s="75"/>
      <c r="D409" s="75"/>
      <c r="E409" s="75"/>
      <c r="F409" s="75"/>
      <c r="G409" s="75"/>
      <c r="H409" s="75"/>
      <c r="I409" s="75"/>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t="s">
        <v>439</v>
      </c>
      <c r="BG409" s="75"/>
      <c r="BH409" s="75"/>
      <c r="BI409" s="75" t="s">
        <v>439</v>
      </c>
      <c r="BJ409" s="75"/>
      <c r="BK409" s="75"/>
      <c r="BL409" s="75" t="s">
        <v>439</v>
      </c>
      <c r="BM409" s="75"/>
    </row>
    <row r="410" spans="1:65" ht="12.75" customHeight="1" x14ac:dyDescent="0.2">
      <c r="A410" s="38"/>
      <c r="B410" s="38"/>
      <c r="C410" s="75"/>
      <c r="D410" s="75"/>
      <c r="E410" s="75"/>
      <c r="F410" s="75"/>
      <c r="G410" s="75"/>
      <c r="H410" s="75"/>
      <c r="I410" s="75"/>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t="s">
        <v>439</v>
      </c>
      <c r="BG410" s="75"/>
      <c r="BH410" s="75"/>
      <c r="BI410" s="75" t="s">
        <v>439</v>
      </c>
      <c r="BJ410" s="75"/>
      <c r="BK410" s="75"/>
      <c r="BL410" s="75" t="s">
        <v>439</v>
      </c>
      <c r="BM410" s="75"/>
    </row>
    <row r="411" spans="1:65" ht="12.75" customHeight="1" x14ac:dyDescent="0.2">
      <c r="A411" s="38"/>
      <c r="B411" s="38"/>
      <c r="C411" s="75"/>
      <c r="D411" s="75"/>
      <c r="E411" s="75"/>
      <c r="F411" s="75"/>
      <c r="G411" s="75"/>
      <c r="H411" s="75"/>
      <c r="I411" s="75"/>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t="s">
        <v>439</v>
      </c>
      <c r="BG411" s="75"/>
      <c r="BH411" s="75"/>
      <c r="BI411" s="75" t="s">
        <v>439</v>
      </c>
      <c r="BJ411" s="75"/>
      <c r="BK411" s="75"/>
      <c r="BL411" s="75" t="s">
        <v>439</v>
      </c>
      <c r="BM411" s="75"/>
    </row>
    <row r="412" spans="1:65" ht="12.75" customHeight="1" x14ac:dyDescent="0.2">
      <c r="A412" s="38"/>
      <c r="B412" s="38"/>
      <c r="C412" s="75"/>
      <c r="D412" s="75"/>
      <c r="E412" s="75"/>
      <c r="F412" s="75"/>
      <c r="G412" s="75"/>
      <c r="H412" s="75"/>
      <c r="I412" s="75"/>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t="s">
        <v>439</v>
      </c>
      <c r="BG412" s="75"/>
      <c r="BH412" s="75"/>
      <c r="BI412" s="75" t="s">
        <v>439</v>
      </c>
      <c r="BJ412" s="75"/>
      <c r="BK412" s="75"/>
      <c r="BL412" s="75" t="s">
        <v>439</v>
      </c>
      <c r="BM412" s="75"/>
    </row>
    <row r="413" spans="1:65" ht="12.75" customHeight="1" x14ac:dyDescent="0.2">
      <c r="A413" s="38"/>
      <c r="B413" s="38"/>
      <c r="C413" s="75"/>
      <c r="D413" s="75"/>
      <c r="E413" s="75"/>
      <c r="F413" s="75"/>
      <c r="G413" s="75"/>
      <c r="H413" s="75"/>
      <c r="I413" s="75"/>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t="s">
        <v>439</v>
      </c>
      <c r="BG413" s="75"/>
      <c r="BH413" s="75"/>
      <c r="BI413" s="75" t="s">
        <v>439</v>
      </c>
      <c r="BJ413" s="75"/>
      <c r="BK413" s="75"/>
      <c r="BL413" s="75" t="s">
        <v>439</v>
      </c>
      <c r="BM413" s="75"/>
    </row>
    <row r="414" spans="1:65" ht="12.75" customHeight="1" x14ac:dyDescent="0.2">
      <c r="A414" s="38"/>
      <c r="B414" s="38"/>
      <c r="C414" s="75"/>
      <c r="D414" s="75"/>
      <c r="E414" s="75"/>
      <c r="F414" s="75"/>
      <c r="G414" s="75"/>
      <c r="H414" s="75"/>
      <c r="I414" s="75"/>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t="s">
        <v>439</v>
      </c>
      <c r="BG414" s="75"/>
      <c r="BH414" s="75"/>
      <c r="BI414" s="75" t="s">
        <v>439</v>
      </c>
      <c r="BJ414" s="75"/>
      <c r="BK414" s="75"/>
      <c r="BL414" s="75" t="s">
        <v>439</v>
      </c>
      <c r="BM414" s="75"/>
    </row>
    <row r="415" spans="1:65" ht="12.75" customHeight="1" x14ac:dyDescent="0.2">
      <c r="A415" s="38"/>
      <c r="B415" s="38"/>
      <c r="C415" s="75"/>
      <c r="D415" s="75"/>
      <c r="E415" s="75"/>
      <c r="F415" s="75"/>
      <c r="G415" s="75"/>
      <c r="H415" s="75"/>
      <c r="I415" s="75"/>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t="s">
        <v>439</v>
      </c>
      <c r="BG415" s="75"/>
      <c r="BH415" s="75"/>
      <c r="BI415" s="75" t="s">
        <v>439</v>
      </c>
      <c r="BJ415" s="75"/>
      <c r="BK415" s="75"/>
      <c r="BL415" s="75" t="s">
        <v>439</v>
      </c>
      <c r="BM415" s="75"/>
    </row>
    <row r="416" spans="1:65" ht="12.75" customHeight="1" x14ac:dyDescent="0.2">
      <c r="A416" s="38"/>
      <c r="B416" s="38"/>
      <c r="C416" s="75"/>
      <c r="D416" s="75"/>
      <c r="E416" s="75"/>
      <c r="F416" s="75"/>
      <c r="G416" s="75"/>
      <c r="H416" s="75"/>
      <c r="I416" s="75"/>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t="s">
        <v>439</v>
      </c>
      <c r="BG416" s="75"/>
      <c r="BH416" s="75"/>
      <c r="BI416" s="75" t="s">
        <v>439</v>
      </c>
      <c r="BJ416" s="75"/>
      <c r="BK416" s="75"/>
      <c r="BL416" s="75" t="s">
        <v>439</v>
      </c>
      <c r="BM416" s="75"/>
    </row>
    <row r="417" spans="1:65" ht="12.75" customHeight="1" x14ac:dyDescent="0.2">
      <c r="A417" s="38"/>
      <c r="B417" s="38"/>
      <c r="C417" s="75"/>
      <c r="D417" s="75"/>
      <c r="E417" s="75"/>
      <c r="F417" s="75"/>
      <c r="G417" s="75"/>
      <c r="H417" s="75"/>
      <c r="I417" s="75"/>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t="s">
        <v>439</v>
      </c>
      <c r="BG417" s="75"/>
      <c r="BH417" s="75"/>
      <c r="BI417" s="75" t="s">
        <v>439</v>
      </c>
      <c r="BJ417" s="75"/>
      <c r="BK417" s="75"/>
      <c r="BL417" s="75" t="s">
        <v>439</v>
      </c>
      <c r="BM417" s="75"/>
    </row>
    <row r="418" spans="1:65" ht="12.75" customHeight="1" x14ac:dyDescent="0.2">
      <c r="A418" s="38"/>
      <c r="B418" s="38"/>
      <c r="C418" s="75"/>
      <c r="D418" s="75"/>
      <c r="E418" s="75"/>
      <c r="F418" s="75"/>
      <c r="G418" s="75"/>
      <c r="H418" s="75"/>
      <c r="I418" s="75"/>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t="s">
        <v>439</v>
      </c>
      <c r="BG418" s="75"/>
      <c r="BH418" s="75"/>
      <c r="BI418" s="75" t="s">
        <v>439</v>
      </c>
      <c r="BJ418" s="75"/>
      <c r="BK418" s="75"/>
      <c r="BL418" s="75" t="s">
        <v>439</v>
      </c>
      <c r="BM418" s="75"/>
    </row>
    <row r="419" spans="1:65" ht="12.75" customHeight="1" x14ac:dyDescent="0.2">
      <c r="A419" s="38"/>
      <c r="B419" s="38"/>
      <c r="C419" s="75"/>
      <c r="D419" s="75"/>
      <c r="E419" s="75"/>
      <c r="F419" s="75"/>
      <c r="G419" s="75"/>
      <c r="H419" s="75"/>
      <c r="I419" s="75"/>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t="s">
        <v>439</v>
      </c>
      <c r="BG419" s="75"/>
      <c r="BH419" s="75"/>
      <c r="BI419" s="75" t="s">
        <v>439</v>
      </c>
      <c r="BJ419" s="75"/>
      <c r="BK419" s="75"/>
      <c r="BL419" s="75" t="s">
        <v>439</v>
      </c>
      <c r="BM419" s="75"/>
    </row>
    <row r="420" spans="1:65" ht="12.75" customHeight="1" x14ac:dyDescent="0.2">
      <c r="A420" s="38"/>
      <c r="B420" s="38"/>
      <c r="C420" s="75"/>
      <c r="D420" s="75"/>
      <c r="E420" s="75"/>
      <c r="F420" s="75"/>
      <c r="G420" s="75"/>
      <c r="H420" s="75"/>
      <c r="I420" s="75"/>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t="s">
        <v>439</v>
      </c>
      <c r="BG420" s="75"/>
      <c r="BH420" s="75"/>
      <c r="BI420" s="75" t="s">
        <v>439</v>
      </c>
      <c r="BJ420" s="75"/>
      <c r="BK420" s="75"/>
      <c r="BL420" s="75" t="s">
        <v>439</v>
      </c>
      <c r="BM420" s="75"/>
    </row>
    <row r="421" spans="1:65" ht="12.75" customHeight="1" x14ac:dyDescent="0.2">
      <c r="A421" s="38"/>
      <c r="B421" s="38"/>
      <c r="C421" s="75"/>
      <c r="D421" s="75"/>
      <c r="E421" s="75"/>
      <c r="F421" s="75"/>
      <c r="G421" s="75"/>
      <c r="H421" s="75"/>
      <c r="I421" s="75"/>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t="s">
        <v>439</v>
      </c>
      <c r="BG421" s="75"/>
      <c r="BH421" s="75"/>
      <c r="BI421" s="75" t="s">
        <v>439</v>
      </c>
      <c r="BJ421" s="75"/>
      <c r="BK421" s="75"/>
      <c r="BL421" s="75" t="s">
        <v>439</v>
      </c>
      <c r="BM421" s="75"/>
    </row>
    <row r="422" spans="1:65" ht="12.75" customHeight="1" x14ac:dyDescent="0.2">
      <c r="A422" s="38"/>
      <c r="B422" s="38"/>
      <c r="C422" s="75"/>
      <c r="D422" s="75"/>
      <c r="E422" s="75"/>
      <c r="F422" s="75"/>
      <c r="G422" s="75"/>
      <c r="H422" s="75"/>
      <c r="I422" s="75"/>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t="s">
        <v>439</v>
      </c>
      <c r="BG422" s="75"/>
      <c r="BH422" s="75"/>
      <c r="BI422" s="75" t="s">
        <v>439</v>
      </c>
      <c r="BJ422" s="75"/>
      <c r="BK422" s="75"/>
      <c r="BL422" s="75" t="s">
        <v>439</v>
      </c>
      <c r="BM422" s="75"/>
    </row>
    <row r="423" spans="1:65" ht="12.75" customHeight="1" x14ac:dyDescent="0.2">
      <c r="A423" s="38"/>
      <c r="B423" s="38"/>
      <c r="C423" s="75"/>
      <c r="D423" s="75"/>
      <c r="E423" s="75"/>
      <c r="F423" s="75"/>
      <c r="G423" s="75"/>
      <c r="H423" s="75"/>
      <c r="I423" s="75"/>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t="s">
        <v>439</v>
      </c>
      <c r="BG423" s="75"/>
      <c r="BH423" s="75"/>
      <c r="BI423" s="75" t="s">
        <v>439</v>
      </c>
      <c r="BJ423" s="75"/>
      <c r="BK423" s="75"/>
      <c r="BL423" s="75" t="s">
        <v>439</v>
      </c>
      <c r="BM423" s="75"/>
    </row>
    <row r="424" spans="1:65" ht="12.75" customHeight="1" x14ac:dyDescent="0.2">
      <c r="A424" s="38"/>
      <c r="B424" s="38"/>
      <c r="C424" s="75"/>
      <c r="D424" s="75"/>
      <c r="E424" s="75"/>
      <c r="F424" s="75"/>
      <c r="G424" s="75"/>
      <c r="H424" s="75"/>
      <c r="I424" s="75"/>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t="s">
        <v>439</v>
      </c>
      <c r="BG424" s="75"/>
      <c r="BH424" s="75"/>
      <c r="BI424" s="75" t="s">
        <v>439</v>
      </c>
      <c r="BJ424" s="75"/>
      <c r="BK424" s="75"/>
      <c r="BL424" s="75" t="s">
        <v>439</v>
      </c>
      <c r="BM424" s="75"/>
    </row>
    <row r="425" spans="1:65" ht="12.75" customHeight="1" x14ac:dyDescent="0.2">
      <c r="A425" s="38"/>
      <c r="B425" s="38"/>
      <c r="C425" s="75"/>
      <c r="D425" s="75"/>
      <c r="E425" s="75"/>
      <c r="F425" s="75"/>
      <c r="G425" s="75"/>
      <c r="H425" s="75"/>
      <c r="I425" s="75"/>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t="s">
        <v>439</v>
      </c>
      <c r="BG425" s="75"/>
      <c r="BH425" s="75"/>
      <c r="BI425" s="75" t="s">
        <v>439</v>
      </c>
      <c r="BJ425" s="75"/>
      <c r="BK425" s="75"/>
      <c r="BL425" s="75" t="s">
        <v>439</v>
      </c>
      <c r="BM425" s="75"/>
    </row>
    <row r="426" spans="1:65" ht="12.75" customHeight="1" x14ac:dyDescent="0.2">
      <c r="A426" s="38"/>
      <c r="B426" s="38"/>
      <c r="C426" s="75"/>
      <c r="D426" s="75"/>
      <c r="E426" s="75"/>
      <c r="F426" s="75"/>
      <c r="G426" s="75"/>
      <c r="H426" s="75"/>
      <c r="I426" s="75"/>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t="s">
        <v>439</v>
      </c>
      <c r="BG426" s="75"/>
      <c r="BH426" s="75"/>
      <c r="BI426" s="75" t="s">
        <v>439</v>
      </c>
      <c r="BJ426" s="75"/>
      <c r="BK426" s="75"/>
      <c r="BL426" s="75" t="s">
        <v>439</v>
      </c>
      <c r="BM426" s="75"/>
    </row>
    <row r="427" spans="1:65" ht="12.75" customHeight="1" x14ac:dyDescent="0.2">
      <c r="A427" s="38"/>
      <c r="B427" s="38"/>
      <c r="C427" s="75"/>
      <c r="D427" s="75"/>
      <c r="E427" s="75"/>
      <c r="F427" s="75"/>
      <c r="G427" s="75"/>
      <c r="H427" s="75"/>
      <c r="I427" s="75"/>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t="s">
        <v>439</v>
      </c>
      <c r="BG427" s="75"/>
      <c r="BH427" s="75"/>
      <c r="BI427" s="75" t="s">
        <v>439</v>
      </c>
      <c r="BJ427" s="75"/>
      <c r="BK427" s="75"/>
      <c r="BL427" s="75" t="s">
        <v>439</v>
      </c>
      <c r="BM427" s="75"/>
    </row>
    <row r="428" spans="1:65" ht="12.75" customHeight="1" x14ac:dyDescent="0.2">
      <c r="A428" s="38"/>
      <c r="B428" s="38"/>
      <c r="C428" s="75"/>
      <c r="D428" s="75"/>
      <c r="E428" s="75"/>
      <c r="F428" s="75"/>
      <c r="G428" s="75"/>
      <c r="H428" s="75"/>
      <c r="I428" s="75"/>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t="s">
        <v>439</v>
      </c>
      <c r="BG428" s="75"/>
      <c r="BH428" s="75"/>
      <c r="BI428" s="75" t="s">
        <v>439</v>
      </c>
      <c r="BJ428" s="75"/>
      <c r="BK428" s="75"/>
      <c r="BL428" s="75" t="s">
        <v>439</v>
      </c>
      <c r="BM428" s="75"/>
    </row>
    <row r="429" spans="1:65" ht="12.75" customHeight="1" x14ac:dyDescent="0.2">
      <c r="A429" s="38"/>
      <c r="B429" s="38"/>
      <c r="C429" s="75"/>
      <c r="D429" s="75"/>
      <c r="E429" s="75"/>
      <c r="F429" s="75"/>
      <c r="G429" s="75"/>
      <c r="H429" s="75"/>
      <c r="I429" s="75"/>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t="s">
        <v>439</v>
      </c>
      <c r="BG429" s="75"/>
      <c r="BH429" s="75"/>
      <c r="BI429" s="75" t="s">
        <v>439</v>
      </c>
      <c r="BJ429" s="75"/>
      <c r="BK429" s="75"/>
      <c r="BL429" s="75" t="s">
        <v>439</v>
      </c>
      <c r="BM429" s="75"/>
    </row>
    <row r="430" spans="1:65" ht="12.75" customHeight="1" x14ac:dyDescent="0.2">
      <c r="A430" s="38"/>
      <c r="B430" s="38"/>
      <c r="C430" s="75"/>
      <c r="D430" s="75"/>
      <c r="E430" s="75"/>
      <c r="F430" s="75"/>
      <c r="G430" s="75"/>
      <c r="H430" s="75"/>
      <c r="I430" s="75"/>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t="s">
        <v>439</v>
      </c>
      <c r="BG430" s="75"/>
      <c r="BH430" s="75"/>
      <c r="BI430" s="75" t="s">
        <v>439</v>
      </c>
      <c r="BJ430" s="75"/>
      <c r="BK430" s="75"/>
      <c r="BL430" s="75" t="s">
        <v>439</v>
      </c>
      <c r="BM430" s="75"/>
    </row>
    <row r="431" spans="1:65" ht="12.75" customHeight="1" x14ac:dyDescent="0.2">
      <c r="A431" s="38"/>
      <c r="B431" s="38"/>
      <c r="C431" s="75"/>
      <c r="D431" s="75"/>
      <c r="E431" s="75"/>
      <c r="F431" s="75"/>
      <c r="G431" s="75"/>
      <c r="H431" s="75"/>
      <c r="I431" s="75"/>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t="s">
        <v>439</v>
      </c>
      <c r="BG431" s="75"/>
      <c r="BH431" s="75"/>
      <c r="BI431" s="75" t="s">
        <v>439</v>
      </c>
      <c r="BJ431" s="75"/>
      <c r="BK431" s="75"/>
      <c r="BL431" s="75" t="s">
        <v>439</v>
      </c>
      <c r="BM431" s="75"/>
    </row>
    <row r="432" spans="1:65" ht="12.75" customHeight="1" x14ac:dyDescent="0.2">
      <c r="A432" s="38"/>
      <c r="B432" s="38"/>
      <c r="C432" s="75"/>
      <c r="D432" s="75"/>
      <c r="E432" s="75"/>
      <c r="F432" s="75"/>
      <c r="G432" s="75"/>
      <c r="H432" s="75"/>
      <c r="I432" s="75"/>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t="s">
        <v>439</v>
      </c>
      <c r="BG432" s="75"/>
      <c r="BH432" s="75"/>
      <c r="BI432" s="75" t="s">
        <v>439</v>
      </c>
      <c r="BJ432" s="75"/>
      <c r="BK432" s="75"/>
      <c r="BL432" s="75" t="s">
        <v>439</v>
      </c>
      <c r="BM432" s="75"/>
    </row>
    <row r="433" spans="1:65" ht="12.75" customHeight="1" x14ac:dyDescent="0.2">
      <c r="A433" s="38"/>
      <c r="B433" s="38"/>
      <c r="C433" s="75"/>
      <c r="D433" s="75"/>
      <c r="E433" s="75"/>
      <c r="F433" s="75"/>
      <c r="G433" s="75"/>
      <c r="H433" s="75"/>
      <c r="I433" s="75"/>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t="s">
        <v>439</v>
      </c>
      <c r="BG433" s="75"/>
      <c r="BH433" s="75"/>
      <c r="BI433" s="75" t="s">
        <v>439</v>
      </c>
      <c r="BJ433" s="75"/>
      <c r="BK433" s="75"/>
      <c r="BL433" s="75" t="s">
        <v>439</v>
      </c>
      <c r="BM433" s="75"/>
    </row>
    <row r="434" spans="1:65" ht="12.75" customHeight="1" x14ac:dyDescent="0.2">
      <c r="A434" s="38"/>
      <c r="B434" s="38"/>
      <c r="C434" s="75"/>
      <c r="D434" s="75"/>
      <c r="E434" s="75"/>
      <c r="F434" s="75"/>
      <c r="G434" s="75"/>
      <c r="H434" s="75"/>
      <c r="I434" s="75"/>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t="s">
        <v>439</v>
      </c>
      <c r="BG434" s="75"/>
      <c r="BH434" s="75"/>
      <c r="BI434" s="75" t="s">
        <v>439</v>
      </c>
      <c r="BJ434" s="75"/>
      <c r="BK434" s="75"/>
      <c r="BL434" s="75" t="s">
        <v>439</v>
      </c>
      <c r="BM434" s="75"/>
    </row>
    <row r="435" spans="1:65" ht="12.75" customHeight="1" x14ac:dyDescent="0.2">
      <c r="A435" s="38"/>
      <c r="B435" s="38"/>
      <c r="C435" s="75"/>
      <c r="D435" s="75"/>
      <c r="E435" s="75"/>
      <c r="F435" s="75"/>
      <c r="G435" s="75"/>
      <c r="H435" s="75"/>
      <c r="I435" s="75"/>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t="s">
        <v>439</v>
      </c>
      <c r="BG435" s="75"/>
      <c r="BH435" s="75"/>
      <c r="BI435" s="75" t="s">
        <v>439</v>
      </c>
      <c r="BJ435" s="75"/>
      <c r="BK435" s="75"/>
      <c r="BL435" s="75" t="s">
        <v>439</v>
      </c>
      <c r="BM435" s="75"/>
    </row>
    <row r="436" spans="1:65" ht="12.75" customHeight="1" x14ac:dyDescent="0.2">
      <c r="A436" s="38"/>
      <c r="B436" s="38"/>
      <c r="C436" s="75"/>
      <c r="D436" s="75"/>
      <c r="E436" s="75"/>
      <c r="F436" s="75"/>
      <c r="G436" s="75"/>
      <c r="H436" s="75"/>
      <c r="I436" s="75"/>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t="s">
        <v>439</v>
      </c>
      <c r="BG436" s="75"/>
      <c r="BH436" s="75"/>
      <c r="BI436" s="75" t="s">
        <v>439</v>
      </c>
      <c r="BJ436" s="75"/>
      <c r="BK436" s="75"/>
      <c r="BL436" s="75" t="s">
        <v>439</v>
      </c>
      <c r="BM436" s="75"/>
    </row>
    <row r="437" spans="1:65" ht="12.75" customHeight="1" x14ac:dyDescent="0.2">
      <c r="A437" s="38"/>
      <c r="B437" s="38"/>
      <c r="C437" s="75"/>
      <c r="D437" s="75"/>
      <c r="E437" s="75"/>
      <c r="F437" s="75"/>
      <c r="G437" s="75"/>
      <c r="H437" s="75"/>
      <c r="I437" s="75"/>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t="s">
        <v>439</v>
      </c>
      <c r="BG437" s="75"/>
      <c r="BH437" s="75"/>
      <c r="BI437" s="75" t="s">
        <v>439</v>
      </c>
      <c r="BJ437" s="75"/>
      <c r="BK437" s="75"/>
      <c r="BL437" s="75" t="s">
        <v>439</v>
      </c>
      <c r="BM437" s="75"/>
    </row>
    <row r="438" spans="1:65" ht="12.75" customHeight="1" x14ac:dyDescent="0.2">
      <c r="A438" s="38"/>
      <c r="B438" s="38"/>
      <c r="C438" s="75"/>
      <c r="D438" s="75"/>
      <c r="E438" s="75"/>
      <c r="F438" s="75"/>
      <c r="G438" s="75"/>
      <c r="H438" s="75"/>
      <c r="I438" s="75"/>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t="s">
        <v>439</v>
      </c>
      <c r="BG438" s="75"/>
      <c r="BH438" s="75"/>
      <c r="BI438" s="75" t="s">
        <v>439</v>
      </c>
      <c r="BJ438" s="75"/>
      <c r="BK438" s="75"/>
      <c r="BL438" s="75" t="s">
        <v>439</v>
      </c>
      <c r="BM438" s="75"/>
    </row>
    <row r="439" spans="1:65" ht="12.75" customHeight="1" x14ac:dyDescent="0.2">
      <c r="A439" s="38"/>
      <c r="B439" s="38"/>
      <c r="C439" s="75"/>
      <c r="D439" s="75"/>
      <c r="E439" s="75"/>
      <c r="F439" s="75"/>
      <c r="G439" s="75"/>
      <c r="H439" s="75"/>
      <c r="I439" s="75"/>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t="s">
        <v>439</v>
      </c>
      <c r="BG439" s="75"/>
      <c r="BH439" s="75"/>
      <c r="BI439" s="75" t="s">
        <v>439</v>
      </c>
      <c r="BJ439" s="75"/>
      <c r="BK439" s="75"/>
      <c r="BL439" s="75" t="s">
        <v>439</v>
      </c>
      <c r="BM439" s="75"/>
    </row>
    <row r="440" spans="1:65" ht="12.75" customHeight="1" x14ac:dyDescent="0.2">
      <c r="A440" s="38"/>
      <c r="B440" s="38"/>
      <c r="C440" s="75"/>
      <c r="D440" s="75"/>
      <c r="E440" s="75"/>
      <c r="F440" s="75"/>
      <c r="G440" s="75"/>
      <c r="H440" s="75"/>
      <c r="I440" s="75"/>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t="s">
        <v>439</v>
      </c>
      <c r="BG440" s="75"/>
      <c r="BH440" s="75"/>
      <c r="BI440" s="75" t="s">
        <v>439</v>
      </c>
      <c r="BJ440" s="75"/>
      <c r="BK440" s="75"/>
      <c r="BL440" s="75" t="s">
        <v>439</v>
      </c>
      <c r="BM440" s="75"/>
    </row>
    <row r="441" spans="1:65" ht="12.75" customHeight="1" x14ac:dyDescent="0.2">
      <c r="A441" s="38"/>
      <c r="B441" s="38"/>
      <c r="C441" s="75"/>
      <c r="D441" s="75"/>
      <c r="E441" s="75"/>
      <c r="F441" s="75"/>
      <c r="G441" s="75"/>
      <c r="H441" s="75"/>
      <c r="I441" s="75"/>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t="s">
        <v>439</v>
      </c>
      <c r="BG441" s="75"/>
      <c r="BH441" s="75"/>
      <c r="BI441" s="75" t="s">
        <v>439</v>
      </c>
      <c r="BJ441" s="75"/>
      <c r="BK441" s="75"/>
      <c r="BL441" s="75" t="s">
        <v>439</v>
      </c>
      <c r="BM441" s="75"/>
    </row>
    <row r="442" spans="1:65" ht="12.75" customHeight="1" x14ac:dyDescent="0.2">
      <c r="A442" s="38"/>
      <c r="B442" s="38"/>
      <c r="C442" s="75"/>
      <c r="D442" s="75"/>
      <c r="E442" s="75"/>
      <c r="F442" s="75"/>
      <c r="G442" s="75"/>
      <c r="H442" s="75"/>
      <c r="I442" s="75"/>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t="s">
        <v>439</v>
      </c>
      <c r="BG442" s="75"/>
      <c r="BH442" s="75"/>
      <c r="BI442" s="75" t="s">
        <v>439</v>
      </c>
      <c r="BJ442" s="75"/>
      <c r="BK442" s="75"/>
      <c r="BL442" s="75" t="s">
        <v>439</v>
      </c>
      <c r="BM442" s="75"/>
    </row>
    <row r="443" spans="1:65" ht="12.75" customHeight="1" x14ac:dyDescent="0.2">
      <c r="A443" s="38"/>
      <c r="B443" s="38"/>
      <c r="C443" s="75"/>
      <c r="D443" s="75"/>
      <c r="E443" s="75"/>
      <c r="F443" s="75"/>
      <c r="G443" s="75"/>
      <c r="H443" s="75"/>
      <c r="I443" s="75"/>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t="s">
        <v>439</v>
      </c>
      <c r="BG443" s="75"/>
      <c r="BH443" s="75"/>
      <c r="BI443" s="75" t="s">
        <v>439</v>
      </c>
      <c r="BJ443" s="75"/>
      <c r="BK443" s="75"/>
      <c r="BL443" s="75" t="s">
        <v>439</v>
      </c>
      <c r="BM443" s="75"/>
    </row>
    <row r="444" spans="1:65" ht="12.75" customHeight="1" x14ac:dyDescent="0.2">
      <c r="A444" s="38"/>
      <c r="B444" s="38"/>
      <c r="C444" s="75"/>
      <c r="D444" s="75"/>
      <c r="E444" s="75"/>
      <c r="F444" s="75"/>
      <c r="G444" s="75"/>
      <c r="H444" s="75"/>
      <c r="I444" s="75"/>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t="s">
        <v>439</v>
      </c>
      <c r="BG444" s="75"/>
      <c r="BH444" s="75"/>
      <c r="BI444" s="75" t="s">
        <v>439</v>
      </c>
      <c r="BJ444" s="75"/>
      <c r="BK444" s="75"/>
      <c r="BL444" s="75" t="s">
        <v>439</v>
      </c>
      <c r="BM444" s="75"/>
    </row>
    <row r="445" spans="1:65" ht="12.75" customHeight="1" x14ac:dyDescent="0.2">
      <c r="A445" s="38"/>
      <c r="B445" s="38"/>
      <c r="C445" s="75"/>
      <c r="D445" s="75"/>
      <c r="E445" s="75"/>
      <c r="F445" s="75"/>
      <c r="G445" s="75"/>
      <c r="H445" s="75"/>
      <c r="I445" s="75"/>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t="s">
        <v>439</v>
      </c>
      <c r="BG445" s="75"/>
      <c r="BH445" s="75"/>
      <c r="BI445" s="75" t="s">
        <v>439</v>
      </c>
      <c r="BJ445" s="75"/>
      <c r="BK445" s="75"/>
      <c r="BL445" s="75" t="s">
        <v>439</v>
      </c>
      <c r="BM445" s="75"/>
    </row>
    <row r="446" spans="1:65" ht="12.75" customHeight="1" x14ac:dyDescent="0.2">
      <c r="A446" s="38"/>
      <c r="B446" s="38"/>
      <c r="C446" s="75"/>
      <c r="D446" s="75"/>
      <c r="E446" s="75"/>
      <c r="F446" s="75"/>
      <c r="G446" s="75"/>
      <c r="H446" s="75"/>
      <c r="I446" s="75"/>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t="s">
        <v>439</v>
      </c>
      <c r="BG446" s="75"/>
      <c r="BH446" s="75"/>
      <c r="BI446" s="75" t="s">
        <v>439</v>
      </c>
      <c r="BJ446" s="75"/>
      <c r="BK446" s="75"/>
      <c r="BL446" s="75" t="s">
        <v>439</v>
      </c>
      <c r="BM446" s="75"/>
    </row>
    <row r="447" spans="1:65" ht="12.75" customHeight="1" x14ac:dyDescent="0.2">
      <c r="A447" s="38"/>
      <c r="B447" s="38"/>
      <c r="C447" s="75"/>
      <c r="D447" s="75"/>
      <c r="E447" s="75"/>
      <c r="F447" s="75"/>
      <c r="G447" s="75"/>
      <c r="H447" s="75"/>
      <c r="I447" s="75"/>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t="s">
        <v>439</v>
      </c>
      <c r="BG447" s="75"/>
      <c r="BH447" s="75"/>
      <c r="BI447" s="75" t="s">
        <v>439</v>
      </c>
      <c r="BJ447" s="75"/>
      <c r="BK447" s="75"/>
      <c r="BL447" s="75" t="s">
        <v>439</v>
      </c>
      <c r="BM447" s="75"/>
    </row>
    <row r="448" spans="1:65" ht="12.75" customHeight="1" x14ac:dyDescent="0.2">
      <c r="A448" s="38"/>
      <c r="B448" s="38"/>
      <c r="C448" s="75"/>
      <c r="D448" s="75"/>
      <c r="E448" s="75"/>
      <c r="F448" s="75"/>
      <c r="G448" s="75"/>
      <c r="H448" s="75"/>
      <c r="I448" s="75"/>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t="s">
        <v>439</v>
      </c>
      <c r="BG448" s="75"/>
      <c r="BH448" s="75"/>
      <c r="BI448" s="75" t="s">
        <v>439</v>
      </c>
      <c r="BJ448" s="75"/>
      <c r="BK448" s="75"/>
      <c r="BL448" s="75" t="s">
        <v>439</v>
      </c>
      <c r="BM448" s="75"/>
    </row>
    <row r="449" spans="1:65" ht="12.75" customHeight="1" x14ac:dyDescent="0.2">
      <c r="A449" s="38"/>
      <c r="B449" s="38"/>
      <c r="C449" s="75"/>
      <c r="D449" s="75"/>
      <c r="E449" s="75"/>
      <c r="F449" s="75"/>
      <c r="G449" s="75"/>
      <c r="H449" s="75"/>
      <c r="I449" s="75"/>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t="s">
        <v>439</v>
      </c>
      <c r="BG449" s="75"/>
      <c r="BH449" s="75"/>
      <c r="BI449" s="75" t="s">
        <v>439</v>
      </c>
      <c r="BJ449" s="75"/>
      <c r="BK449" s="75"/>
      <c r="BL449" s="75" t="s">
        <v>439</v>
      </c>
      <c r="BM449" s="75"/>
    </row>
    <row r="450" spans="1:65" ht="12.75" customHeight="1" x14ac:dyDescent="0.2">
      <c r="A450" s="38"/>
      <c r="B450" s="38"/>
      <c r="C450" s="75"/>
      <c r="D450" s="75"/>
      <c r="E450" s="75"/>
      <c r="F450" s="75"/>
      <c r="G450" s="75"/>
      <c r="H450" s="75"/>
      <c r="I450" s="75"/>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t="s">
        <v>439</v>
      </c>
      <c r="BG450" s="75"/>
      <c r="BH450" s="75"/>
      <c r="BI450" s="75" t="s">
        <v>439</v>
      </c>
      <c r="BJ450" s="75"/>
      <c r="BK450" s="75"/>
      <c r="BL450" s="75" t="s">
        <v>439</v>
      </c>
      <c r="BM450" s="75"/>
    </row>
    <row r="451" spans="1:65" ht="12.75" customHeight="1" x14ac:dyDescent="0.2">
      <c r="A451" s="38"/>
      <c r="B451" s="38"/>
      <c r="C451" s="75"/>
      <c r="D451" s="75"/>
      <c r="E451" s="75"/>
      <c r="F451" s="75"/>
      <c r="G451" s="75"/>
      <c r="H451" s="75"/>
      <c r="I451" s="75"/>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t="s">
        <v>439</v>
      </c>
      <c r="BG451" s="75"/>
      <c r="BH451" s="75"/>
      <c r="BI451" s="75" t="s">
        <v>439</v>
      </c>
      <c r="BJ451" s="75"/>
      <c r="BK451" s="75"/>
      <c r="BL451" s="75" t="s">
        <v>439</v>
      </c>
      <c r="BM451" s="75"/>
    </row>
    <row r="452" spans="1:65" ht="12.75" customHeight="1" x14ac:dyDescent="0.2">
      <c r="A452" s="38"/>
      <c r="B452" s="38"/>
      <c r="C452" s="75"/>
      <c r="D452" s="75"/>
      <c r="E452" s="75"/>
      <c r="F452" s="75"/>
      <c r="G452" s="75"/>
      <c r="H452" s="75"/>
      <c r="I452" s="75"/>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t="s">
        <v>439</v>
      </c>
      <c r="BG452" s="75"/>
      <c r="BH452" s="75"/>
      <c r="BI452" s="75" t="s">
        <v>439</v>
      </c>
      <c r="BJ452" s="75"/>
      <c r="BK452" s="75"/>
      <c r="BL452" s="75" t="s">
        <v>439</v>
      </c>
      <c r="BM452" s="75"/>
    </row>
    <row r="453" spans="1:65" ht="12.75" customHeight="1" x14ac:dyDescent="0.2">
      <c r="A453" s="38"/>
      <c r="B453" s="38"/>
      <c r="C453" s="75"/>
      <c r="D453" s="75"/>
      <c r="E453" s="75"/>
      <c r="F453" s="75"/>
      <c r="G453" s="75"/>
      <c r="H453" s="75"/>
      <c r="I453" s="75"/>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t="s">
        <v>439</v>
      </c>
      <c r="BG453" s="75"/>
      <c r="BH453" s="75"/>
      <c r="BI453" s="75" t="s">
        <v>439</v>
      </c>
      <c r="BJ453" s="75"/>
      <c r="BK453" s="75"/>
      <c r="BL453" s="75" t="s">
        <v>439</v>
      </c>
      <c r="BM453" s="75"/>
    </row>
    <row r="454" spans="1:65" ht="12.75" customHeight="1" x14ac:dyDescent="0.2">
      <c r="A454" s="38"/>
      <c r="B454" s="38"/>
      <c r="C454" s="75"/>
      <c r="D454" s="75"/>
      <c r="E454" s="75"/>
      <c r="F454" s="75"/>
      <c r="G454" s="75"/>
      <c r="H454" s="75"/>
      <c r="I454" s="75"/>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t="s">
        <v>439</v>
      </c>
      <c r="BG454" s="75"/>
      <c r="BH454" s="75"/>
      <c r="BI454" s="75" t="s">
        <v>439</v>
      </c>
      <c r="BJ454" s="75"/>
      <c r="BK454" s="75"/>
      <c r="BL454" s="75" t="s">
        <v>439</v>
      </c>
      <c r="BM454" s="75"/>
    </row>
    <row r="455" spans="1:65" ht="12.75" customHeight="1" x14ac:dyDescent="0.2">
      <c r="A455" s="38"/>
      <c r="B455" s="38"/>
      <c r="C455" s="75"/>
      <c r="D455" s="75"/>
      <c r="E455" s="75"/>
      <c r="F455" s="75"/>
      <c r="G455" s="75"/>
      <c r="H455" s="75"/>
      <c r="I455" s="75"/>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t="s">
        <v>439</v>
      </c>
      <c r="BG455" s="75"/>
      <c r="BH455" s="75"/>
      <c r="BI455" s="75" t="s">
        <v>439</v>
      </c>
      <c r="BJ455" s="75"/>
      <c r="BK455" s="75"/>
      <c r="BL455" s="75" t="s">
        <v>439</v>
      </c>
      <c r="BM455" s="75"/>
    </row>
    <row r="456" spans="1:65" ht="12.75" customHeight="1" x14ac:dyDescent="0.2">
      <c r="A456" s="38"/>
      <c r="B456" s="38"/>
      <c r="C456" s="75"/>
      <c r="D456" s="75"/>
      <c r="E456" s="75"/>
      <c r="F456" s="75"/>
      <c r="G456" s="75"/>
      <c r="H456" s="75"/>
      <c r="I456" s="75"/>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t="s">
        <v>439</v>
      </c>
      <c r="BG456" s="75"/>
      <c r="BH456" s="75"/>
      <c r="BI456" s="75" t="s">
        <v>439</v>
      </c>
      <c r="BJ456" s="75"/>
      <c r="BK456" s="75"/>
      <c r="BL456" s="75" t="s">
        <v>439</v>
      </c>
      <c r="BM456" s="75"/>
    </row>
    <row r="457" spans="1:65" ht="12.75" customHeight="1" x14ac:dyDescent="0.2">
      <c r="A457" s="38"/>
      <c r="B457" s="38"/>
      <c r="C457" s="75"/>
      <c r="D457" s="75"/>
      <c r="E457" s="75"/>
      <c r="F457" s="75"/>
      <c r="G457" s="75"/>
      <c r="H457" s="75"/>
      <c r="I457" s="75"/>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t="s">
        <v>439</v>
      </c>
      <c r="BG457" s="75"/>
      <c r="BH457" s="75"/>
      <c r="BI457" s="75" t="s">
        <v>439</v>
      </c>
      <c r="BJ457" s="75"/>
      <c r="BK457" s="75"/>
      <c r="BL457" s="75" t="s">
        <v>439</v>
      </c>
      <c r="BM457" s="75"/>
    </row>
    <row r="458" spans="1:65" ht="12.75" customHeight="1" x14ac:dyDescent="0.2">
      <c r="A458" s="38"/>
      <c r="B458" s="38"/>
      <c r="C458" s="75"/>
      <c r="D458" s="75"/>
      <c r="E458" s="75"/>
      <c r="F458" s="75"/>
      <c r="G458" s="75"/>
      <c r="H458" s="75"/>
      <c r="I458" s="75"/>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t="s">
        <v>439</v>
      </c>
      <c r="BG458" s="75"/>
      <c r="BH458" s="75"/>
      <c r="BI458" s="75" t="s">
        <v>439</v>
      </c>
      <c r="BJ458" s="75"/>
      <c r="BK458" s="75"/>
      <c r="BL458" s="75" t="s">
        <v>439</v>
      </c>
      <c r="BM458" s="75"/>
    </row>
    <row r="459" spans="1:65" ht="12.75" customHeight="1" x14ac:dyDescent="0.2">
      <c r="A459" s="38"/>
      <c r="B459" s="38"/>
      <c r="C459" s="75"/>
      <c r="D459" s="75"/>
      <c r="E459" s="75"/>
      <c r="F459" s="75"/>
      <c r="G459" s="75"/>
      <c r="H459" s="75"/>
      <c r="I459" s="75"/>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t="s">
        <v>439</v>
      </c>
      <c r="BG459" s="75"/>
      <c r="BH459" s="75"/>
      <c r="BI459" s="75" t="s">
        <v>439</v>
      </c>
      <c r="BJ459" s="75"/>
      <c r="BK459" s="75"/>
      <c r="BL459" s="75" t="s">
        <v>439</v>
      </c>
      <c r="BM459" s="75"/>
    </row>
    <row r="460" spans="1:65" ht="12.75" customHeight="1" x14ac:dyDescent="0.2">
      <c r="A460" s="38"/>
      <c r="B460" s="38"/>
      <c r="C460" s="75"/>
      <c r="D460" s="75"/>
      <c r="E460" s="75"/>
      <c r="F460" s="75"/>
      <c r="G460" s="75"/>
      <c r="H460" s="75"/>
      <c r="I460" s="75"/>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t="s">
        <v>439</v>
      </c>
      <c r="BG460" s="75"/>
      <c r="BH460" s="75"/>
      <c r="BI460" s="75" t="s">
        <v>439</v>
      </c>
      <c r="BJ460" s="75"/>
      <c r="BK460" s="75"/>
      <c r="BL460" s="75" t="s">
        <v>439</v>
      </c>
      <c r="BM460" s="75"/>
    </row>
    <row r="461" spans="1:65" ht="12.75" customHeight="1" x14ac:dyDescent="0.2">
      <c r="A461" s="38"/>
      <c r="B461" s="38"/>
      <c r="C461" s="75"/>
      <c r="D461" s="75"/>
      <c r="E461" s="75"/>
      <c r="F461" s="75"/>
      <c r="G461" s="75"/>
      <c r="H461" s="75"/>
      <c r="I461" s="75"/>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t="s">
        <v>439</v>
      </c>
      <c r="BG461" s="75"/>
      <c r="BH461" s="75"/>
      <c r="BI461" s="75" t="s">
        <v>439</v>
      </c>
      <c r="BJ461" s="75"/>
      <c r="BK461" s="75"/>
      <c r="BL461" s="75" t="s">
        <v>439</v>
      </c>
      <c r="BM461" s="75"/>
    </row>
    <row r="462" spans="1:65" ht="12.75" customHeight="1" x14ac:dyDescent="0.2">
      <c r="A462" s="38"/>
      <c r="B462" s="38"/>
      <c r="C462" s="75"/>
      <c r="D462" s="75"/>
      <c r="E462" s="75"/>
      <c r="F462" s="75"/>
      <c r="G462" s="75"/>
      <c r="H462" s="75"/>
      <c r="I462" s="75"/>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t="s">
        <v>439</v>
      </c>
      <c r="BG462" s="75"/>
      <c r="BH462" s="75"/>
      <c r="BI462" s="75" t="s">
        <v>439</v>
      </c>
      <c r="BJ462" s="75"/>
      <c r="BK462" s="75"/>
      <c r="BL462" s="75" t="s">
        <v>439</v>
      </c>
      <c r="BM462" s="75"/>
    </row>
    <row r="463" spans="1:65" ht="12.75" customHeight="1" x14ac:dyDescent="0.2">
      <c r="A463" s="38"/>
      <c r="B463" s="38"/>
      <c r="C463" s="75"/>
      <c r="D463" s="75"/>
      <c r="E463" s="75"/>
      <c r="F463" s="75"/>
      <c r="G463" s="75"/>
      <c r="H463" s="75"/>
      <c r="I463" s="75"/>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t="s">
        <v>439</v>
      </c>
      <c r="BG463" s="75"/>
      <c r="BH463" s="75"/>
      <c r="BI463" s="75" t="s">
        <v>439</v>
      </c>
      <c r="BJ463" s="75"/>
      <c r="BK463" s="75"/>
      <c r="BL463" s="75" t="s">
        <v>439</v>
      </c>
      <c r="BM463" s="75"/>
    </row>
    <row r="464" spans="1:65" ht="12.75" customHeight="1" x14ac:dyDescent="0.2">
      <c r="A464" s="38"/>
      <c r="B464" s="38"/>
      <c r="C464" s="75"/>
      <c r="D464" s="75"/>
      <c r="E464" s="75"/>
      <c r="F464" s="75"/>
      <c r="G464" s="75"/>
      <c r="H464" s="75"/>
      <c r="I464" s="75"/>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t="s">
        <v>439</v>
      </c>
      <c r="BG464" s="75"/>
      <c r="BH464" s="75"/>
      <c r="BI464" s="75" t="s">
        <v>439</v>
      </c>
      <c r="BJ464" s="75"/>
      <c r="BK464" s="75"/>
      <c r="BL464" s="75" t="s">
        <v>439</v>
      </c>
      <c r="BM464" s="75"/>
    </row>
    <row r="465" spans="1:65" ht="12.75" customHeight="1" x14ac:dyDescent="0.2">
      <c r="A465" s="38"/>
      <c r="B465" s="38"/>
      <c r="C465" s="75"/>
      <c r="D465" s="75"/>
      <c r="E465" s="75"/>
      <c r="F465" s="75"/>
      <c r="G465" s="75"/>
      <c r="H465" s="75"/>
      <c r="I465" s="75"/>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t="s">
        <v>439</v>
      </c>
      <c r="BG465" s="75"/>
      <c r="BH465" s="75"/>
      <c r="BI465" s="75" t="s">
        <v>439</v>
      </c>
      <c r="BJ465" s="75"/>
      <c r="BK465" s="75"/>
      <c r="BL465" s="75" t="s">
        <v>439</v>
      </c>
      <c r="BM465" s="75"/>
    </row>
    <row r="466" spans="1:65" ht="12.75" customHeight="1" x14ac:dyDescent="0.2">
      <c r="A466" s="38"/>
      <c r="B466" s="38"/>
      <c r="C466" s="75"/>
      <c r="D466" s="75"/>
      <c r="E466" s="75"/>
      <c r="F466" s="75"/>
      <c r="G466" s="75"/>
      <c r="H466" s="75"/>
      <c r="I466" s="75"/>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t="s">
        <v>439</v>
      </c>
      <c r="BG466" s="75"/>
      <c r="BH466" s="75"/>
      <c r="BI466" s="75" t="s">
        <v>439</v>
      </c>
      <c r="BJ466" s="75"/>
      <c r="BK466" s="75"/>
      <c r="BL466" s="75" t="s">
        <v>439</v>
      </c>
      <c r="BM466" s="75"/>
    </row>
    <row r="467" spans="1:65" ht="12.75" customHeight="1" x14ac:dyDescent="0.2">
      <c r="A467" s="38"/>
      <c r="B467" s="38"/>
      <c r="C467" s="75"/>
      <c r="D467" s="75"/>
      <c r="E467" s="75"/>
      <c r="F467" s="75"/>
      <c r="G467" s="75"/>
      <c r="H467" s="75"/>
      <c r="I467" s="75"/>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t="s">
        <v>439</v>
      </c>
      <c r="BG467" s="75"/>
      <c r="BH467" s="75"/>
      <c r="BI467" s="75" t="s">
        <v>439</v>
      </c>
      <c r="BJ467" s="75"/>
      <c r="BK467" s="75"/>
      <c r="BL467" s="75" t="s">
        <v>439</v>
      </c>
      <c r="BM467" s="75"/>
    </row>
    <row r="468" spans="1:65" ht="12.75" customHeight="1" x14ac:dyDescent="0.2">
      <c r="A468" s="38"/>
      <c r="B468" s="38"/>
      <c r="C468" s="75"/>
      <c r="D468" s="75"/>
      <c r="E468" s="75"/>
      <c r="F468" s="75"/>
      <c r="G468" s="75"/>
      <c r="H468" s="75"/>
      <c r="I468" s="75"/>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t="s">
        <v>439</v>
      </c>
      <c r="BG468" s="75"/>
      <c r="BH468" s="75"/>
      <c r="BI468" s="75" t="s">
        <v>439</v>
      </c>
      <c r="BJ468" s="75"/>
      <c r="BK468" s="75"/>
      <c r="BL468" s="75" t="s">
        <v>439</v>
      </c>
      <c r="BM468" s="75"/>
    </row>
    <row r="469" spans="1:65" ht="12.75" customHeight="1" x14ac:dyDescent="0.2">
      <c r="A469" s="38"/>
      <c r="B469" s="38"/>
      <c r="C469" s="75"/>
      <c r="D469" s="75"/>
      <c r="E469" s="75"/>
      <c r="F469" s="75"/>
      <c r="G469" s="75"/>
      <c r="H469" s="75"/>
      <c r="I469" s="75"/>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t="s">
        <v>439</v>
      </c>
      <c r="BG469" s="75"/>
      <c r="BH469" s="75"/>
      <c r="BI469" s="75" t="s">
        <v>439</v>
      </c>
      <c r="BJ469" s="75"/>
      <c r="BK469" s="75"/>
      <c r="BL469" s="75" t="s">
        <v>439</v>
      </c>
      <c r="BM469" s="75"/>
    </row>
    <row r="470" spans="1:65" ht="12.75" customHeight="1" x14ac:dyDescent="0.2">
      <c r="A470" s="38"/>
      <c r="B470" s="38"/>
      <c r="C470" s="75"/>
      <c r="D470" s="75"/>
      <c r="E470" s="75"/>
      <c r="F470" s="75"/>
      <c r="G470" s="75"/>
      <c r="H470" s="75"/>
      <c r="I470" s="75"/>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t="s">
        <v>439</v>
      </c>
      <c r="BG470" s="75"/>
      <c r="BH470" s="75"/>
      <c r="BI470" s="75" t="s">
        <v>439</v>
      </c>
      <c r="BJ470" s="75"/>
      <c r="BK470" s="75"/>
      <c r="BL470" s="75" t="s">
        <v>439</v>
      </c>
      <c r="BM470" s="75"/>
    </row>
    <row r="471" spans="1:65" ht="12.75" customHeight="1" x14ac:dyDescent="0.2">
      <c r="A471" s="38"/>
      <c r="B471" s="38"/>
      <c r="C471" s="75"/>
      <c r="D471" s="75"/>
      <c r="E471" s="75"/>
      <c r="F471" s="75"/>
      <c r="G471" s="75"/>
      <c r="H471" s="75"/>
      <c r="I471" s="75"/>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t="s">
        <v>439</v>
      </c>
      <c r="BG471" s="75"/>
      <c r="BH471" s="75"/>
      <c r="BI471" s="75" t="s">
        <v>439</v>
      </c>
      <c r="BJ471" s="75"/>
      <c r="BK471" s="75"/>
      <c r="BL471" s="75" t="s">
        <v>439</v>
      </c>
      <c r="BM471" s="75"/>
    </row>
    <row r="472" spans="1:65" ht="12.75" customHeight="1" x14ac:dyDescent="0.2">
      <c r="A472" s="38"/>
      <c r="B472" s="38"/>
      <c r="C472" s="75"/>
      <c r="D472" s="75"/>
      <c r="E472" s="75"/>
      <c r="F472" s="75"/>
      <c r="G472" s="75"/>
      <c r="H472" s="75"/>
      <c r="I472" s="75"/>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t="s">
        <v>439</v>
      </c>
      <c r="BG472" s="75"/>
      <c r="BH472" s="75"/>
      <c r="BI472" s="75" t="s">
        <v>439</v>
      </c>
      <c r="BJ472" s="75"/>
      <c r="BK472" s="75"/>
      <c r="BL472" s="75" t="s">
        <v>439</v>
      </c>
      <c r="BM472" s="75"/>
    </row>
    <row r="473" spans="1:65" ht="12.75" customHeight="1" x14ac:dyDescent="0.2">
      <c r="A473" s="38"/>
      <c r="B473" s="38"/>
      <c r="C473" s="75"/>
      <c r="D473" s="75"/>
      <c r="E473" s="75"/>
      <c r="F473" s="75"/>
      <c r="G473" s="75"/>
      <c r="H473" s="75"/>
      <c r="I473" s="75"/>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t="s">
        <v>439</v>
      </c>
      <c r="BG473" s="75"/>
      <c r="BH473" s="75"/>
      <c r="BI473" s="75" t="s">
        <v>439</v>
      </c>
      <c r="BJ473" s="75"/>
      <c r="BK473" s="75"/>
      <c r="BL473" s="75" t="s">
        <v>439</v>
      </c>
      <c r="BM473" s="75"/>
    </row>
    <row r="474" spans="1:65" ht="12.75" customHeight="1" x14ac:dyDescent="0.2">
      <c r="A474" s="38"/>
      <c r="B474" s="38"/>
      <c r="C474" s="75"/>
      <c r="D474" s="75"/>
      <c r="E474" s="75"/>
      <c r="F474" s="75"/>
      <c r="G474" s="75"/>
      <c r="H474" s="75"/>
      <c r="I474" s="75"/>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t="s">
        <v>439</v>
      </c>
      <c r="BG474" s="75"/>
      <c r="BH474" s="75"/>
      <c r="BI474" s="75" t="s">
        <v>439</v>
      </c>
      <c r="BJ474" s="75"/>
      <c r="BK474" s="75"/>
      <c r="BL474" s="75" t="s">
        <v>439</v>
      </c>
      <c r="BM474" s="75"/>
    </row>
    <row r="475" spans="1:65" ht="12.75" customHeight="1" x14ac:dyDescent="0.2">
      <c r="A475" s="38"/>
      <c r="B475" s="38"/>
      <c r="C475" s="75"/>
      <c r="D475" s="75"/>
      <c r="E475" s="75"/>
      <c r="F475" s="75"/>
      <c r="G475" s="75"/>
      <c r="H475" s="75"/>
      <c r="I475" s="75"/>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t="s">
        <v>439</v>
      </c>
      <c r="BG475" s="75"/>
      <c r="BH475" s="75"/>
      <c r="BI475" s="75" t="s">
        <v>439</v>
      </c>
      <c r="BJ475" s="75"/>
      <c r="BK475" s="75"/>
      <c r="BL475" s="75" t="s">
        <v>439</v>
      </c>
      <c r="BM475" s="75"/>
    </row>
    <row r="476" spans="1:65" ht="12.75" customHeight="1" x14ac:dyDescent="0.2">
      <c r="A476" s="38"/>
      <c r="B476" s="38"/>
      <c r="C476" s="75"/>
      <c r="D476" s="75"/>
      <c r="E476" s="75"/>
      <c r="F476" s="75"/>
      <c r="G476" s="75"/>
      <c r="H476" s="75"/>
      <c r="I476" s="75"/>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t="s">
        <v>439</v>
      </c>
      <c r="BG476" s="75"/>
      <c r="BH476" s="75"/>
      <c r="BI476" s="75" t="s">
        <v>439</v>
      </c>
      <c r="BJ476" s="75"/>
      <c r="BK476" s="75"/>
      <c r="BL476" s="75" t="s">
        <v>439</v>
      </c>
      <c r="BM476" s="75"/>
    </row>
    <row r="477" spans="1:65" ht="12.75" customHeight="1" x14ac:dyDescent="0.2">
      <c r="A477" s="38"/>
      <c r="B477" s="38"/>
      <c r="C477" s="75"/>
      <c r="D477" s="75"/>
      <c r="E477" s="75"/>
      <c r="F477" s="75"/>
      <c r="G477" s="75"/>
      <c r="H477" s="75"/>
      <c r="I477" s="75"/>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t="s">
        <v>439</v>
      </c>
      <c r="BG477" s="75"/>
      <c r="BH477" s="75"/>
      <c r="BI477" s="75" t="s">
        <v>439</v>
      </c>
      <c r="BJ477" s="75"/>
      <c r="BK477" s="75"/>
      <c r="BL477" s="75" t="s">
        <v>439</v>
      </c>
      <c r="BM477" s="75"/>
    </row>
    <row r="478" spans="1:65" ht="12.75" customHeight="1" x14ac:dyDescent="0.2">
      <c r="A478" s="38"/>
      <c r="B478" s="38"/>
      <c r="C478" s="75"/>
      <c r="D478" s="75"/>
      <c r="E478" s="75"/>
      <c r="F478" s="75"/>
      <c r="G478" s="75"/>
      <c r="H478" s="75"/>
      <c r="I478" s="75"/>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t="s">
        <v>439</v>
      </c>
      <c r="BG478" s="75"/>
      <c r="BH478" s="75"/>
      <c r="BI478" s="75" t="s">
        <v>439</v>
      </c>
      <c r="BJ478" s="75"/>
      <c r="BK478" s="75"/>
      <c r="BL478" s="75" t="s">
        <v>439</v>
      </c>
      <c r="BM478" s="75"/>
    </row>
    <row r="479" spans="1:65" ht="12.75" customHeight="1" x14ac:dyDescent="0.2">
      <c r="A479" s="38"/>
      <c r="B479" s="38"/>
      <c r="C479" s="75"/>
      <c r="D479" s="75"/>
      <c r="E479" s="75"/>
      <c r="F479" s="75"/>
      <c r="G479" s="75"/>
      <c r="H479" s="75"/>
      <c r="I479" s="75"/>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t="s">
        <v>439</v>
      </c>
      <c r="BG479" s="75"/>
      <c r="BH479" s="75"/>
      <c r="BI479" s="75" t="s">
        <v>439</v>
      </c>
      <c r="BJ479" s="75"/>
      <c r="BK479" s="75"/>
      <c r="BL479" s="75" t="s">
        <v>439</v>
      </c>
      <c r="BM479" s="75"/>
    </row>
    <row r="480" spans="1:65" ht="12.75" customHeight="1" x14ac:dyDescent="0.2">
      <c r="A480" s="38"/>
      <c r="B480" s="38"/>
      <c r="C480" s="75"/>
      <c r="D480" s="75"/>
      <c r="E480" s="75"/>
      <c r="F480" s="75"/>
      <c r="G480" s="75"/>
      <c r="H480" s="75"/>
      <c r="I480" s="75"/>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t="s">
        <v>439</v>
      </c>
      <c r="BG480" s="75"/>
      <c r="BH480" s="75"/>
      <c r="BI480" s="75" t="s">
        <v>439</v>
      </c>
      <c r="BJ480" s="75"/>
      <c r="BK480" s="75"/>
      <c r="BL480" s="75" t="s">
        <v>439</v>
      </c>
      <c r="BM480" s="75"/>
    </row>
    <row r="481" spans="1:65" ht="12.75" customHeight="1" x14ac:dyDescent="0.2">
      <c r="A481" s="38"/>
      <c r="B481" s="38"/>
      <c r="C481" s="75"/>
      <c r="D481" s="75"/>
      <c r="E481" s="75"/>
      <c r="F481" s="75"/>
      <c r="G481" s="75"/>
      <c r="H481" s="75"/>
      <c r="I481" s="75"/>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t="s">
        <v>439</v>
      </c>
      <c r="BG481" s="75"/>
      <c r="BH481" s="75"/>
      <c r="BI481" s="75" t="s">
        <v>439</v>
      </c>
      <c r="BJ481" s="75"/>
      <c r="BK481" s="75"/>
      <c r="BL481" s="75" t="s">
        <v>439</v>
      </c>
      <c r="BM481" s="75"/>
    </row>
    <row r="482" spans="1:65" ht="12.75" customHeight="1" x14ac:dyDescent="0.2">
      <c r="A482" s="38"/>
      <c r="B482" s="38"/>
      <c r="C482" s="75"/>
      <c r="D482" s="75"/>
      <c r="E482" s="75"/>
      <c r="F482" s="75"/>
      <c r="G482" s="75"/>
      <c r="H482" s="75"/>
      <c r="I482" s="75"/>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t="s">
        <v>439</v>
      </c>
      <c r="BG482" s="75"/>
      <c r="BH482" s="75"/>
      <c r="BI482" s="75" t="s">
        <v>439</v>
      </c>
      <c r="BJ482" s="75"/>
      <c r="BK482" s="75"/>
      <c r="BL482" s="75" t="s">
        <v>439</v>
      </c>
      <c r="BM482" s="75"/>
    </row>
    <row r="483" spans="1:65" ht="12.75" customHeight="1" x14ac:dyDescent="0.2">
      <c r="A483" s="38"/>
      <c r="B483" s="38"/>
      <c r="C483" s="75"/>
      <c r="D483" s="75"/>
      <c r="E483" s="75"/>
      <c r="F483" s="75"/>
      <c r="G483" s="75"/>
      <c r="H483" s="75"/>
      <c r="I483" s="75"/>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t="s">
        <v>439</v>
      </c>
      <c r="BG483" s="75"/>
      <c r="BH483" s="75"/>
      <c r="BI483" s="75" t="s">
        <v>439</v>
      </c>
      <c r="BJ483" s="75"/>
      <c r="BK483" s="75"/>
      <c r="BL483" s="75" t="s">
        <v>439</v>
      </c>
      <c r="BM483" s="75"/>
    </row>
    <row r="484" spans="1:65" ht="12.75" customHeight="1" x14ac:dyDescent="0.2">
      <c r="A484" s="38"/>
      <c r="B484" s="38"/>
      <c r="C484" s="75"/>
      <c r="D484" s="75"/>
      <c r="E484" s="75"/>
      <c r="F484" s="75"/>
      <c r="G484" s="75"/>
      <c r="H484" s="75"/>
      <c r="I484" s="75"/>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t="s">
        <v>439</v>
      </c>
      <c r="BG484" s="75"/>
      <c r="BH484" s="75"/>
      <c r="BI484" s="75" t="s">
        <v>439</v>
      </c>
      <c r="BJ484" s="75"/>
      <c r="BK484" s="75"/>
      <c r="BL484" s="75" t="s">
        <v>439</v>
      </c>
      <c r="BM484" s="75"/>
    </row>
    <row r="485" spans="1:65" ht="12.75" customHeight="1" x14ac:dyDescent="0.2">
      <c r="A485" s="38"/>
      <c r="B485" s="38"/>
      <c r="C485" s="75"/>
      <c r="D485" s="75"/>
      <c r="E485" s="75"/>
      <c r="F485" s="75"/>
      <c r="G485" s="75"/>
      <c r="H485" s="75"/>
      <c r="I485" s="75"/>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t="s">
        <v>439</v>
      </c>
      <c r="BG485" s="75"/>
      <c r="BH485" s="75"/>
      <c r="BI485" s="75" t="s">
        <v>439</v>
      </c>
      <c r="BJ485" s="75"/>
      <c r="BK485" s="75"/>
      <c r="BL485" s="75" t="s">
        <v>439</v>
      </c>
      <c r="BM485" s="75"/>
    </row>
    <row r="486" spans="1:65" ht="12.75" customHeight="1" x14ac:dyDescent="0.2">
      <c r="A486" s="38"/>
      <c r="B486" s="38"/>
      <c r="C486" s="75"/>
      <c r="D486" s="75"/>
      <c r="E486" s="75"/>
      <c r="F486" s="75"/>
      <c r="G486" s="75"/>
      <c r="H486" s="75"/>
      <c r="I486" s="75"/>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t="s">
        <v>439</v>
      </c>
      <c r="BG486" s="75"/>
      <c r="BH486" s="75"/>
      <c r="BI486" s="75" t="s">
        <v>439</v>
      </c>
      <c r="BJ486" s="75"/>
      <c r="BK486" s="75"/>
      <c r="BL486" s="75" t="s">
        <v>439</v>
      </c>
      <c r="BM486" s="75"/>
    </row>
    <row r="487" spans="1:65" ht="12.75" customHeight="1" x14ac:dyDescent="0.2">
      <c r="A487" s="38"/>
      <c r="B487" s="38"/>
      <c r="C487" s="75"/>
      <c r="D487" s="75"/>
      <c r="E487" s="75"/>
      <c r="F487" s="75"/>
      <c r="G487" s="75"/>
      <c r="H487" s="75"/>
      <c r="I487" s="75"/>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t="s">
        <v>439</v>
      </c>
      <c r="BG487" s="75"/>
      <c r="BH487" s="75"/>
      <c r="BI487" s="75" t="s">
        <v>439</v>
      </c>
      <c r="BJ487" s="75"/>
      <c r="BK487" s="75"/>
      <c r="BL487" s="75" t="s">
        <v>439</v>
      </c>
      <c r="BM487" s="75"/>
    </row>
    <row r="488" spans="1:65" ht="12.75" customHeight="1" x14ac:dyDescent="0.2">
      <c r="A488" s="38"/>
      <c r="B488" s="38"/>
      <c r="C488" s="75"/>
      <c r="D488" s="75"/>
      <c r="E488" s="75"/>
      <c r="F488" s="75"/>
      <c r="G488" s="75"/>
      <c r="H488" s="75"/>
      <c r="I488" s="75"/>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t="s">
        <v>439</v>
      </c>
      <c r="BG488" s="75"/>
      <c r="BH488" s="75"/>
      <c r="BI488" s="75" t="s">
        <v>439</v>
      </c>
      <c r="BJ488" s="75"/>
      <c r="BK488" s="75"/>
      <c r="BL488" s="75" t="s">
        <v>439</v>
      </c>
      <c r="BM488" s="75"/>
    </row>
    <row r="489" spans="1:65" ht="12.75" customHeight="1" x14ac:dyDescent="0.2">
      <c r="A489" s="38"/>
      <c r="B489" s="38"/>
      <c r="C489" s="75"/>
      <c r="D489" s="75"/>
      <c r="E489" s="75"/>
      <c r="F489" s="75"/>
      <c r="G489" s="75"/>
      <c r="H489" s="75"/>
      <c r="I489" s="75"/>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t="s">
        <v>439</v>
      </c>
      <c r="BG489" s="75"/>
      <c r="BH489" s="75"/>
      <c r="BI489" s="75" t="s">
        <v>439</v>
      </c>
      <c r="BJ489" s="75"/>
      <c r="BK489" s="75"/>
      <c r="BL489" s="75" t="s">
        <v>439</v>
      </c>
      <c r="BM489" s="75"/>
    </row>
    <row r="490" spans="1:65" ht="12.75" customHeight="1" x14ac:dyDescent="0.2">
      <c r="A490" s="38"/>
      <c r="B490" s="38"/>
      <c r="C490" s="75"/>
      <c r="D490" s="75"/>
      <c r="E490" s="75"/>
      <c r="F490" s="75"/>
      <c r="G490" s="75"/>
      <c r="H490" s="75"/>
      <c r="I490" s="75"/>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t="s">
        <v>439</v>
      </c>
      <c r="BG490" s="75"/>
      <c r="BH490" s="75"/>
      <c r="BI490" s="75" t="s">
        <v>439</v>
      </c>
      <c r="BJ490" s="75"/>
      <c r="BK490" s="75"/>
      <c r="BL490" s="75" t="s">
        <v>439</v>
      </c>
      <c r="BM490" s="75"/>
    </row>
    <row r="491" spans="1:65" ht="12.75" customHeight="1" x14ac:dyDescent="0.2">
      <c r="A491" s="38"/>
      <c r="B491" s="38"/>
      <c r="C491" s="75"/>
      <c r="D491" s="75"/>
      <c r="E491" s="75"/>
      <c r="F491" s="75"/>
      <c r="G491" s="75"/>
      <c r="H491" s="75"/>
      <c r="I491" s="75"/>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t="s">
        <v>439</v>
      </c>
      <c r="BG491" s="75"/>
      <c r="BH491" s="75"/>
      <c r="BI491" s="75" t="s">
        <v>439</v>
      </c>
      <c r="BJ491" s="75"/>
      <c r="BK491" s="75"/>
      <c r="BL491" s="75" t="s">
        <v>439</v>
      </c>
      <c r="BM491" s="75"/>
    </row>
    <row r="492" spans="1:65" ht="12.75" customHeight="1" x14ac:dyDescent="0.2">
      <c r="A492" s="38"/>
      <c r="B492" s="38"/>
      <c r="C492" s="75"/>
      <c r="D492" s="75"/>
      <c r="E492" s="75"/>
      <c r="F492" s="75"/>
      <c r="G492" s="75"/>
      <c r="H492" s="75"/>
      <c r="I492" s="75"/>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t="s">
        <v>439</v>
      </c>
      <c r="BG492" s="75"/>
      <c r="BH492" s="75"/>
      <c r="BI492" s="75" t="s">
        <v>439</v>
      </c>
      <c r="BJ492" s="75"/>
      <c r="BK492" s="75"/>
      <c r="BL492" s="75" t="s">
        <v>439</v>
      </c>
      <c r="BM492" s="75"/>
    </row>
    <row r="493" spans="1:65" ht="12.75" customHeight="1" x14ac:dyDescent="0.2">
      <c r="A493" s="38"/>
      <c r="B493" s="38"/>
      <c r="C493" s="75"/>
      <c r="D493" s="75"/>
      <c r="E493" s="75"/>
      <c r="F493" s="75"/>
      <c r="G493" s="75"/>
      <c r="H493" s="75"/>
      <c r="I493" s="75"/>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t="s">
        <v>439</v>
      </c>
      <c r="BG493" s="75"/>
      <c r="BH493" s="75"/>
      <c r="BI493" s="75" t="s">
        <v>439</v>
      </c>
      <c r="BJ493" s="75"/>
      <c r="BK493" s="75"/>
      <c r="BL493" s="75" t="s">
        <v>439</v>
      </c>
      <c r="BM493" s="75"/>
    </row>
    <row r="494" spans="1:65" ht="12.75" customHeight="1" x14ac:dyDescent="0.2">
      <c r="A494" s="38"/>
      <c r="B494" s="38"/>
      <c r="C494" s="75"/>
      <c r="D494" s="75"/>
      <c r="E494" s="75"/>
      <c r="F494" s="75"/>
      <c r="G494" s="75"/>
      <c r="H494" s="75"/>
      <c r="I494" s="75"/>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t="s">
        <v>439</v>
      </c>
      <c r="BG494" s="75"/>
      <c r="BH494" s="75"/>
      <c r="BI494" s="75" t="s">
        <v>439</v>
      </c>
      <c r="BJ494" s="75"/>
      <c r="BK494" s="75"/>
      <c r="BL494" s="75" t="s">
        <v>439</v>
      </c>
      <c r="BM494" s="75"/>
    </row>
    <row r="495" spans="1:65" ht="12.75" customHeight="1" x14ac:dyDescent="0.2">
      <c r="A495" s="38"/>
      <c r="B495" s="38"/>
      <c r="C495" s="75"/>
      <c r="D495" s="75"/>
      <c r="E495" s="75"/>
      <c r="F495" s="75"/>
      <c r="G495" s="75"/>
      <c r="H495" s="75"/>
      <c r="I495" s="75"/>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t="s">
        <v>439</v>
      </c>
      <c r="BG495" s="75"/>
      <c r="BH495" s="75"/>
      <c r="BI495" s="75" t="s">
        <v>439</v>
      </c>
      <c r="BJ495" s="75"/>
      <c r="BK495" s="75"/>
      <c r="BL495" s="75" t="s">
        <v>439</v>
      </c>
      <c r="BM495" s="75"/>
    </row>
    <row r="496" spans="1:65" ht="12.75" customHeight="1" x14ac:dyDescent="0.2">
      <c r="A496" s="38"/>
      <c r="B496" s="38"/>
      <c r="C496" s="75"/>
      <c r="D496" s="75"/>
      <c r="E496" s="75"/>
      <c r="F496" s="75"/>
      <c r="G496" s="75"/>
      <c r="H496" s="75"/>
      <c r="I496" s="75"/>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t="s">
        <v>439</v>
      </c>
      <c r="BG496" s="75"/>
      <c r="BH496" s="75"/>
      <c r="BI496" s="75" t="s">
        <v>439</v>
      </c>
      <c r="BJ496" s="75"/>
      <c r="BK496" s="75"/>
      <c r="BL496" s="75" t="s">
        <v>439</v>
      </c>
      <c r="BM496" s="75"/>
    </row>
    <row r="497" spans="1:65" ht="12.75" customHeight="1" x14ac:dyDescent="0.2">
      <c r="A497" s="38"/>
      <c r="B497" s="38"/>
      <c r="C497" s="75"/>
      <c r="D497" s="75"/>
      <c r="E497" s="75"/>
      <c r="F497" s="75"/>
      <c r="G497" s="75"/>
      <c r="H497" s="75"/>
      <c r="I497" s="75"/>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t="s">
        <v>439</v>
      </c>
      <c r="BG497" s="75"/>
      <c r="BH497" s="75"/>
      <c r="BI497" s="75" t="s">
        <v>439</v>
      </c>
      <c r="BJ497" s="75"/>
      <c r="BK497" s="75"/>
      <c r="BL497" s="75" t="s">
        <v>439</v>
      </c>
      <c r="BM497" s="75"/>
    </row>
    <row r="498" spans="1:65" ht="12.75" customHeight="1" x14ac:dyDescent="0.2">
      <c r="A498" s="38"/>
      <c r="B498" s="38"/>
      <c r="C498" s="75"/>
      <c r="D498" s="75"/>
      <c r="E498" s="75"/>
      <c r="F498" s="75"/>
      <c r="G498" s="75"/>
      <c r="H498" s="75"/>
      <c r="I498" s="75"/>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t="s">
        <v>439</v>
      </c>
      <c r="BG498" s="75"/>
      <c r="BH498" s="75"/>
      <c r="BI498" s="75" t="s">
        <v>439</v>
      </c>
      <c r="BJ498" s="75"/>
      <c r="BK498" s="75"/>
      <c r="BL498" s="75" t="s">
        <v>439</v>
      </c>
      <c r="BM498" s="75"/>
    </row>
    <row r="499" spans="1:65" ht="12.75" customHeight="1" x14ac:dyDescent="0.2">
      <c r="A499" s="38"/>
      <c r="B499" s="38"/>
      <c r="C499" s="75"/>
      <c r="D499" s="75"/>
      <c r="E499" s="75"/>
      <c r="F499" s="75"/>
      <c r="G499" s="75"/>
      <c r="H499" s="75"/>
      <c r="I499" s="75"/>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t="s">
        <v>439</v>
      </c>
      <c r="BG499" s="75"/>
      <c r="BH499" s="75"/>
      <c r="BI499" s="75" t="s">
        <v>439</v>
      </c>
      <c r="BJ499" s="75"/>
      <c r="BK499" s="75"/>
      <c r="BL499" s="75" t="s">
        <v>439</v>
      </c>
      <c r="BM499" s="75"/>
    </row>
    <row r="500" spans="1:65" ht="12.75" customHeight="1" x14ac:dyDescent="0.2">
      <c r="A500" s="38"/>
      <c r="B500" s="38"/>
      <c r="C500" s="75"/>
      <c r="D500" s="75"/>
      <c r="E500" s="75"/>
      <c r="F500" s="75"/>
      <c r="G500" s="75"/>
      <c r="H500" s="75"/>
      <c r="I500" s="75"/>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t="s">
        <v>439</v>
      </c>
      <c r="BG500" s="75"/>
      <c r="BH500" s="75"/>
      <c r="BI500" s="75" t="s">
        <v>439</v>
      </c>
      <c r="BJ500" s="75"/>
      <c r="BK500" s="75"/>
      <c r="BL500" s="75" t="s">
        <v>439</v>
      </c>
      <c r="BM500" s="75"/>
    </row>
    <row r="501" spans="1:65" ht="12.75" customHeight="1" x14ac:dyDescent="0.2">
      <c r="A501" s="38"/>
      <c r="B501" s="38"/>
      <c r="C501" s="75"/>
      <c r="D501" s="75"/>
      <c r="E501" s="75"/>
      <c r="F501" s="75"/>
      <c r="G501" s="75"/>
      <c r="H501" s="75"/>
      <c r="I501" s="75"/>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t="s">
        <v>439</v>
      </c>
      <c r="BG501" s="75"/>
      <c r="BH501" s="75"/>
      <c r="BI501" s="75" t="s">
        <v>439</v>
      </c>
      <c r="BJ501" s="75"/>
      <c r="BK501" s="75"/>
      <c r="BL501" s="75" t="s">
        <v>439</v>
      </c>
      <c r="BM501" s="75"/>
    </row>
    <row r="502" spans="1:65" ht="12.75" customHeight="1" x14ac:dyDescent="0.2">
      <c r="A502" s="38"/>
      <c r="B502" s="38"/>
      <c r="C502" s="75"/>
      <c r="D502" s="75"/>
      <c r="E502" s="75"/>
      <c r="F502" s="75"/>
      <c r="G502" s="75"/>
      <c r="H502" s="75"/>
      <c r="I502" s="75"/>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t="s">
        <v>439</v>
      </c>
      <c r="BG502" s="75"/>
      <c r="BH502" s="75"/>
      <c r="BI502" s="75" t="s">
        <v>439</v>
      </c>
      <c r="BJ502" s="75"/>
      <c r="BK502" s="75"/>
      <c r="BL502" s="75" t="s">
        <v>439</v>
      </c>
      <c r="BM502" s="75"/>
    </row>
    <row r="503" spans="1:65" ht="12.75" customHeight="1" x14ac:dyDescent="0.2">
      <c r="A503" s="38"/>
      <c r="B503" s="38"/>
      <c r="C503" s="75"/>
      <c r="D503" s="75"/>
      <c r="E503" s="75"/>
      <c r="F503" s="75"/>
      <c r="G503" s="75"/>
      <c r="H503" s="75"/>
      <c r="I503" s="75"/>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t="s">
        <v>439</v>
      </c>
      <c r="BG503" s="75"/>
      <c r="BH503" s="75"/>
      <c r="BI503" s="75" t="s">
        <v>439</v>
      </c>
      <c r="BJ503" s="75"/>
      <c r="BK503" s="75"/>
      <c r="BL503" s="75" t="s">
        <v>439</v>
      </c>
      <c r="BM503" s="75"/>
    </row>
    <row r="504" spans="1:65" ht="12.75" customHeight="1" x14ac:dyDescent="0.2">
      <c r="A504" s="38"/>
      <c r="B504" s="38"/>
      <c r="C504" s="75"/>
      <c r="D504" s="75"/>
      <c r="E504" s="75"/>
      <c r="F504" s="75"/>
      <c r="G504" s="75"/>
      <c r="H504" s="75"/>
      <c r="I504" s="75"/>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t="s">
        <v>439</v>
      </c>
      <c r="BG504" s="75"/>
      <c r="BH504" s="75"/>
      <c r="BI504" s="75" t="s">
        <v>439</v>
      </c>
      <c r="BJ504" s="75"/>
      <c r="BK504" s="75"/>
      <c r="BL504" s="75" t="s">
        <v>439</v>
      </c>
      <c r="BM504" s="75"/>
    </row>
    <row r="505" spans="1:65" ht="12.75" customHeight="1" x14ac:dyDescent="0.2">
      <c r="A505" s="38"/>
      <c r="B505" s="38"/>
      <c r="C505" s="75"/>
      <c r="D505" s="75"/>
      <c r="E505" s="75"/>
      <c r="F505" s="75"/>
      <c r="G505" s="75"/>
      <c r="H505" s="75"/>
      <c r="I505" s="75"/>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t="s">
        <v>439</v>
      </c>
      <c r="BG505" s="75"/>
      <c r="BH505" s="75"/>
      <c r="BI505" s="75" t="s">
        <v>439</v>
      </c>
      <c r="BJ505" s="75"/>
      <c r="BK505" s="75"/>
      <c r="BL505" s="75" t="s">
        <v>439</v>
      </c>
      <c r="BM505" s="75"/>
    </row>
    <row r="506" spans="1:65" ht="12.75" customHeight="1" x14ac:dyDescent="0.2">
      <c r="A506" s="38"/>
      <c r="B506" s="38"/>
      <c r="C506" s="75"/>
      <c r="D506" s="75"/>
      <c r="E506" s="75"/>
      <c r="F506" s="75"/>
      <c r="G506" s="75"/>
      <c r="H506" s="75"/>
      <c r="I506" s="75"/>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t="s">
        <v>439</v>
      </c>
      <c r="BG506" s="75"/>
      <c r="BH506" s="75"/>
      <c r="BI506" s="75" t="s">
        <v>439</v>
      </c>
      <c r="BJ506" s="75"/>
      <c r="BK506" s="75"/>
      <c r="BL506" s="75" t="s">
        <v>439</v>
      </c>
      <c r="BM506" s="75"/>
    </row>
    <row r="507" spans="1:65" ht="12.75" customHeight="1" x14ac:dyDescent="0.2">
      <c r="A507" s="38"/>
      <c r="B507" s="38"/>
      <c r="C507" s="75"/>
      <c r="D507" s="75"/>
      <c r="E507" s="75"/>
      <c r="F507" s="75"/>
      <c r="G507" s="75"/>
      <c r="H507" s="75"/>
      <c r="I507" s="75"/>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t="s">
        <v>439</v>
      </c>
      <c r="BG507" s="75"/>
      <c r="BH507" s="75"/>
      <c r="BI507" s="75" t="s">
        <v>439</v>
      </c>
      <c r="BJ507" s="75"/>
      <c r="BK507" s="75"/>
      <c r="BL507" s="75" t="s">
        <v>439</v>
      </c>
      <c r="BM507" s="75"/>
    </row>
    <row r="508" spans="1:65" ht="12.75" customHeight="1" x14ac:dyDescent="0.2">
      <c r="A508" s="38"/>
      <c r="B508" s="38"/>
      <c r="C508" s="75"/>
      <c r="D508" s="75"/>
      <c r="E508" s="75"/>
      <c r="F508" s="75"/>
      <c r="G508" s="75"/>
      <c r="H508" s="75"/>
      <c r="I508" s="75"/>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t="s">
        <v>439</v>
      </c>
      <c r="BG508" s="75"/>
      <c r="BH508" s="75"/>
      <c r="BI508" s="75" t="s">
        <v>439</v>
      </c>
      <c r="BJ508" s="75"/>
      <c r="BK508" s="75"/>
      <c r="BL508" s="75" t="s">
        <v>439</v>
      </c>
      <c r="BM508" s="75"/>
    </row>
    <row r="509" spans="1:65" ht="12.75" customHeight="1" x14ac:dyDescent="0.2">
      <c r="A509" s="38"/>
      <c r="B509" s="38"/>
      <c r="C509" s="75"/>
      <c r="D509" s="75"/>
      <c r="E509" s="75"/>
      <c r="F509" s="75"/>
      <c r="G509" s="75"/>
      <c r="H509" s="75"/>
      <c r="I509" s="75"/>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t="s">
        <v>439</v>
      </c>
      <c r="BG509" s="75"/>
      <c r="BH509" s="75"/>
      <c r="BI509" s="75" t="s">
        <v>439</v>
      </c>
      <c r="BJ509" s="75"/>
      <c r="BK509" s="75"/>
      <c r="BL509" s="75" t="s">
        <v>439</v>
      </c>
      <c r="BM509" s="75"/>
    </row>
    <row r="510" spans="1:65" ht="12.75" customHeight="1" x14ac:dyDescent="0.2">
      <c r="A510" s="38"/>
      <c r="B510" s="38"/>
      <c r="C510" s="75"/>
      <c r="D510" s="75"/>
      <c r="E510" s="75"/>
      <c r="F510" s="75"/>
      <c r="G510" s="75"/>
      <c r="H510" s="75"/>
      <c r="I510" s="75"/>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t="s">
        <v>439</v>
      </c>
      <c r="BG510" s="75"/>
      <c r="BH510" s="75"/>
      <c r="BI510" s="75" t="s">
        <v>439</v>
      </c>
      <c r="BJ510" s="75"/>
      <c r="BK510" s="75"/>
      <c r="BL510" s="75" t="s">
        <v>439</v>
      </c>
      <c r="BM510" s="75"/>
    </row>
    <row r="511" spans="1:65" ht="12.75" customHeight="1" x14ac:dyDescent="0.2">
      <c r="A511" s="38"/>
      <c r="B511" s="38"/>
      <c r="C511" s="75"/>
      <c r="D511" s="75"/>
      <c r="E511" s="75"/>
      <c r="F511" s="75"/>
      <c r="G511" s="75"/>
      <c r="H511" s="75"/>
      <c r="I511" s="75"/>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t="s">
        <v>439</v>
      </c>
      <c r="BG511" s="75"/>
      <c r="BH511" s="75"/>
      <c r="BI511" s="75" t="s">
        <v>439</v>
      </c>
      <c r="BJ511" s="75"/>
      <c r="BK511" s="75"/>
      <c r="BL511" s="75" t="s">
        <v>439</v>
      </c>
      <c r="BM511" s="75"/>
    </row>
    <row r="512" spans="1:65" ht="12.75" customHeight="1" x14ac:dyDescent="0.2">
      <c r="A512" s="38"/>
      <c r="B512" s="38"/>
      <c r="C512" s="75"/>
      <c r="D512" s="75"/>
      <c r="E512" s="75"/>
      <c r="F512" s="75"/>
      <c r="G512" s="75"/>
      <c r="H512" s="75"/>
      <c r="I512" s="75"/>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t="s">
        <v>439</v>
      </c>
      <c r="BG512" s="75"/>
      <c r="BH512" s="75"/>
      <c r="BI512" s="75" t="s">
        <v>439</v>
      </c>
      <c r="BJ512" s="75"/>
      <c r="BK512" s="75"/>
      <c r="BL512" s="75" t="s">
        <v>439</v>
      </c>
      <c r="BM512" s="75"/>
    </row>
    <row r="513" spans="1:65" ht="12.75" customHeight="1" x14ac:dyDescent="0.2">
      <c r="A513" s="38"/>
      <c r="B513" s="38"/>
      <c r="C513" s="75"/>
      <c r="D513" s="75"/>
      <c r="E513" s="75"/>
      <c r="F513" s="75"/>
      <c r="G513" s="75"/>
      <c r="H513" s="75"/>
      <c r="I513" s="75"/>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t="s">
        <v>439</v>
      </c>
      <c r="BG513" s="75"/>
      <c r="BH513" s="75"/>
      <c r="BI513" s="75" t="s">
        <v>439</v>
      </c>
      <c r="BJ513" s="75"/>
      <c r="BK513" s="75"/>
      <c r="BL513" s="75" t="s">
        <v>439</v>
      </c>
      <c r="BM513" s="75"/>
    </row>
    <row r="514" spans="1:65" ht="12.75" customHeight="1" x14ac:dyDescent="0.2">
      <c r="A514" s="38"/>
      <c r="B514" s="38"/>
      <c r="C514" s="75"/>
      <c r="D514" s="75"/>
      <c r="E514" s="75"/>
      <c r="F514" s="75"/>
      <c r="G514" s="75"/>
      <c r="H514" s="75"/>
      <c r="I514" s="75"/>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t="s">
        <v>439</v>
      </c>
      <c r="BG514" s="75"/>
      <c r="BH514" s="75"/>
      <c r="BI514" s="75" t="s">
        <v>439</v>
      </c>
      <c r="BJ514" s="75"/>
      <c r="BK514" s="75"/>
      <c r="BL514" s="75" t="s">
        <v>439</v>
      </c>
      <c r="BM514" s="75"/>
    </row>
    <row r="515" spans="1:65" ht="12.75" customHeight="1" x14ac:dyDescent="0.2">
      <c r="A515" s="38"/>
      <c r="B515" s="38"/>
      <c r="C515" s="75"/>
      <c r="D515" s="75"/>
      <c r="E515" s="75"/>
      <c r="F515" s="75"/>
      <c r="G515" s="75"/>
      <c r="H515" s="75"/>
      <c r="I515" s="75"/>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t="s">
        <v>439</v>
      </c>
      <c r="BG515" s="75"/>
      <c r="BH515" s="75"/>
      <c r="BI515" s="75" t="s">
        <v>439</v>
      </c>
      <c r="BJ515" s="75"/>
      <c r="BK515" s="75"/>
      <c r="BL515" s="75" t="s">
        <v>439</v>
      </c>
      <c r="BM515" s="75"/>
    </row>
    <row r="516" spans="1:65" ht="12.75" customHeight="1" x14ac:dyDescent="0.2">
      <c r="A516" s="38"/>
      <c r="B516" s="38"/>
      <c r="C516" s="75"/>
      <c r="D516" s="75"/>
      <c r="E516" s="75"/>
      <c r="F516" s="75"/>
      <c r="G516" s="75"/>
      <c r="H516" s="75"/>
      <c r="I516" s="75"/>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t="s">
        <v>439</v>
      </c>
      <c r="BG516" s="75"/>
      <c r="BH516" s="75"/>
      <c r="BI516" s="75" t="s">
        <v>439</v>
      </c>
      <c r="BJ516" s="75"/>
      <c r="BK516" s="75"/>
      <c r="BL516" s="75" t="s">
        <v>439</v>
      </c>
      <c r="BM516" s="75"/>
    </row>
    <row r="517" spans="1:65" ht="12.75" customHeight="1" x14ac:dyDescent="0.2">
      <c r="A517" s="38"/>
      <c r="B517" s="38"/>
      <c r="C517" s="75"/>
      <c r="D517" s="75"/>
      <c r="E517" s="75"/>
      <c r="F517" s="75"/>
      <c r="G517" s="75"/>
      <c r="H517" s="75"/>
      <c r="I517" s="75"/>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t="s">
        <v>439</v>
      </c>
      <c r="BG517" s="75"/>
      <c r="BH517" s="75"/>
      <c r="BI517" s="75" t="s">
        <v>439</v>
      </c>
      <c r="BJ517" s="75"/>
      <c r="BK517" s="75"/>
      <c r="BL517" s="75" t="s">
        <v>439</v>
      </c>
      <c r="BM517" s="75"/>
    </row>
    <row r="518" spans="1:65" ht="12.75" customHeight="1" x14ac:dyDescent="0.2">
      <c r="A518" s="38"/>
      <c r="B518" s="38"/>
      <c r="C518" s="75"/>
      <c r="D518" s="75"/>
      <c r="E518" s="75"/>
      <c r="F518" s="75"/>
      <c r="G518" s="75"/>
      <c r="H518" s="75"/>
      <c r="I518" s="75"/>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t="s">
        <v>439</v>
      </c>
      <c r="BG518" s="75"/>
      <c r="BH518" s="75"/>
      <c r="BI518" s="75" t="s">
        <v>439</v>
      </c>
      <c r="BJ518" s="75"/>
      <c r="BK518" s="75"/>
      <c r="BL518" s="75" t="s">
        <v>439</v>
      </c>
      <c r="BM518" s="75"/>
    </row>
    <row r="519" spans="1:65" ht="12.75" customHeight="1" x14ac:dyDescent="0.2">
      <c r="A519" s="38"/>
      <c r="B519" s="38"/>
      <c r="C519" s="75"/>
      <c r="D519" s="75"/>
      <c r="E519" s="75"/>
      <c r="F519" s="75"/>
      <c r="G519" s="75"/>
      <c r="H519" s="75"/>
      <c r="I519" s="75"/>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t="s">
        <v>439</v>
      </c>
      <c r="BG519" s="75"/>
      <c r="BH519" s="75"/>
      <c r="BI519" s="75" t="s">
        <v>439</v>
      </c>
      <c r="BJ519" s="75"/>
      <c r="BK519" s="75"/>
      <c r="BL519" s="75" t="s">
        <v>439</v>
      </c>
      <c r="BM519" s="75"/>
    </row>
    <row r="520" spans="1:65" ht="12.75" customHeight="1" x14ac:dyDescent="0.2">
      <c r="A520" s="38"/>
      <c r="B520" s="38"/>
      <c r="C520" s="75"/>
      <c r="D520" s="75"/>
      <c r="E520" s="75"/>
      <c r="F520" s="75"/>
      <c r="G520" s="75"/>
      <c r="H520" s="75"/>
      <c r="I520" s="75"/>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t="s">
        <v>439</v>
      </c>
      <c r="BG520" s="75"/>
      <c r="BH520" s="75"/>
      <c r="BI520" s="75" t="s">
        <v>439</v>
      </c>
      <c r="BJ520" s="75"/>
      <c r="BK520" s="75"/>
      <c r="BL520" s="75" t="s">
        <v>439</v>
      </c>
      <c r="BM520" s="75"/>
    </row>
    <row r="521" spans="1:65" ht="12.75" customHeight="1" x14ac:dyDescent="0.2">
      <c r="A521" s="38"/>
      <c r="B521" s="38"/>
      <c r="C521" s="75"/>
      <c r="D521" s="75"/>
      <c r="E521" s="75"/>
      <c r="F521" s="75"/>
      <c r="G521" s="75"/>
      <c r="H521" s="75"/>
      <c r="I521" s="75"/>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t="s">
        <v>439</v>
      </c>
      <c r="BG521" s="75"/>
      <c r="BH521" s="75"/>
      <c r="BI521" s="75" t="s">
        <v>439</v>
      </c>
      <c r="BJ521" s="75"/>
      <c r="BK521" s="75"/>
      <c r="BL521" s="75" t="s">
        <v>439</v>
      </c>
      <c r="BM521" s="75"/>
    </row>
    <row r="522" spans="1:65" ht="12.75" customHeight="1" x14ac:dyDescent="0.2">
      <c r="A522" s="38"/>
      <c r="B522" s="38"/>
      <c r="C522" s="75"/>
      <c r="D522" s="75"/>
      <c r="E522" s="75"/>
      <c r="F522" s="75"/>
      <c r="G522" s="75"/>
      <c r="H522" s="75"/>
      <c r="I522" s="75"/>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t="s">
        <v>439</v>
      </c>
      <c r="BG522" s="75"/>
      <c r="BH522" s="75"/>
      <c r="BI522" s="75" t="s">
        <v>439</v>
      </c>
      <c r="BJ522" s="75"/>
      <c r="BK522" s="75"/>
      <c r="BL522" s="75" t="s">
        <v>439</v>
      </c>
      <c r="BM522" s="75"/>
    </row>
    <row r="523" spans="1:65" ht="12.75" customHeight="1" x14ac:dyDescent="0.2">
      <c r="A523" s="38"/>
      <c r="B523" s="38"/>
      <c r="C523" s="75"/>
      <c r="D523" s="75"/>
      <c r="E523" s="75"/>
      <c r="F523" s="75"/>
      <c r="G523" s="75"/>
      <c r="H523" s="75"/>
      <c r="I523" s="75"/>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t="s">
        <v>439</v>
      </c>
      <c r="BG523" s="75"/>
      <c r="BH523" s="75"/>
      <c r="BI523" s="75" t="s">
        <v>439</v>
      </c>
      <c r="BJ523" s="75"/>
      <c r="BK523" s="75"/>
      <c r="BL523" s="75" t="s">
        <v>439</v>
      </c>
      <c r="BM523" s="75"/>
    </row>
    <row r="524" spans="1:65" ht="12.75" customHeight="1" x14ac:dyDescent="0.2">
      <c r="A524" s="38"/>
      <c r="B524" s="38"/>
      <c r="C524" s="75"/>
      <c r="D524" s="75"/>
      <c r="E524" s="75"/>
      <c r="F524" s="75"/>
      <c r="G524" s="75"/>
      <c r="H524" s="75"/>
      <c r="I524" s="75"/>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t="s">
        <v>439</v>
      </c>
      <c r="BG524" s="75"/>
      <c r="BH524" s="75"/>
      <c r="BI524" s="75" t="s">
        <v>439</v>
      </c>
      <c r="BJ524" s="75"/>
      <c r="BK524" s="75"/>
      <c r="BL524" s="75" t="s">
        <v>439</v>
      </c>
      <c r="BM524" s="75"/>
    </row>
    <row r="525" spans="1:65" ht="12.75" customHeight="1" x14ac:dyDescent="0.2">
      <c r="A525" s="38"/>
      <c r="B525" s="38"/>
      <c r="C525" s="75"/>
      <c r="D525" s="75"/>
      <c r="E525" s="75"/>
      <c r="F525" s="75"/>
      <c r="G525" s="75"/>
      <c r="H525" s="75"/>
      <c r="I525" s="75"/>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t="s">
        <v>439</v>
      </c>
      <c r="BG525" s="75"/>
      <c r="BH525" s="75"/>
      <c r="BI525" s="75" t="s">
        <v>439</v>
      </c>
      <c r="BJ525" s="75"/>
      <c r="BK525" s="75"/>
      <c r="BL525" s="75" t="s">
        <v>439</v>
      </c>
      <c r="BM525" s="75"/>
    </row>
    <row r="526" spans="1:65" ht="12.75" customHeight="1" x14ac:dyDescent="0.2">
      <c r="A526" s="38"/>
      <c r="B526" s="38"/>
      <c r="C526" s="75"/>
      <c r="D526" s="75"/>
      <c r="E526" s="75"/>
      <c r="F526" s="75"/>
      <c r="G526" s="75"/>
      <c r="H526" s="75"/>
      <c r="I526" s="75"/>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t="s">
        <v>439</v>
      </c>
      <c r="BG526" s="75"/>
      <c r="BH526" s="75"/>
      <c r="BI526" s="75" t="s">
        <v>439</v>
      </c>
      <c r="BJ526" s="75"/>
      <c r="BK526" s="75"/>
      <c r="BL526" s="75" t="s">
        <v>439</v>
      </c>
      <c r="BM526" s="75"/>
    </row>
    <row r="527" spans="1:65" ht="12.75" customHeight="1" x14ac:dyDescent="0.2">
      <c r="A527" s="38"/>
      <c r="B527" s="38"/>
      <c r="C527" s="75"/>
      <c r="D527" s="75"/>
      <c r="E527" s="75"/>
      <c r="F527" s="75"/>
      <c r="G527" s="75"/>
      <c r="H527" s="75"/>
      <c r="I527" s="75"/>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t="s">
        <v>439</v>
      </c>
      <c r="BG527" s="75"/>
      <c r="BH527" s="75"/>
      <c r="BI527" s="75" t="s">
        <v>439</v>
      </c>
      <c r="BJ527" s="75"/>
      <c r="BK527" s="75"/>
      <c r="BL527" s="75" t="s">
        <v>439</v>
      </c>
      <c r="BM527" s="75"/>
    </row>
    <row r="528" spans="1:65" ht="12.75" customHeight="1" x14ac:dyDescent="0.2">
      <c r="A528" s="38"/>
      <c r="B528" s="38"/>
      <c r="C528" s="75"/>
      <c r="D528" s="75"/>
      <c r="E528" s="75"/>
      <c r="F528" s="75"/>
      <c r="G528" s="75"/>
      <c r="H528" s="75"/>
      <c r="I528" s="75"/>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t="s">
        <v>439</v>
      </c>
      <c r="BG528" s="75"/>
      <c r="BH528" s="75"/>
      <c r="BI528" s="75" t="s">
        <v>439</v>
      </c>
      <c r="BJ528" s="75"/>
      <c r="BK528" s="75"/>
      <c r="BL528" s="75" t="s">
        <v>439</v>
      </c>
      <c r="BM528" s="75"/>
    </row>
    <row r="529" spans="1:65" ht="12.75" customHeight="1" x14ac:dyDescent="0.2">
      <c r="A529" s="38"/>
      <c r="B529" s="38"/>
      <c r="C529" s="75"/>
      <c r="D529" s="75"/>
      <c r="E529" s="75"/>
      <c r="F529" s="75"/>
      <c r="G529" s="75"/>
      <c r="H529" s="75"/>
      <c r="I529" s="75"/>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t="s">
        <v>439</v>
      </c>
      <c r="BG529" s="75"/>
      <c r="BH529" s="75"/>
      <c r="BI529" s="75" t="s">
        <v>439</v>
      </c>
      <c r="BJ529" s="75"/>
      <c r="BK529" s="75"/>
      <c r="BL529" s="75" t="s">
        <v>439</v>
      </c>
      <c r="BM529" s="75"/>
    </row>
    <row r="530" spans="1:65" ht="12.75" customHeight="1" x14ac:dyDescent="0.2">
      <c r="A530" s="38"/>
      <c r="B530" s="38"/>
      <c r="C530" s="75"/>
      <c r="D530" s="75"/>
      <c r="E530" s="75"/>
      <c r="F530" s="75"/>
      <c r="G530" s="75"/>
      <c r="H530" s="75"/>
      <c r="I530" s="75"/>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t="s">
        <v>439</v>
      </c>
      <c r="BG530" s="75"/>
      <c r="BH530" s="75"/>
      <c r="BI530" s="75" t="s">
        <v>439</v>
      </c>
      <c r="BJ530" s="75"/>
      <c r="BK530" s="75"/>
      <c r="BL530" s="75" t="s">
        <v>439</v>
      </c>
      <c r="BM530" s="75"/>
    </row>
    <row r="531" spans="1:65" ht="12.75" customHeight="1" x14ac:dyDescent="0.2">
      <c r="A531" s="38"/>
      <c r="B531" s="38"/>
      <c r="C531" s="75"/>
      <c r="D531" s="75"/>
      <c r="E531" s="75"/>
      <c r="F531" s="75"/>
      <c r="G531" s="75"/>
      <c r="H531" s="75"/>
      <c r="I531" s="75"/>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t="s">
        <v>439</v>
      </c>
      <c r="BG531" s="75"/>
      <c r="BH531" s="75"/>
      <c r="BI531" s="75" t="s">
        <v>439</v>
      </c>
      <c r="BJ531" s="75"/>
      <c r="BK531" s="75"/>
      <c r="BL531" s="75" t="s">
        <v>439</v>
      </c>
      <c r="BM531" s="75"/>
    </row>
    <row r="532" spans="1:65" ht="12.75" customHeight="1" x14ac:dyDescent="0.2">
      <c r="A532" s="38"/>
      <c r="B532" s="38"/>
      <c r="C532" s="75"/>
      <c r="D532" s="75"/>
      <c r="E532" s="75"/>
      <c r="F532" s="75"/>
      <c r="G532" s="75"/>
      <c r="H532" s="75"/>
      <c r="I532" s="75"/>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t="s">
        <v>439</v>
      </c>
      <c r="BG532" s="75"/>
      <c r="BH532" s="75"/>
      <c r="BI532" s="75" t="s">
        <v>439</v>
      </c>
      <c r="BJ532" s="75"/>
      <c r="BK532" s="75"/>
      <c r="BL532" s="75" t="s">
        <v>439</v>
      </c>
      <c r="BM532" s="75"/>
    </row>
    <row r="533" spans="1:65" ht="12.75" customHeight="1" x14ac:dyDescent="0.2">
      <c r="A533" s="38"/>
      <c r="B533" s="38"/>
      <c r="C533" s="75"/>
      <c r="D533" s="75"/>
      <c r="E533" s="75"/>
      <c r="F533" s="75"/>
      <c r="G533" s="75"/>
      <c r="H533" s="75"/>
      <c r="I533" s="75"/>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t="s">
        <v>439</v>
      </c>
      <c r="BG533" s="75"/>
      <c r="BH533" s="75"/>
      <c r="BI533" s="75" t="s">
        <v>439</v>
      </c>
      <c r="BJ533" s="75"/>
      <c r="BK533" s="75"/>
      <c r="BL533" s="75" t="s">
        <v>439</v>
      </c>
      <c r="BM533" s="75"/>
    </row>
    <row r="534" spans="1:65" ht="12.75" customHeight="1" x14ac:dyDescent="0.2">
      <c r="A534" s="38"/>
      <c r="B534" s="38"/>
      <c r="C534" s="75"/>
      <c r="D534" s="75"/>
      <c r="E534" s="75"/>
      <c r="F534" s="75"/>
      <c r="G534" s="75"/>
      <c r="H534" s="75"/>
      <c r="I534" s="75"/>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t="s">
        <v>439</v>
      </c>
      <c r="BG534" s="75"/>
      <c r="BH534" s="75"/>
      <c r="BI534" s="75" t="s">
        <v>439</v>
      </c>
      <c r="BJ534" s="75"/>
      <c r="BK534" s="75"/>
      <c r="BL534" s="75" t="s">
        <v>439</v>
      </c>
      <c r="BM534" s="75"/>
    </row>
    <row r="535" spans="1:65" ht="12.75" customHeight="1" x14ac:dyDescent="0.2">
      <c r="A535" s="38"/>
      <c r="B535" s="38"/>
      <c r="C535" s="75"/>
      <c r="D535" s="75"/>
      <c r="E535" s="75"/>
      <c r="F535" s="75"/>
      <c r="G535" s="75"/>
      <c r="H535" s="75"/>
      <c r="I535" s="75"/>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t="s">
        <v>439</v>
      </c>
      <c r="BG535" s="75"/>
      <c r="BH535" s="75"/>
      <c r="BI535" s="75" t="s">
        <v>439</v>
      </c>
      <c r="BJ535" s="75"/>
      <c r="BK535" s="75"/>
      <c r="BL535" s="75" t="s">
        <v>439</v>
      </c>
      <c r="BM535" s="75"/>
    </row>
    <row r="536" spans="1:65" ht="12.75" customHeight="1" x14ac:dyDescent="0.2">
      <c r="A536" s="38"/>
      <c r="B536" s="38"/>
      <c r="C536" s="75"/>
      <c r="D536" s="75"/>
      <c r="E536" s="75"/>
      <c r="F536" s="75"/>
      <c r="G536" s="75"/>
      <c r="H536" s="75"/>
      <c r="I536" s="75"/>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t="s">
        <v>439</v>
      </c>
      <c r="BG536" s="75"/>
      <c r="BH536" s="75"/>
      <c r="BI536" s="75" t="s">
        <v>439</v>
      </c>
      <c r="BJ536" s="75"/>
      <c r="BK536" s="75"/>
      <c r="BL536" s="75" t="s">
        <v>439</v>
      </c>
      <c r="BM536" s="75"/>
    </row>
    <row r="537" spans="1:65" ht="12.75" customHeight="1" x14ac:dyDescent="0.2">
      <c r="A537" s="38"/>
      <c r="B537" s="38"/>
      <c r="C537" s="75"/>
      <c r="D537" s="75"/>
      <c r="E537" s="75"/>
      <c r="F537" s="75"/>
      <c r="G537" s="75"/>
      <c r="H537" s="75"/>
      <c r="I537" s="75"/>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t="s">
        <v>439</v>
      </c>
      <c r="BG537" s="75"/>
      <c r="BH537" s="75"/>
      <c r="BI537" s="75" t="s">
        <v>439</v>
      </c>
      <c r="BJ537" s="75"/>
      <c r="BK537" s="75"/>
      <c r="BL537" s="75" t="s">
        <v>439</v>
      </c>
      <c r="BM537" s="75"/>
    </row>
    <row r="538" spans="1:65" ht="12.75" customHeight="1" x14ac:dyDescent="0.2">
      <c r="A538" s="38"/>
      <c r="B538" s="38"/>
      <c r="C538" s="75"/>
      <c r="D538" s="75"/>
      <c r="E538" s="75"/>
      <c r="F538" s="75"/>
      <c r="G538" s="75"/>
      <c r="H538" s="75"/>
      <c r="I538" s="75"/>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t="s">
        <v>439</v>
      </c>
      <c r="BG538" s="75"/>
      <c r="BH538" s="75"/>
      <c r="BI538" s="75" t="s">
        <v>439</v>
      </c>
      <c r="BJ538" s="75"/>
      <c r="BK538" s="75"/>
      <c r="BL538" s="75" t="s">
        <v>439</v>
      </c>
      <c r="BM538" s="75"/>
    </row>
    <row r="539" spans="1:65" ht="12.75" customHeight="1" x14ac:dyDescent="0.2">
      <c r="A539" s="38"/>
      <c r="B539" s="38"/>
      <c r="C539" s="75"/>
      <c r="D539" s="75"/>
      <c r="E539" s="75"/>
      <c r="F539" s="75"/>
      <c r="G539" s="75"/>
      <c r="H539" s="75"/>
      <c r="I539" s="75"/>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t="s">
        <v>439</v>
      </c>
      <c r="BG539" s="75"/>
      <c r="BH539" s="75"/>
      <c r="BI539" s="75" t="s">
        <v>439</v>
      </c>
      <c r="BJ539" s="75"/>
      <c r="BK539" s="75"/>
      <c r="BL539" s="75" t="s">
        <v>439</v>
      </c>
      <c r="BM539" s="75"/>
    </row>
    <row r="540" spans="1:65" ht="12.75" customHeight="1" x14ac:dyDescent="0.2">
      <c r="A540" s="38"/>
      <c r="B540" s="38"/>
      <c r="C540" s="75"/>
      <c r="D540" s="75"/>
      <c r="E540" s="75"/>
      <c r="F540" s="75"/>
      <c r="G540" s="75"/>
      <c r="H540" s="75"/>
      <c r="I540" s="75"/>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t="s">
        <v>439</v>
      </c>
      <c r="BG540" s="75"/>
      <c r="BH540" s="75"/>
      <c r="BI540" s="75" t="s">
        <v>439</v>
      </c>
      <c r="BJ540" s="75"/>
      <c r="BK540" s="75"/>
      <c r="BL540" s="75" t="s">
        <v>439</v>
      </c>
      <c r="BM540" s="75"/>
    </row>
    <row r="541" spans="1:65" ht="12.75" customHeight="1" x14ac:dyDescent="0.2">
      <c r="A541" s="38"/>
      <c r="B541" s="38"/>
      <c r="C541" s="75"/>
      <c r="D541" s="75"/>
      <c r="E541" s="75"/>
      <c r="F541" s="75"/>
      <c r="G541" s="75"/>
      <c r="H541" s="75"/>
      <c r="I541" s="75"/>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t="s">
        <v>439</v>
      </c>
      <c r="BG541" s="75"/>
      <c r="BH541" s="75"/>
      <c r="BI541" s="75" t="s">
        <v>439</v>
      </c>
      <c r="BJ541" s="75"/>
      <c r="BK541" s="75"/>
      <c r="BL541" s="75" t="s">
        <v>439</v>
      </c>
      <c r="BM541" s="75"/>
    </row>
    <row r="542" spans="1:65" ht="12.75" customHeight="1" x14ac:dyDescent="0.2">
      <c r="A542" s="38"/>
      <c r="B542" s="38"/>
      <c r="C542" s="75"/>
      <c r="D542" s="75"/>
      <c r="E542" s="75"/>
      <c r="F542" s="75"/>
      <c r="G542" s="75"/>
      <c r="H542" s="75"/>
      <c r="I542" s="75"/>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t="s">
        <v>439</v>
      </c>
      <c r="BG542" s="75"/>
      <c r="BH542" s="75"/>
      <c r="BI542" s="75" t="s">
        <v>439</v>
      </c>
      <c r="BJ542" s="75"/>
      <c r="BK542" s="75"/>
      <c r="BL542" s="75" t="s">
        <v>439</v>
      </c>
      <c r="BM542" s="75"/>
    </row>
    <row r="543" spans="1:65" ht="12.75" customHeight="1" x14ac:dyDescent="0.2">
      <c r="A543" s="38"/>
      <c r="B543" s="38"/>
      <c r="C543" s="75"/>
      <c r="D543" s="75"/>
      <c r="E543" s="75"/>
      <c r="F543" s="75"/>
      <c r="G543" s="75"/>
      <c r="H543" s="75"/>
      <c r="I543" s="75"/>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t="s">
        <v>439</v>
      </c>
      <c r="BG543" s="75"/>
      <c r="BH543" s="75"/>
      <c r="BI543" s="75" t="s">
        <v>439</v>
      </c>
      <c r="BJ543" s="75"/>
      <c r="BK543" s="75"/>
      <c r="BL543" s="75" t="s">
        <v>439</v>
      </c>
      <c r="BM543" s="75"/>
    </row>
    <row r="544" spans="1:65" ht="12.75" customHeight="1" x14ac:dyDescent="0.2">
      <c r="A544" s="38"/>
      <c r="B544" s="38"/>
      <c r="C544" s="75"/>
      <c r="D544" s="75"/>
      <c r="E544" s="75"/>
      <c r="F544" s="75"/>
      <c r="G544" s="75"/>
      <c r="H544" s="75"/>
      <c r="I544" s="75"/>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t="s">
        <v>439</v>
      </c>
      <c r="BG544" s="75"/>
      <c r="BH544" s="75"/>
      <c r="BI544" s="75" t="s">
        <v>439</v>
      </c>
      <c r="BJ544" s="75"/>
      <c r="BK544" s="75"/>
      <c r="BL544" s="75" t="s">
        <v>439</v>
      </c>
      <c r="BM544" s="75"/>
    </row>
    <row r="545" spans="1:65" ht="12.75" customHeight="1" x14ac:dyDescent="0.2">
      <c r="A545" s="38"/>
      <c r="B545" s="38"/>
      <c r="C545" s="75"/>
      <c r="D545" s="75"/>
      <c r="E545" s="75"/>
      <c r="F545" s="75"/>
      <c r="G545" s="75"/>
      <c r="H545" s="75"/>
      <c r="I545" s="75"/>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t="s">
        <v>439</v>
      </c>
      <c r="BG545" s="75"/>
      <c r="BH545" s="75"/>
      <c r="BI545" s="75" t="s">
        <v>439</v>
      </c>
      <c r="BJ545" s="75"/>
      <c r="BK545" s="75"/>
      <c r="BL545" s="75" t="s">
        <v>439</v>
      </c>
      <c r="BM545" s="75"/>
    </row>
    <row r="546" spans="1:65" ht="12.75" customHeight="1" x14ac:dyDescent="0.2">
      <c r="A546" s="38"/>
      <c r="B546" s="38"/>
      <c r="C546" s="75"/>
      <c r="D546" s="75"/>
      <c r="E546" s="75"/>
      <c r="F546" s="75"/>
      <c r="G546" s="75"/>
      <c r="H546" s="75"/>
      <c r="I546" s="75"/>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t="s">
        <v>439</v>
      </c>
      <c r="BG546" s="75"/>
      <c r="BH546" s="75"/>
      <c r="BI546" s="75" t="s">
        <v>439</v>
      </c>
      <c r="BJ546" s="75"/>
      <c r="BK546" s="75"/>
      <c r="BL546" s="75" t="s">
        <v>439</v>
      </c>
      <c r="BM546" s="75"/>
    </row>
    <row r="547" spans="1:65" ht="12.75" customHeight="1" x14ac:dyDescent="0.2">
      <c r="A547" s="38"/>
      <c r="B547" s="38"/>
      <c r="C547" s="75"/>
      <c r="D547" s="75"/>
      <c r="E547" s="75"/>
      <c r="F547" s="75"/>
      <c r="G547" s="75"/>
      <c r="H547" s="75"/>
      <c r="I547" s="75"/>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t="s">
        <v>439</v>
      </c>
      <c r="BG547" s="75"/>
      <c r="BH547" s="75"/>
      <c r="BI547" s="75" t="s">
        <v>439</v>
      </c>
      <c r="BJ547" s="75"/>
      <c r="BK547" s="75"/>
      <c r="BL547" s="75" t="s">
        <v>439</v>
      </c>
      <c r="BM547" s="75"/>
    </row>
    <row r="548" spans="1:65" ht="12.75" customHeight="1" x14ac:dyDescent="0.2">
      <c r="A548" s="38"/>
      <c r="B548" s="38"/>
      <c r="C548" s="75"/>
      <c r="D548" s="75"/>
      <c r="E548" s="75"/>
      <c r="F548" s="75"/>
      <c r="G548" s="75"/>
      <c r="H548" s="75"/>
      <c r="I548" s="75"/>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t="s">
        <v>439</v>
      </c>
      <c r="BG548" s="75"/>
      <c r="BH548" s="75"/>
      <c r="BI548" s="75" t="s">
        <v>439</v>
      </c>
      <c r="BJ548" s="75"/>
      <c r="BK548" s="75"/>
      <c r="BL548" s="75" t="s">
        <v>439</v>
      </c>
      <c r="BM548" s="75"/>
    </row>
    <row r="549" spans="1:65" ht="12.75" customHeight="1" x14ac:dyDescent="0.2">
      <c r="A549" s="38"/>
      <c r="B549" s="38"/>
      <c r="C549" s="75"/>
      <c r="D549" s="75"/>
      <c r="E549" s="75"/>
      <c r="F549" s="75"/>
      <c r="G549" s="75"/>
      <c r="H549" s="75"/>
      <c r="I549" s="75"/>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t="s">
        <v>439</v>
      </c>
      <c r="BG549" s="75"/>
      <c r="BH549" s="75"/>
      <c r="BI549" s="75" t="s">
        <v>439</v>
      </c>
      <c r="BJ549" s="75"/>
      <c r="BK549" s="75"/>
      <c r="BL549" s="75" t="s">
        <v>439</v>
      </c>
      <c r="BM549" s="75"/>
    </row>
    <row r="550" spans="1:65" ht="12.75" customHeight="1" x14ac:dyDescent="0.2">
      <c r="A550" s="38"/>
      <c r="B550" s="38"/>
      <c r="C550" s="75"/>
      <c r="D550" s="75"/>
      <c r="E550" s="75"/>
      <c r="F550" s="75"/>
      <c r="G550" s="75"/>
      <c r="H550" s="75"/>
      <c r="I550" s="75"/>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t="s">
        <v>439</v>
      </c>
      <c r="BG550" s="75"/>
      <c r="BH550" s="75"/>
      <c r="BI550" s="75" t="s">
        <v>439</v>
      </c>
      <c r="BJ550" s="75"/>
      <c r="BK550" s="75"/>
      <c r="BL550" s="75" t="s">
        <v>439</v>
      </c>
      <c r="BM550" s="75"/>
    </row>
    <row r="551" spans="1:65" ht="12.75" customHeight="1" x14ac:dyDescent="0.2">
      <c r="A551" s="38"/>
      <c r="B551" s="38"/>
      <c r="C551" s="75"/>
      <c r="D551" s="75"/>
      <c r="E551" s="75"/>
      <c r="F551" s="75"/>
      <c r="G551" s="75"/>
      <c r="H551" s="75"/>
      <c r="I551" s="75"/>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t="s">
        <v>439</v>
      </c>
      <c r="BG551" s="75"/>
      <c r="BH551" s="75"/>
      <c r="BI551" s="75" t="s">
        <v>439</v>
      </c>
      <c r="BJ551" s="75"/>
      <c r="BK551" s="75"/>
      <c r="BL551" s="75" t="s">
        <v>439</v>
      </c>
      <c r="BM551" s="75"/>
    </row>
    <row r="552" spans="1:65" ht="12.75" customHeight="1" x14ac:dyDescent="0.2">
      <c r="A552" s="38"/>
      <c r="B552" s="38"/>
      <c r="C552" s="75"/>
      <c r="D552" s="75"/>
      <c r="E552" s="75"/>
      <c r="F552" s="75"/>
      <c r="G552" s="75"/>
      <c r="H552" s="75"/>
      <c r="I552" s="75"/>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t="s">
        <v>439</v>
      </c>
      <c r="BG552" s="75"/>
      <c r="BH552" s="75"/>
      <c r="BI552" s="75" t="s">
        <v>439</v>
      </c>
      <c r="BJ552" s="75"/>
      <c r="BK552" s="75"/>
      <c r="BL552" s="75" t="s">
        <v>439</v>
      </c>
      <c r="BM552" s="75"/>
    </row>
    <row r="553" spans="1:65" ht="12.75" customHeight="1" x14ac:dyDescent="0.2">
      <c r="A553" s="38"/>
      <c r="B553" s="38"/>
      <c r="C553" s="75"/>
      <c r="D553" s="75"/>
      <c r="E553" s="75"/>
      <c r="F553" s="75"/>
      <c r="G553" s="75"/>
      <c r="H553" s="75"/>
      <c r="I553" s="75"/>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t="s">
        <v>439</v>
      </c>
      <c r="BG553" s="75"/>
      <c r="BH553" s="75"/>
      <c r="BI553" s="75" t="s">
        <v>439</v>
      </c>
      <c r="BJ553" s="75"/>
      <c r="BK553" s="75"/>
      <c r="BL553" s="75" t="s">
        <v>439</v>
      </c>
      <c r="BM553" s="75"/>
    </row>
    <row r="554" spans="1:65" ht="12.75" customHeight="1" x14ac:dyDescent="0.2">
      <c r="A554" s="38"/>
      <c r="B554" s="38"/>
      <c r="C554" s="75"/>
      <c r="D554" s="75"/>
      <c r="E554" s="75"/>
      <c r="F554" s="75"/>
      <c r="G554" s="75"/>
      <c r="H554" s="75"/>
      <c r="I554" s="75"/>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t="s">
        <v>439</v>
      </c>
      <c r="BG554" s="75"/>
      <c r="BH554" s="75"/>
      <c r="BI554" s="75" t="s">
        <v>439</v>
      </c>
      <c r="BJ554" s="75"/>
      <c r="BK554" s="75"/>
      <c r="BL554" s="75" t="s">
        <v>439</v>
      </c>
      <c r="BM554" s="75"/>
    </row>
    <row r="555" spans="1:65" ht="12.75" customHeight="1" x14ac:dyDescent="0.2">
      <c r="A555" s="38"/>
      <c r="B555" s="38"/>
      <c r="C555" s="75"/>
      <c r="D555" s="75"/>
      <c r="E555" s="75"/>
      <c r="F555" s="75"/>
      <c r="G555" s="75"/>
      <c r="H555" s="75"/>
      <c r="I555" s="75"/>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t="s">
        <v>439</v>
      </c>
      <c r="BG555" s="75"/>
      <c r="BH555" s="75"/>
      <c r="BI555" s="75" t="s">
        <v>439</v>
      </c>
      <c r="BJ555" s="75"/>
      <c r="BK555" s="75"/>
      <c r="BL555" s="75" t="s">
        <v>439</v>
      </c>
      <c r="BM555" s="75"/>
    </row>
    <row r="556" spans="1:65" ht="12.75" customHeight="1" x14ac:dyDescent="0.2">
      <c r="A556" s="38"/>
      <c r="B556" s="38"/>
      <c r="C556" s="75"/>
      <c r="D556" s="75"/>
      <c r="E556" s="75"/>
      <c r="F556" s="75"/>
      <c r="G556" s="75"/>
      <c r="H556" s="75"/>
      <c r="I556" s="75"/>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t="s">
        <v>439</v>
      </c>
      <c r="BG556" s="75"/>
      <c r="BH556" s="75"/>
      <c r="BI556" s="75" t="s">
        <v>439</v>
      </c>
      <c r="BJ556" s="75"/>
      <c r="BK556" s="75"/>
      <c r="BL556" s="75" t="s">
        <v>439</v>
      </c>
      <c r="BM556" s="75"/>
    </row>
    <row r="557" spans="1:65" ht="12.75" customHeight="1" x14ac:dyDescent="0.2">
      <c r="A557" s="38"/>
      <c r="B557" s="38"/>
      <c r="C557" s="75"/>
      <c r="D557" s="75"/>
      <c r="E557" s="75"/>
      <c r="F557" s="75"/>
      <c r="G557" s="75"/>
      <c r="H557" s="75"/>
      <c r="I557" s="75"/>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t="s">
        <v>439</v>
      </c>
      <c r="BG557" s="75"/>
      <c r="BH557" s="75"/>
      <c r="BI557" s="75" t="s">
        <v>439</v>
      </c>
      <c r="BJ557" s="75"/>
      <c r="BK557" s="75"/>
      <c r="BL557" s="75" t="s">
        <v>439</v>
      </c>
      <c r="BM557" s="75"/>
    </row>
    <row r="558" spans="1:65" ht="12.75" customHeight="1" x14ac:dyDescent="0.2">
      <c r="A558" s="38"/>
      <c r="B558" s="38"/>
      <c r="C558" s="75"/>
      <c r="D558" s="75"/>
      <c r="E558" s="75"/>
      <c r="F558" s="75"/>
      <c r="G558" s="75"/>
      <c r="H558" s="75"/>
      <c r="I558" s="75"/>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t="s">
        <v>439</v>
      </c>
      <c r="BG558" s="75"/>
      <c r="BH558" s="75"/>
      <c r="BI558" s="75" t="s">
        <v>439</v>
      </c>
      <c r="BJ558" s="75"/>
      <c r="BK558" s="75"/>
      <c r="BL558" s="75" t="s">
        <v>439</v>
      </c>
      <c r="BM558" s="75"/>
    </row>
    <row r="559" spans="1:65" ht="12.75" customHeight="1" x14ac:dyDescent="0.2">
      <c r="A559" s="38"/>
      <c r="B559" s="38"/>
      <c r="C559" s="75"/>
      <c r="D559" s="75"/>
      <c r="E559" s="75"/>
      <c r="F559" s="75"/>
      <c r="G559" s="75"/>
      <c r="H559" s="75"/>
      <c r="I559" s="75"/>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t="s">
        <v>439</v>
      </c>
      <c r="BG559" s="75"/>
      <c r="BH559" s="75"/>
      <c r="BI559" s="75" t="s">
        <v>439</v>
      </c>
      <c r="BJ559" s="75"/>
      <c r="BK559" s="75"/>
      <c r="BL559" s="75" t="s">
        <v>439</v>
      </c>
      <c r="BM559" s="75"/>
    </row>
    <row r="560" spans="1:65" ht="12.75" customHeight="1" x14ac:dyDescent="0.2">
      <c r="A560" s="38"/>
      <c r="B560" s="38"/>
      <c r="C560" s="75"/>
      <c r="D560" s="75"/>
      <c r="E560" s="75"/>
      <c r="F560" s="75"/>
      <c r="G560" s="75"/>
      <c r="H560" s="75"/>
      <c r="I560" s="75"/>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t="s">
        <v>439</v>
      </c>
      <c r="BG560" s="75"/>
      <c r="BH560" s="75"/>
      <c r="BI560" s="75" t="s">
        <v>439</v>
      </c>
      <c r="BJ560" s="75"/>
      <c r="BK560" s="75"/>
      <c r="BL560" s="75" t="s">
        <v>439</v>
      </c>
      <c r="BM560" s="75"/>
    </row>
    <row r="561" spans="1:65" ht="12.75" customHeight="1" x14ac:dyDescent="0.2">
      <c r="A561" s="38"/>
      <c r="B561" s="38"/>
      <c r="C561" s="75"/>
      <c r="D561" s="75"/>
      <c r="E561" s="75"/>
      <c r="F561" s="75"/>
      <c r="G561" s="75"/>
      <c r="H561" s="75"/>
      <c r="I561" s="75"/>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t="s">
        <v>439</v>
      </c>
      <c r="BG561" s="75"/>
      <c r="BH561" s="75"/>
      <c r="BI561" s="75" t="s">
        <v>439</v>
      </c>
      <c r="BJ561" s="75"/>
      <c r="BK561" s="75"/>
      <c r="BL561" s="75" t="s">
        <v>439</v>
      </c>
      <c r="BM561" s="75"/>
    </row>
    <row r="562" spans="1:65" ht="12.75" customHeight="1" x14ac:dyDescent="0.2">
      <c r="A562" s="38"/>
      <c r="B562" s="38"/>
      <c r="C562" s="75"/>
      <c r="D562" s="75"/>
      <c r="E562" s="75"/>
      <c r="F562" s="75"/>
      <c r="G562" s="75"/>
      <c r="H562" s="75"/>
      <c r="I562" s="75"/>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t="s">
        <v>439</v>
      </c>
      <c r="BG562" s="75"/>
      <c r="BH562" s="75"/>
      <c r="BI562" s="75" t="s">
        <v>439</v>
      </c>
      <c r="BJ562" s="75"/>
      <c r="BK562" s="75"/>
      <c r="BL562" s="75" t="s">
        <v>439</v>
      </c>
      <c r="BM562" s="75"/>
    </row>
    <row r="563" spans="1:65" ht="12.75" customHeight="1" x14ac:dyDescent="0.2">
      <c r="A563" s="38"/>
      <c r="B563" s="38"/>
      <c r="C563" s="75"/>
      <c r="D563" s="75"/>
      <c r="E563" s="75"/>
      <c r="F563" s="75"/>
      <c r="G563" s="75"/>
      <c r="H563" s="75"/>
      <c r="I563" s="75"/>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t="s">
        <v>439</v>
      </c>
      <c r="BG563" s="75"/>
      <c r="BH563" s="75"/>
      <c r="BI563" s="75" t="s">
        <v>439</v>
      </c>
      <c r="BJ563" s="75"/>
      <c r="BK563" s="75"/>
      <c r="BL563" s="75" t="s">
        <v>439</v>
      </c>
      <c r="BM563" s="75"/>
    </row>
    <row r="564" spans="1:65" ht="12.75" customHeight="1" x14ac:dyDescent="0.2">
      <c r="A564" s="38"/>
      <c r="B564" s="38"/>
      <c r="C564" s="75"/>
      <c r="D564" s="75"/>
      <c r="E564" s="75"/>
      <c r="F564" s="75"/>
      <c r="G564" s="75"/>
      <c r="H564" s="75"/>
      <c r="I564" s="75"/>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t="s">
        <v>439</v>
      </c>
      <c r="BG564" s="75"/>
      <c r="BH564" s="75"/>
      <c r="BI564" s="75" t="s">
        <v>439</v>
      </c>
      <c r="BJ564" s="75"/>
      <c r="BK564" s="75"/>
      <c r="BL564" s="75" t="s">
        <v>439</v>
      </c>
      <c r="BM564" s="75"/>
    </row>
    <row r="565" spans="1:65" ht="12.75" customHeight="1" x14ac:dyDescent="0.2">
      <c r="A565" s="38"/>
      <c r="B565" s="38"/>
      <c r="C565" s="75"/>
      <c r="D565" s="75"/>
      <c r="E565" s="75"/>
      <c r="F565" s="75"/>
      <c r="G565" s="75"/>
      <c r="H565" s="75"/>
      <c r="I565" s="75"/>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t="s">
        <v>439</v>
      </c>
      <c r="BG565" s="75"/>
      <c r="BH565" s="75"/>
      <c r="BI565" s="75" t="s">
        <v>439</v>
      </c>
      <c r="BJ565" s="75"/>
      <c r="BK565" s="75"/>
      <c r="BL565" s="75" t="s">
        <v>439</v>
      </c>
      <c r="BM565" s="75"/>
    </row>
    <row r="566" spans="1:65" ht="12.75" customHeight="1" x14ac:dyDescent="0.2">
      <c r="A566" s="38"/>
      <c r="B566" s="38"/>
      <c r="C566" s="75"/>
      <c r="D566" s="75"/>
      <c r="E566" s="75"/>
      <c r="F566" s="75"/>
      <c r="G566" s="75"/>
      <c r="H566" s="75"/>
      <c r="I566" s="75"/>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t="s">
        <v>439</v>
      </c>
      <c r="BG566" s="75"/>
      <c r="BH566" s="75"/>
      <c r="BI566" s="75" t="s">
        <v>439</v>
      </c>
      <c r="BJ566" s="75"/>
      <c r="BK566" s="75"/>
      <c r="BL566" s="75" t="s">
        <v>439</v>
      </c>
      <c r="BM566" s="75"/>
    </row>
    <row r="567" spans="1:65" ht="12.75" customHeight="1" x14ac:dyDescent="0.2">
      <c r="A567" s="38"/>
      <c r="B567" s="38"/>
      <c r="C567" s="75"/>
      <c r="D567" s="75"/>
      <c r="E567" s="75"/>
      <c r="F567" s="75"/>
      <c r="G567" s="75"/>
      <c r="H567" s="75"/>
      <c r="I567" s="75"/>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t="s">
        <v>439</v>
      </c>
      <c r="BG567" s="75"/>
      <c r="BH567" s="75"/>
      <c r="BI567" s="75" t="s">
        <v>439</v>
      </c>
      <c r="BJ567" s="75"/>
      <c r="BK567" s="75"/>
      <c r="BL567" s="75" t="s">
        <v>439</v>
      </c>
      <c r="BM567" s="75"/>
    </row>
    <row r="568" spans="1:65" ht="12.75" customHeight="1" x14ac:dyDescent="0.2">
      <c r="A568" s="38"/>
      <c r="B568" s="38"/>
      <c r="C568" s="75"/>
      <c r="D568" s="75"/>
      <c r="E568" s="75"/>
      <c r="F568" s="75"/>
      <c r="G568" s="75"/>
      <c r="H568" s="75"/>
      <c r="I568" s="75"/>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t="s">
        <v>439</v>
      </c>
      <c r="BG568" s="75"/>
      <c r="BH568" s="75"/>
      <c r="BI568" s="75" t="s">
        <v>439</v>
      </c>
      <c r="BJ568" s="75"/>
      <c r="BK568" s="75"/>
      <c r="BL568" s="75" t="s">
        <v>439</v>
      </c>
      <c r="BM568" s="75"/>
    </row>
    <row r="569" spans="1:65" ht="12.75" customHeight="1" x14ac:dyDescent="0.2">
      <c r="A569" s="38"/>
      <c r="B569" s="38"/>
      <c r="C569" s="75"/>
      <c r="D569" s="75"/>
      <c r="E569" s="75"/>
      <c r="F569" s="75"/>
      <c r="G569" s="75"/>
      <c r="H569" s="75"/>
      <c r="I569" s="75"/>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t="s">
        <v>439</v>
      </c>
      <c r="BG569" s="75"/>
      <c r="BH569" s="75"/>
      <c r="BI569" s="75" t="s">
        <v>439</v>
      </c>
      <c r="BJ569" s="75"/>
      <c r="BK569" s="75"/>
      <c r="BL569" s="75" t="s">
        <v>439</v>
      </c>
      <c r="BM569" s="75"/>
    </row>
    <row r="570" spans="1:65" ht="12.75" customHeight="1" x14ac:dyDescent="0.2">
      <c r="A570" s="38"/>
      <c r="B570" s="38"/>
      <c r="C570" s="75"/>
      <c r="D570" s="75"/>
      <c r="E570" s="75"/>
      <c r="F570" s="75"/>
      <c r="G570" s="75"/>
      <c r="H570" s="75"/>
      <c r="I570" s="75"/>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t="s">
        <v>439</v>
      </c>
      <c r="BG570" s="75"/>
      <c r="BH570" s="75"/>
      <c r="BI570" s="75" t="s">
        <v>439</v>
      </c>
      <c r="BJ570" s="75"/>
      <c r="BK570" s="75"/>
      <c r="BL570" s="75" t="s">
        <v>439</v>
      </c>
      <c r="BM570" s="75"/>
    </row>
    <row r="571" spans="1:65" ht="12.75" customHeight="1" x14ac:dyDescent="0.2">
      <c r="A571" s="38"/>
      <c r="B571" s="38"/>
      <c r="C571" s="75"/>
      <c r="D571" s="75"/>
      <c r="E571" s="75"/>
      <c r="F571" s="75"/>
      <c r="G571" s="75"/>
      <c r="H571" s="75"/>
      <c r="I571" s="75"/>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t="s">
        <v>439</v>
      </c>
      <c r="BG571" s="75"/>
      <c r="BH571" s="75"/>
      <c r="BI571" s="75" t="s">
        <v>439</v>
      </c>
      <c r="BJ571" s="75"/>
      <c r="BK571" s="75"/>
      <c r="BL571" s="75" t="s">
        <v>439</v>
      </c>
      <c r="BM571" s="75"/>
    </row>
    <row r="572" spans="1:65" ht="12.75" customHeight="1" x14ac:dyDescent="0.2">
      <c r="A572" s="38"/>
      <c r="B572" s="38"/>
      <c r="C572" s="75"/>
      <c r="D572" s="75"/>
      <c r="E572" s="75"/>
      <c r="F572" s="75"/>
      <c r="G572" s="75"/>
      <c r="H572" s="75"/>
      <c r="I572" s="75"/>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t="s">
        <v>439</v>
      </c>
      <c r="BG572" s="75"/>
      <c r="BH572" s="75"/>
      <c r="BI572" s="75" t="s">
        <v>439</v>
      </c>
      <c r="BJ572" s="75"/>
      <c r="BK572" s="75"/>
      <c r="BL572" s="75" t="s">
        <v>439</v>
      </c>
      <c r="BM572" s="75"/>
    </row>
    <row r="573" spans="1:65" ht="12.75" customHeight="1" x14ac:dyDescent="0.2">
      <c r="A573" s="38"/>
      <c r="B573" s="38"/>
      <c r="C573" s="75"/>
      <c r="D573" s="75"/>
      <c r="E573" s="75"/>
      <c r="F573" s="75"/>
      <c r="G573" s="75"/>
      <c r="H573" s="75"/>
      <c r="I573" s="75"/>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t="s">
        <v>439</v>
      </c>
      <c r="BG573" s="75"/>
      <c r="BH573" s="75"/>
      <c r="BI573" s="75" t="s">
        <v>439</v>
      </c>
      <c r="BJ573" s="75"/>
      <c r="BK573" s="75"/>
      <c r="BL573" s="75" t="s">
        <v>439</v>
      </c>
      <c r="BM573" s="75"/>
    </row>
    <row r="574" spans="1:65" ht="12.75" customHeight="1" x14ac:dyDescent="0.2">
      <c r="A574" s="38"/>
      <c r="B574" s="38"/>
      <c r="C574" s="75"/>
      <c r="D574" s="75"/>
      <c r="E574" s="75"/>
      <c r="F574" s="75"/>
      <c r="G574" s="75"/>
      <c r="H574" s="75"/>
      <c r="I574" s="75"/>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t="s">
        <v>439</v>
      </c>
      <c r="BG574" s="75"/>
      <c r="BH574" s="75"/>
      <c r="BI574" s="75" t="s">
        <v>439</v>
      </c>
      <c r="BJ574" s="75"/>
      <c r="BK574" s="75"/>
      <c r="BL574" s="75" t="s">
        <v>439</v>
      </c>
      <c r="BM574" s="75"/>
    </row>
    <row r="575" spans="1:65" ht="12.75" customHeight="1" x14ac:dyDescent="0.2">
      <c r="A575" s="38"/>
      <c r="B575" s="38"/>
      <c r="C575" s="75"/>
      <c r="D575" s="75"/>
      <c r="E575" s="75"/>
      <c r="F575" s="75"/>
      <c r="G575" s="75"/>
      <c r="H575" s="75"/>
      <c r="I575" s="75"/>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t="s">
        <v>439</v>
      </c>
      <c r="BG575" s="75"/>
      <c r="BH575" s="75"/>
      <c r="BI575" s="75" t="s">
        <v>439</v>
      </c>
      <c r="BJ575" s="75"/>
      <c r="BK575" s="75"/>
      <c r="BL575" s="75" t="s">
        <v>439</v>
      </c>
      <c r="BM575" s="75"/>
    </row>
    <row r="576" spans="1:65" ht="12.75" customHeight="1" x14ac:dyDescent="0.2">
      <c r="A576" s="38"/>
      <c r="B576" s="38"/>
      <c r="C576" s="75"/>
      <c r="D576" s="75"/>
      <c r="E576" s="75"/>
      <c r="F576" s="75"/>
      <c r="G576" s="75"/>
      <c r="H576" s="75"/>
      <c r="I576" s="75"/>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t="s">
        <v>439</v>
      </c>
      <c r="BG576" s="75"/>
      <c r="BH576" s="75"/>
      <c r="BI576" s="75" t="s">
        <v>439</v>
      </c>
      <c r="BJ576" s="75"/>
      <c r="BK576" s="75"/>
      <c r="BL576" s="75" t="s">
        <v>439</v>
      </c>
      <c r="BM576" s="75"/>
    </row>
    <row r="577" spans="1:65" ht="12.75" customHeight="1" x14ac:dyDescent="0.2">
      <c r="A577" s="38"/>
      <c r="B577" s="38"/>
      <c r="C577" s="75"/>
      <c r="D577" s="75"/>
      <c r="E577" s="75"/>
      <c r="F577" s="75"/>
      <c r="G577" s="75"/>
      <c r="H577" s="75"/>
      <c r="I577" s="75"/>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t="s">
        <v>439</v>
      </c>
      <c r="BG577" s="75"/>
      <c r="BH577" s="75"/>
      <c r="BI577" s="75" t="s">
        <v>439</v>
      </c>
      <c r="BJ577" s="75"/>
      <c r="BK577" s="75"/>
      <c r="BL577" s="75" t="s">
        <v>439</v>
      </c>
      <c r="BM577" s="75"/>
    </row>
    <row r="578" spans="1:65" ht="12.75" customHeight="1" x14ac:dyDescent="0.2">
      <c r="A578" s="38"/>
      <c r="B578" s="38"/>
      <c r="C578" s="75"/>
      <c r="D578" s="75"/>
      <c r="E578" s="75"/>
      <c r="F578" s="75"/>
      <c r="G578" s="75"/>
      <c r="H578" s="75"/>
      <c r="I578" s="75"/>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t="s">
        <v>439</v>
      </c>
      <c r="BG578" s="75"/>
      <c r="BH578" s="75"/>
      <c r="BI578" s="75" t="s">
        <v>439</v>
      </c>
      <c r="BJ578" s="75"/>
      <c r="BK578" s="75"/>
      <c r="BL578" s="75" t="s">
        <v>439</v>
      </c>
      <c r="BM578" s="75"/>
    </row>
    <row r="579" spans="1:65" ht="12.75" customHeight="1" x14ac:dyDescent="0.2">
      <c r="A579" s="38"/>
      <c r="B579" s="38"/>
      <c r="C579" s="75"/>
      <c r="D579" s="75"/>
      <c r="E579" s="75"/>
      <c r="F579" s="75"/>
      <c r="G579" s="75"/>
      <c r="H579" s="75"/>
      <c r="I579" s="75"/>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t="s">
        <v>439</v>
      </c>
      <c r="BG579" s="75"/>
      <c r="BH579" s="75"/>
      <c r="BI579" s="75" t="s">
        <v>439</v>
      </c>
      <c r="BJ579" s="75"/>
      <c r="BK579" s="75"/>
      <c r="BL579" s="75" t="s">
        <v>439</v>
      </c>
      <c r="BM579" s="75"/>
    </row>
    <row r="580" spans="1:65" ht="12.75" customHeight="1" x14ac:dyDescent="0.2">
      <c r="A580" s="38"/>
      <c r="B580" s="38"/>
      <c r="C580" s="75"/>
      <c r="D580" s="75"/>
      <c r="E580" s="75"/>
      <c r="F580" s="75"/>
      <c r="G580" s="75"/>
      <c r="H580" s="75"/>
      <c r="I580" s="75"/>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t="s">
        <v>439</v>
      </c>
      <c r="BG580" s="75"/>
      <c r="BH580" s="75"/>
      <c r="BI580" s="75" t="s">
        <v>439</v>
      </c>
      <c r="BJ580" s="75"/>
      <c r="BK580" s="75"/>
      <c r="BL580" s="75" t="s">
        <v>439</v>
      </c>
      <c r="BM580" s="75"/>
    </row>
    <row r="581" spans="1:65" ht="12.75" customHeight="1" x14ac:dyDescent="0.2">
      <c r="A581" s="38"/>
      <c r="B581" s="38"/>
      <c r="C581" s="75"/>
      <c r="D581" s="75"/>
      <c r="E581" s="75"/>
      <c r="F581" s="75"/>
      <c r="G581" s="75"/>
      <c r="H581" s="75"/>
      <c r="I581" s="75"/>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t="s">
        <v>439</v>
      </c>
      <c r="BG581" s="75"/>
      <c r="BH581" s="75"/>
      <c r="BI581" s="75" t="s">
        <v>439</v>
      </c>
      <c r="BJ581" s="75"/>
      <c r="BK581" s="75"/>
      <c r="BL581" s="75" t="s">
        <v>439</v>
      </c>
      <c r="BM581" s="75"/>
    </row>
    <row r="582" spans="1:65" ht="12.75" customHeight="1" x14ac:dyDescent="0.2">
      <c r="A582" s="38"/>
      <c r="B582" s="38"/>
      <c r="C582" s="75"/>
      <c r="D582" s="75"/>
      <c r="E582" s="75"/>
      <c r="F582" s="75"/>
      <c r="G582" s="75"/>
      <c r="H582" s="75"/>
      <c r="I582" s="75"/>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t="s">
        <v>439</v>
      </c>
      <c r="BG582" s="75"/>
      <c r="BH582" s="75"/>
      <c r="BI582" s="75" t="s">
        <v>439</v>
      </c>
      <c r="BJ582" s="75"/>
      <c r="BK582" s="75"/>
      <c r="BL582" s="75" t="s">
        <v>439</v>
      </c>
      <c r="BM582" s="75"/>
    </row>
    <row r="583" spans="1:65" ht="12.75" customHeight="1" x14ac:dyDescent="0.2">
      <c r="A583" s="38"/>
      <c r="B583" s="38"/>
      <c r="C583" s="75"/>
      <c r="D583" s="75"/>
      <c r="E583" s="75"/>
      <c r="F583" s="75"/>
      <c r="G583" s="75"/>
      <c r="H583" s="75"/>
      <c r="I583" s="75"/>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t="s">
        <v>439</v>
      </c>
      <c r="BG583" s="75"/>
      <c r="BH583" s="75"/>
      <c r="BI583" s="75" t="s">
        <v>439</v>
      </c>
      <c r="BJ583" s="75"/>
      <c r="BK583" s="75"/>
      <c r="BL583" s="75" t="s">
        <v>439</v>
      </c>
      <c r="BM583" s="75"/>
    </row>
    <row r="584" spans="1:65" ht="12.75" customHeight="1" x14ac:dyDescent="0.2">
      <c r="A584" s="38"/>
      <c r="B584" s="38"/>
      <c r="C584" s="75"/>
      <c r="D584" s="75"/>
      <c r="E584" s="75"/>
      <c r="F584" s="75"/>
      <c r="G584" s="75"/>
      <c r="H584" s="75"/>
      <c r="I584" s="75"/>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t="s">
        <v>439</v>
      </c>
      <c r="BG584" s="75"/>
      <c r="BH584" s="75"/>
      <c r="BI584" s="75" t="s">
        <v>439</v>
      </c>
      <c r="BJ584" s="75"/>
      <c r="BK584" s="75"/>
      <c r="BL584" s="75" t="s">
        <v>439</v>
      </c>
      <c r="BM584" s="75"/>
    </row>
    <row r="585" spans="1:65" ht="12.75" customHeight="1" x14ac:dyDescent="0.2">
      <c r="A585" s="38"/>
      <c r="B585" s="38"/>
      <c r="C585" s="75"/>
      <c r="D585" s="75"/>
      <c r="E585" s="75"/>
      <c r="F585" s="75"/>
      <c r="G585" s="75"/>
      <c r="H585" s="75"/>
      <c r="I585" s="75"/>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t="s">
        <v>439</v>
      </c>
      <c r="BG585" s="75"/>
      <c r="BH585" s="75"/>
      <c r="BI585" s="75" t="s">
        <v>439</v>
      </c>
      <c r="BJ585" s="75"/>
      <c r="BK585" s="75"/>
      <c r="BL585" s="75" t="s">
        <v>439</v>
      </c>
      <c r="BM585" s="75"/>
    </row>
    <row r="586" spans="1:65" ht="12.75" customHeight="1" x14ac:dyDescent="0.2">
      <c r="A586" s="38"/>
      <c r="B586" s="38"/>
      <c r="C586" s="75"/>
      <c r="D586" s="75"/>
      <c r="E586" s="75"/>
      <c r="F586" s="75"/>
      <c r="G586" s="75"/>
      <c r="H586" s="75"/>
      <c r="I586" s="75"/>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t="s">
        <v>439</v>
      </c>
      <c r="BG586" s="75"/>
      <c r="BH586" s="75"/>
      <c r="BI586" s="75" t="s">
        <v>439</v>
      </c>
      <c r="BJ586" s="75"/>
      <c r="BK586" s="75"/>
      <c r="BL586" s="75" t="s">
        <v>439</v>
      </c>
      <c r="BM586" s="75"/>
    </row>
    <row r="587" spans="1:65" ht="12.75" customHeight="1" x14ac:dyDescent="0.2">
      <c r="A587" s="38"/>
      <c r="B587" s="38"/>
      <c r="C587" s="75"/>
      <c r="D587" s="75"/>
      <c r="E587" s="75"/>
      <c r="F587" s="75"/>
      <c r="G587" s="75"/>
      <c r="H587" s="75"/>
      <c r="I587" s="75"/>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t="s">
        <v>439</v>
      </c>
      <c r="BG587" s="75"/>
      <c r="BH587" s="75"/>
      <c r="BI587" s="75" t="s">
        <v>439</v>
      </c>
      <c r="BJ587" s="75"/>
      <c r="BK587" s="75"/>
      <c r="BL587" s="75" t="s">
        <v>439</v>
      </c>
      <c r="BM587" s="75"/>
    </row>
    <row r="588" spans="1:65" ht="12.75" customHeight="1" x14ac:dyDescent="0.2">
      <c r="A588" s="38"/>
      <c r="B588" s="38"/>
      <c r="C588" s="75"/>
      <c r="D588" s="75"/>
      <c r="E588" s="75"/>
      <c r="F588" s="75"/>
      <c r="G588" s="75"/>
      <c r="H588" s="75"/>
      <c r="I588" s="75"/>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t="s">
        <v>439</v>
      </c>
      <c r="BG588" s="75"/>
      <c r="BH588" s="75"/>
      <c r="BI588" s="75" t="s">
        <v>439</v>
      </c>
      <c r="BJ588" s="75"/>
      <c r="BK588" s="75"/>
      <c r="BL588" s="75" t="s">
        <v>439</v>
      </c>
      <c r="BM588" s="75"/>
    </row>
    <row r="589" spans="1:65" ht="12.75" customHeight="1" x14ac:dyDescent="0.2">
      <c r="A589" s="38"/>
      <c r="B589" s="38"/>
      <c r="C589" s="75"/>
      <c r="D589" s="75"/>
      <c r="E589" s="75"/>
      <c r="F589" s="75"/>
      <c r="G589" s="75"/>
      <c r="H589" s="75"/>
      <c r="I589" s="75"/>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t="s">
        <v>439</v>
      </c>
      <c r="BG589" s="75"/>
      <c r="BH589" s="75"/>
      <c r="BI589" s="75" t="s">
        <v>439</v>
      </c>
      <c r="BJ589" s="75"/>
      <c r="BK589" s="75"/>
      <c r="BL589" s="75" t="s">
        <v>439</v>
      </c>
      <c r="BM589" s="75"/>
    </row>
    <row r="590" spans="1:65" ht="12.75" customHeight="1" x14ac:dyDescent="0.2">
      <c r="A590" s="38"/>
      <c r="B590" s="38"/>
      <c r="C590" s="75"/>
      <c r="D590" s="75"/>
      <c r="E590" s="75"/>
      <c r="F590" s="75"/>
      <c r="G590" s="75"/>
      <c r="H590" s="75"/>
      <c r="I590" s="75"/>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t="s">
        <v>439</v>
      </c>
      <c r="BG590" s="75"/>
      <c r="BH590" s="75"/>
      <c r="BI590" s="75" t="s">
        <v>439</v>
      </c>
      <c r="BJ590" s="75"/>
      <c r="BK590" s="75"/>
      <c r="BL590" s="75" t="s">
        <v>439</v>
      </c>
      <c r="BM590" s="75"/>
    </row>
    <row r="591" spans="1:65" ht="12.75" customHeight="1" x14ac:dyDescent="0.2">
      <c r="A591" s="38"/>
      <c r="B591" s="38"/>
      <c r="C591" s="75"/>
      <c r="D591" s="75"/>
      <c r="E591" s="75"/>
      <c r="F591" s="75"/>
      <c r="G591" s="75"/>
      <c r="H591" s="75"/>
      <c r="I591" s="75"/>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t="s">
        <v>439</v>
      </c>
      <c r="BG591" s="75"/>
      <c r="BH591" s="75"/>
      <c r="BI591" s="75" t="s">
        <v>439</v>
      </c>
      <c r="BJ591" s="75"/>
      <c r="BK591" s="75"/>
      <c r="BL591" s="75" t="s">
        <v>439</v>
      </c>
      <c r="BM591" s="75"/>
    </row>
    <row r="592" spans="1:65" ht="12.75" customHeight="1" x14ac:dyDescent="0.2">
      <c r="A592" s="38"/>
      <c r="B592" s="38"/>
      <c r="C592" s="75"/>
      <c r="D592" s="75"/>
      <c r="E592" s="75"/>
      <c r="F592" s="75"/>
      <c r="G592" s="75"/>
      <c r="H592" s="75"/>
      <c r="I592" s="75"/>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t="s">
        <v>439</v>
      </c>
      <c r="BG592" s="75"/>
      <c r="BH592" s="75"/>
      <c r="BI592" s="75" t="s">
        <v>439</v>
      </c>
      <c r="BJ592" s="75"/>
      <c r="BK592" s="75"/>
      <c r="BL592" s="75" t="s">
        <v>439</v>
      </c>
      <c r="BM592" s="75"/>
    </row>
    <row r="593" spans="1:65" ht="12.75" customHeight="1" x14ac:dyDescent="0.2">
      <c r="A593" s="38"/>
      <c r="B593" s="38"/>
      <c r="C593" s="75"/>
      <c r="D593" s="75"/>
      <c r="E593" s="75"/>
      <c r="F593" s="75"/>
      <c r="G593" s="75"/>
      <c r="H593" s="75"/>
      <c r="I593" s="75"/>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t="s">
        <v>439</v>
      </c>
      <c r="BG593" s="75"/>
      <c r="BH593" s="75"/>
      <c r="BI593" s="75" t="s">
        <v>439</v>
      </c>
      <c r="BJ593" s="75"/>
      <c r="BK593" s="75"/>
      <c r="BL593" s="75" t="s">
        <v>439</v>
      </c>
      <c r="BM593" s="75"/>
    </row>
    <row r="594" spans="1:65" ht="12.75" customHeight="1" x14ac:dyDescent="0.2">
      <c r="A594" s="38"/>
      <c r="B594" s="38"/>
      <c r="C594" s="75"/>
      <c r="D594" s="75"/>
      <c r="E594" s="75"/>
      <c r="F594" s="75"/>
      <c r="G594" s="75"/>
      <c r="H594" s="75"/>
      <c r="I594" s="75"/>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t="s">
        <v>439</v>
      </c>
      <c r="BG594" s="75"/>
      <c r="BH594" s="75"/>
      <c r="BI594" s="75" t="s">
        <v>439</v>
      </c>
      <c r="BJ594" s="75"/>
      <c r="BK594" s="75"/>
      <c r="BL594" s="75" t="s">
        <v>439</v>
      </c>
      <c r="BM594" s="75"/>
    </row>
    <row r="595" spans="1:65" ht="12.75" customHeight="1" x14ac:dyDescent="0.2">
      <c r="A595" s="38"/>
      <c r="B595" s="38"/>
      <c r="C595" s="75"/>
      <c r="D595" s="75"/>
      <c r="E595" s="75"/>
      <c r="F595" s="75"/>
      <c r="G595" s="75"/>
      <c r="H595" s="75"/>
      <c r="I595" s="75"/>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t="s">
        <v>439</v>
      </c>
      <c r="BG595" s="75"/>
      <c r="BH595" s="75"/>
      <c r="BI595" s="75" t="s">
        <v>439</v>
      </c>
      <c r="BJ595" s="75"/>
      <c r="BK595" s="75"/>
      <c r="BL595" s="75" t="s">
        <v>439</v>
      </c>
      <c r="BM595" s="75"/>
    </row>
    <row r="596" spans="1:65" ht="12.75" customHeight="1" x14ac:dyDescent="0.2">
      <c r="A596" s="38"/>
      <c r="B596" s="38"/>
      <c r="C596" s="75"/>
      <c r="D596" s="75"/>
      <c r="E596" s="75"/>
      <c r="F596" s="75"/>
      <c r="G596" s="75"/>
      <c r="H596" s="75"/>
      <c r="I596" s="75"/>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t="s">
        <v>439</v>
      </c>
      <c r="BG596" s="75"/>
      <c r="BH596" s="75"/>
      <c r="BI596" s="75" t="s">
        <v>439</v>
      </c>
      <c r="BJ596" s="75"/>
      <c r="BK596" s="75"/>
      <c r="BL596" s="75" t="s">
        <v>439</v>
      </c>
      <c r="BM596" s="75"/>
    </row>
    <row r="597" spans="1:65" ht="12.75" customHeight="1" x14ac:dyDescent="0.2">
      <c r="A597" s="38"/>
      <c r="B597" s="38"/>
      <c r="C597" s="75"/>
      <c r="D597" s="75"/>
      <c r="E597" s="75"/>
      <c r="F597" s="75"/>
      <c r="G597" s="75"/>
      <c r="H597" s="75"/>
      <c r="I597" s="75"/>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t="s">
        <v>439</v>
      </c>
      <c r="BG597" s="75"/>
      <c r="BH597" s="75"/>
      <c r="BI597" s="75" t="s">
        <v>439</v>
      </c>
      <c r="BJ597" s="75"/>
      <c r="BK597" s="75"/>
      <c r="BL597" s="75" t="s">
        <v>439</v>
      </c>
      <c r="BM597" s="75"/>
    </row>
    <row r="598" spans="1:65" ht="12.75" customHeight="1" x14ac:dyDescent="0.2">
      <c r="A598" s="38"/>
      <c r="B598" s="38"/>
      <c r="C598" s="75"/>
      <c r="D598" s="75"/>
      <c r="E598" s="75"/>
      <c r="F598" s="75"/>
      <c r="G598" s="75"/>
      <c r="H598" s="75"/>
      <c r="I598" s="75"/>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t="s">
        <v>439</v>
      </c>
      <c r="BG598" s="75"/>
      <c r="BH598" s="75"/>
      <c r="BI598" s="75" t="s">
        <v>439</v>
      </c>
      <c r="BJ598" s="75"/>
      <c r="BK598" s="75"/>
      <c r="BL598" s="75" t="s">
        <v>439</v>
      </c>
      <c r="BM598" s="75"/>
    </row>
    <row r="599" spans="1:65" ht="12.75" customHeight="1" x14ac:dyDescent="0.2">
      <c r="A599" s="38"/>
      <c r="B599" s="38"/>
      <c r="C599" s="75"/>
      <c r="D599" s="75"/>
      <c r="E599" s="75"/>
      <c r="F599" s="75"/>
      <c r="G599" s="75"/>
      <c r="H599" s="75"/>
      <c r="I599" s="75"/>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t="s">
        <v>439</v>
      </c>
      <c r="BG599" s="75"/>
      <c r="BH599" s="75"/>
      <c r="BI599" s="75" t="s">
        <v>439</v>
      </c>
      <c r="BJ599" s="75"/>
      <c r="BK599" s="75"/>
      <c r="BL599" s="75" t="s">
        <v>439</v>
      </c>
      <c r="BM599" s="75"/>
    </row>
    <row r="600" spans="1:65" ht="12.75" customHeight="1" x14ac:dyDescent="0.2">
      <c r="A600" s="38"/>
      <c r="B600" s="38"/>
      <c r="C600" s="75"/>
      <c r="D600" s="75"/>
      <c r="E600" s="75"/>
      <c r="F600" s="75"/>
      <c r="G600" s="75"/>
      <c r="H600" s="75"/>
      <c r="I600" s="75"/>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t="s">
        <v>439</v>
      </c>
      <c r="BG600" s="75"/>
      <c r="BH600" s="75"/>
      <c r="BI600" s="75" t="s">
        <v>439</v>
      </c>
      <c r="BJ600" s="75"/>
      <c r="BK600" s="75"/>
      <c r="BL600" s="75" t="s">
        <v>439</v>
      </c>
      <c r="BM600" s="75"/>
    </row>
    <row r="601" spans="1:65" ht="12.75" customHeight="1" x14ac:dyDescent="0.2">
      <c r="A601" s="38"/>
      <c r="B601" s="38"/>
      <c r="C601" s="75"/>
      <c r="D601" s="75"/>
      <c r="E601" s="75"/>
      <c r="F601" s="75"/>
      <c r="G601" s="75"/>
      <c r="H601" s="75"/>
      <c r="I601" s="75"/>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t="s">
        <v>439</v>
      </c>
      <c r="BG601" s="75"/>
      <c r="BH601" s="75"/>
      <c r="BI601" s="75" t="s">
        <v>439</v>
      </c>
      <c r="BJ601" s="75"/>
      <c r="BK601" s="75"/>
      <c r="BL601" s="75" t="s">
        <v>439</v>
      </c>
      <c r="BM601" s="75"/>
    </row>
    <row r="602" spans="1:65" ht="12.75" customHeight="1" x14ac:dyDescent="0.2">
      <c r="A602" s="38"/>
      <c r="B602" s="38"/>
      <c r="C602" s="75"/>
      <c r="D602" s="75"/>
      <c r="E602" s="75"/>
      <c r="F602" s="75"/>
      <c r="G602" s="75"/>
      <c r="H602" s="75"/>
      <c r="I602" s="75"/>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t="s">
        <v>439</v>
      </c>
      <c r="BG602" s="75"/>
      <c r="BH602" s="75"/>
      <c r="BI602" s="75" t="s">
        <v>439</v>
      </c>
      <c r="BJ602" s="75"/>
      <c r="BK602" s="75"/>
      <c r="BL602" s="75" t="s">
        <v>439</v>
      </c>
      <c r="BM602" s="75"/>
    </row>
    <row r="603" spans="1:65" ht="12.75" customHeight="1" x14ac:dyDescent="0.2">
      <c r="A603" s="38"/>
      <c r="B603" s="38"/>
      <c r="C603" s="75"/>
      <c r="D603" s="75"/>
      <c r="E603" s="75"/>
      <c r="F603" s="75"/>
      <c r="G603" s="75"/>
      <c r="H603" s="75"/>
      <c r="I603" s="75"/>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t="s">
        <v>439</v>
      </c>
      <c r="BG603" s="75"/>
      <c r="BH603" s="75"/>
      <c r="BI603" s="75" t="s">
        <v>439</v>
      </c>
      <c r="BJ603" s="75"/>
      <c r="BK603" s="75"/>
      <c r="BL603" s="75" t="s">
        <v>439</v>
      </c>
      <c r="BM603" s="75"/>
    </row>
    <row r="604" spans="1:65" ht="12.75" customHeight="1" x14ac:dyDescent="0.2">
      <c r="A604" s="38"/>
      <c r="B604" s="38"/>
      <c r="C604" s="75"/>
      <c r="D604" s="75"/>
      <c r="E604" s="75"/>
      <c r="F604" s="75"/>
      <c r="G604" s="75"/>
      <c r="H604" s="75"/>
      <c r="I604" s="75"/>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t="s">
        <v>439</v>
      </c>
      <c r="BG604" s="75"/>
      <c r="BH604" s="75"/>
      <c r="BI604" s="75" t="s">
        <v>439</v>
      </c>
      <c r="BJ604" s="75"/>
      <c r="BK604" s="75"/>
      <c r="BL604" s="75" t="s">
        <v>439</v>
      </c>
      <c r="BM604" s="75"/>
    </row>
    <row r="605" spans="1:65" ht="12.75" customHeight="1" x14ac:dyDescent="0.2">
      <c r="A605" s="38"/>
      <c r="B605" s="38"/>
      <c r="C605" s="75"/>
      <c r="D605" s="75"/>
      <c r="E605" s="75"/>
      <c r="F605" s="75"/>
      <c r="G605" s="75"/>
      <c r="H605" s="75"/>
      <c r="I605" s="75"/>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t="s">
        <v>439</v>
      </c>
      <c r="BG605" s="75"/>
      <c r="BH605" s="75"/>
      <c r="BI605" s="75" t="s">
        <v>439</v>
      </c>
      <c r="BJ605" s="75"/>
      <c r="BK605" s="75"/>
      <c r="BL605" s="75" t="s">
        <v>439</v>
      </c>
      <c r="BM605" s="75"/>
    </row>
    <row r="606" spans="1:65" ht="12.75" customHeight="1" x14ac:dyDescent="0.2">
      <c r="A606" s="38"/>
      <c r="B606" s="38"/>
      <c r="C606" s="75"/>
      <c r="D606" s="75"/>
      <c r="E606" s="75"/>
      <c r="F606" s="75"/>
      <c r="G606" s="75"/>
      <c r="H606" s="75"/>
      <c r="I606" s="75"/>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t="s">
        <v>439</v>
      </c>
      <c r="BG606" s="75"/>
      <c r="BH606" s="75"/>
      <c r="BI606" s="75" t="s">
        <v>439</v>
      </c>
      <c r="BJ606" s="75"/>
      <c r="BK606" s="75"/>
      <c r="BL606" s="75" t="s">
        <v>439</v>
      </c>
      <c r="BM606" s="75"/>
    </row>
    <row r="607" spans="1:65" ht="12.75" customHeight="1" x14ac:dyDescent="0.2">
      <c r="A607" s="38"/>
      <c r="B607" s="38"/>
      <c r="C607" s="75"/>
      <c r="D607" s="75"/>
      <c r="E607" s="75"/>
      <c r="F607" s="75"/>
      <c r="G607" s="75"/>
      <c r="H607" s="75"/>
      <c r="I607" s="75"/>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t="s">
        <v>439</v>
      </c>
      <c r="BG607" s="75"/>
      <c r="BH607" s="75"/>
      <c r="BI607" s="75" t="s">
        <v>439</v>
      </c>
      <c r="BJ607" s="75"/>
      <c r="BK607" s="75"/>
      <c r="BL607" s="75" t="s">
        <v>439</v>
      </c>
      <c r="BM607" s="75"/>
    </row>
    <row r="608" spans="1:65" ht="12.75" customHeight="1" x14ac:dyDescent="0.2">
      <c r="A608" s="38"/>
      <c r="B608" s="38"/>
      <c r="C608" s="75"/>
      <c r="D608" s="75"/>
      <c r="E608" s="75"/>
      <c r="F608" s="75"/>
      <c r="G608" s="75"/>
      <c r="H608" s="75"/>
      <c r="I608" s="75"/>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t="s">
        <v>439</v>
      </c>
      <c r="BG608" s="75"/>
      <c r="BH608" s="75"/>
      <c r="BI608" s="75" t="s">
        <v>439</v>
      </c>
      <c r="BJ608" s="75"/>
      <c r="BK608" s="75"/>
      <c r="BL608" s="75" t="s">
        <v>439</v>
      </c>
      <c r="BM608" s="75"/>
    </row>
    <row r="609" spans="1:65" ht="12.75" customHeight="1" x14ac:dyDescent="0.2">
      <c r="A609" s="38"/>
      <c r="B609" s="38"/>
      <c r="C609" s="75"/>
      <c r="D609" s="75"/>
      <c r="E609" s="75"/>
      <c r="F609" s="75"/>
      <c r="G609" s="75"/>
      <c r="H609" s="75"/>
      <c r="I609" s="75"/>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t="s">
        <v>439</v>
      </c>
      <c r="BG609" s="75"/>
      <c r="BH609" s="75"/>
      <c r="BI609" s="75" t="s">
        <v>439</v>
      </c>
      <c r="BJ609" s="75"/>
      <c r="BK609" s="75"/>
      <c r="BL609" s="75" t="s">
        <v>439</v>
      </c>
      <c r="BM609" s="75"/>
    </row>
    <row r="610" spans="1:65" ht="12.75" customHeight="1" x14ac:dyDescent="0.2">
      <c r="A610" s="38"/>
      <c r="B610" s="38"/>
      <c r="C610" s="75"/>
      <c r="D610" s="75"/>
      <c r="E610" s="75"/>
      <c r="F610" s="75"/>
      <c r="G610" s="75"/>
      <c r="H610" s="75"/>
      <c r="I610" s="75"/>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t="s">
        <v>439</v>
      </c>
      <c r="BG610" s="75"/>
      <c r="BH610" s="75"/>
      <c r="BI610" s="75" t="s">
        <v>439</v>
      </c>
      <c r="BJ610" s="75"/>
      <c r="BK610" s="75"/>
      <c r="BL610" s="75" t="s">
        <v>439</v>
      </c>
      <c r="BM610" s="75"/>
    </row>
    <row r="611" spans="1:65" ht="12.75" customHeight="1" x14ac:dyDescent="0.2">
      <c r="A611" s="38"/>
      <c r="B611" s="38"/>
      <c r="C611" s="75"/>
      <c r="D611" s="75"/>
      <c r="E611" s="75"/>
      <c r="F611" s="75"/>
      <c r="G611" s="75"/>
      <c r="H611" s="75"/>
      <c r="I611" s="75"/>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t="s">
        <v>439</v>
      </c>
      <c r="BG611" s="75"/>
      <c r="BH611" s="75"/>
      <c r="BI611" s="75" t="s">
        <v>439</v>
      </c>
      <c r="BJ611" s="75"/>
      <c r="BK611" s="75"/>
      <c r="BL611" s="75" t="s">
        <v>439</v>
      </c>
      <c r="BM611" s="75"/>
    </row>
    <row r="612" spans="1:65" ht="12.75" customHeight="1" x14ac:dyDescent="0.2">
      <c r="A612" s="38"/>
      <c r="B612" s="38"/>
      <c r="C612" s="75"/>
      <c r="D612" s="75"/>
      <c r="E612" s="75"/>
      <c r="F612" s="75"/>
      <c r="G612" s="75"/>
      <c r="H612" s="75"/>
      <c r="I612" s="75"/>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t="s">
        <v>439</v>
      </c>
      <c r="BG612" s="75"/>
      <c r="BH612" s="75"/>
      <c r="BI612" s="75" t="s">
        <v>439</v>
      </c>
      <c r="BJ612" s="75"/>
      <c r="BK612" s="75"/>
      <c r="BL612" s="75" t="s">
        <v>439</v>
      </c>
      <c r="BM612" s="75"/>
    </row>
    <row r="613" spans="1:65" ht="12.75" customHeight="1" x14ac:dyDescent="0.2">
      <c r="A613" s="38"/>
      <c r="B613" s="38"/>
      <c r="C613" s="75"/>
      <c r="D613" s="75"/>
      <c r="E613" s="75"/>
      <c r="F613" s="75"/>
      <c r="G613" s="75"/>
      <c r="H613" s="75"/>
      <c r="I613" s="75"/>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t="s">
        <v>439</v>
      </c>
      <c r="BG613" s="75"/>
      <c r="BH613" s="75"/>
      <c r="BI613" s="75" t="s">
        <v>439</v>
      </c>
      <c r="BJ613" s="75"/>
      <c r="BK613" s="75"/>
      <c r="BL613" s="75" t="s">
        <v>439</v>
      </c>
      <c r="BM613" s="75"/>
    </row>
    <row r="614" spans="1:65" ht="12.75" customHeight="1" x14ac:dyDescent="0.2">
      <c r="A614" s="38"/>
      <c r="B614" s="38"/>
      <c r="C614" s="75"/>
      <c r="D614" s="75"/>
      <c r="E614" s="75"/>
      <c r="F614" s="75"/>
      <c r="G614" s="75"/>
      <c r="H614" s="75"/>
      <c r="I614" s="75"/>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t="s">
        <v>439</v>
      </c>
      <c r="BG614" s="75"/>
      <c r="BH614" s="75"/>
      <c r="BI614" s="75" t="s">
        <v>439</v>
      </c>
      <c r="BJ614" s="75"/>
      <c r="BK614" s="75"/>
      <c r="BL614" s="75" t="s">
        <v>439</v>
      </c>
      <c r="BM614" s="75"/>
    </row>
    <row r="615" spans="1:65" ht="12.75" customHeight="1" x14ac:dyDescent="0.2">
      <c r="A615" s="38"/>
      <c r="B615" s="38"/>
      <c r="C615" s="75"/>
      <c r="D615" s="75"/>
      <c r="E615" s="75"/>
      <c r="F615" s="75"/>
      <c r="G615" s="75"/>
      <c r="H615" s="75"/>
      <c r="I615" s="75"/>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t="s">
        <v>439</v>
      </c>
      <c r="BG615" s="75"/>
      <c r="BH615" s="75"/>
      <c r="BI615" s="75" t="s">
        <v>439</v>
      </c>
      <c r="BJ615" s="75"/>
      <c r="BK615" s="75"/>
      <c r="BL615" s="75" t="s">
        <v>439</v>
      </c>
      <c r="BM615" s="75"/>
    </row>
    <row r="616" spans="1:65" ht="12.75" customHeight="1" x14ac:dyDescent="0.2">
      <c r="A616" s="38"/>
      <c r="B616" s="38"/>
      <c r="C616" s="75"/>
      <c r="D616" s="75"/>
      <c r="E616" s="75"/>
      <c r="F616" s="75"/>
      <c r="G616" s="75"/>
      <c r="H616" s="75"/>
      <c r="I616" s="75"/>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t="s">
        <v>439</v>
      </c>
      <c r="BG616" s="75"/>
      <c r="BH616" s="75"/>
      <c r="BI616" s="75" t="s">
        <v>439</v>
      </c>
      <c r="BJ616" s="75"/>
      <c r="BK616" s="75"/>
      <c r="BL616" s="75" t="s">
        <v>439</v>
      </c>
      <c r="BM616" s="75"/>
    </row>
    <row r="617" spans="1:65" ht="12.75" customHeight="1" x14ac:dyDescent="0.2">
      <c r="A617" s="38"/>
      <c r="B617" s="38"/>
      <c r="C617" s="75"/>
      <c r="D617" s="75"/>
      <c r="E617" s="75"/>
      <c r="F617" s="75"/>
      <c r="G617" s="75"/>
      <c r="H617" s="75"/>
      <c r="I617" s="75"/>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t="s">
        <v>439</v>
      </c>
      <c r="BG617" s="75"/>
      <c r="BH617" s="75"/>
      <c r="BI617" s="75" t="s">
        <v>439</v>
      </c>
      <c r="BJ617" s="75"/>
      <c r="BK617" s="75"/>
      <c r="BL617" s="75" t="s">
        <v>439</v>
      </c>
      <c r="BM617" s="75"/>
    </row>
    <row r="618" spans="1:65" ht="12.75" customHeight="1" x14ac:dyDescent="0.2">
      <c r="A618" s="38"/>
      <c r="B618" s="38"/>
      <c r="C618" s="75"/>
      <c r="D618" s="75"/>
      <c r="E618" s="75"/>
      <c r="F618" s="75"/>
      <c r="G618" s="75"/>
      <c r="H618" s="75"/>
      <c r="I618" s="75"/>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t="s">
        <v>439</v>
      </c>
      <c r="BG618" s="75"/>
      <c r="BH618" s="75"/>
      <c r="BI618" s="75" t="s">
        <v>439</v>
      </c>
      <c r="BJ618" s="75"/>
      <c r="BK618" s="75"/>
      <c r="BL618" s="75" t="s">
        <v>439</v>
      </c>
      <c r="BM618" s="75"/>
    </row>
    <row r="619" spans="1:65" ht="12.75" customHeight="1" x14ac:dyDescent="0.2">
      <c r="A619" s="38"/>
      <c r="B619" s="38"/>
      <c r="C619" s="75"/>
      <c r="D619" s="75"/>
      <c r="E619" s="75"/>
      <c r="F619" s="75"/>
      <c r="G619" s="75"/>
      <c r="H619" s="75"/>
      <c r="I619" s="75"/>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t="s">
        <v>439</v>
      </c>
      <c r="BG619" s="75"/>
      <c r="BH619" s="75"/>
      <c r="BI619" s="75" t="s">
        <v>439</v>
      </c>
      <c r="BJ619" s="75"/>
      <c r="BK619" s="75"/>
      <c r="BL619" s="75" t="s">
        <v>439</v>
      </c>
      <c r="BM619" s="75"/>
    </row>
    <row r="620" spans="1:65" ht="12.75" customHeight="1" x14ac:dyDescent="0.2">
      <c r="A620" s="38"/>
      <c r="B620" s="38"/>
      <c r="C620" s="75"/>
      <c r="D620" s="75"/>
      <c r="E620" s="75"/>
      <c r="F620" s="75"/>
      <c r="G620" s="75"/>
      <c r="H620" s="75"/>
      <c r="I620" s="75"/>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t="s">
        <v>439</v>
      </c>
      <c r="BG620" s="75"/>
      <c r="BH620" s="75"/>
      <c r="BI620" s="75" t="s">
        <v>439</v>
      </c>
      <c r="BJ620" s="75"/>
      <c r="BK620" s="75"/>
      <c r="BL620" s="75" t="s">
        <v>439</v>
      </c>
      <c r="BM620" s="75"/>
    </row>
    <row r="621" spans="1:65" ht="12.75" customHeight="1" x14ac:dyDescent="0.2">
      <c r="A621" s="38"/>
      <c r="B621" s="38"/>
      <c r="C621" s="75"/>
      <c r="D621" s="75"/>
      <c r="E621" s="75"/>
      <c r="F621" s="75"/>
      <c r="G621" s="75"/>
      <c r="H621" s="75"/>
      <c r="I621" s="75"/>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t="s">
        <v>439</v>
      </c>
      <c r="BG621" s="75"/>
      <c r="BH621" s="75"/>
      <c r="BI621" s="75" t="s">
        <v>439</v>
      </c>
      <c r="BJ621" s="75"/>
      <c r="BK621" s="75"/>
      <c r="BL621" s="75" t="s">
        <v>439</v>
      </c>
      <c r="BM621" s="75"/>
    </row>
    <row r="622" spans="1:65" ht="12.75" customHeight="1" x14ac:dyDescent="0.2">
      <c r="A622" s="38"/>
      <c r="B622" s="38"/>
      <c r="C622" s="75"/>
      <c r="D622" s="75"/>
      <c r="E622" s="75"/>
      <c r="F622" s="75"/>
      <c r="G622" s="75"/>
      <c r="H622" s="75"/>
      <c r="I622" s="75"/>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t="s">
        <v>439</v>
      </c>
      <c r="BG622" s="75"/>
      <c r="BH622" s="75"/>
      <c r="BI622" s="75" t="s">
        <v>439</v>
      </c>
      <c r="BJ622" s="75"/>
      <c r="BK622" s="75"/>
      <c r="BL622" s="75" t="s">
        <v>439</v>
      </c>
      <c r="BM622" s="75"/>
    </row>
    <row r="623" spans="1:65" ht="12.75" customHeight="1" x14ac:dyDescent="0.2">
      <c r="A623" s="38"/>
      <c r="B623" s="38"/>
      <c r="C623" s="75"/>
      <c r="D623" s="75"/>
      <c r="E623" s="75"/>
      <c r="F623" s="75"/>
      <c r="G623" s="75"/>
      <c r="H623" s="75"/>
      <c r="I623" s="75"/>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t="s">
        <v>439</v>
      </c>
      <c r="BG623" s="75"/>
      <c r="BH623" s="75"/>
      <c r="BI623" s="75" t="s">
        <v>439</v>
      </c>
      <c r="BJ623" s="75"/>
      <c r="BK623" s="75"/>
      <c r="BL623" s="75" t="s">
        <v>439</v>
      </c>
      <c r="BM623" s="75"/>
    </row>
    <row r="624" spans="1:65" ht="12.75" customHeight="1" x14ac:dyDescent="0.2">
      <c r="A624" s="38"/>
      <c r="B624" s="38"/>
      <c r="C624" s="75"/>
      <c r="D624" s="75"/>
      <c r="E624" s="75"/>
      <c r="F624" s="75"/>
      <c r="G624" s="75"/>
      <c r="H624" s="75"/>
      <c r="I624" s="75"/>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t="s">
        <v>439</v>
      </c>
      <c r="BG624" s="75"/>
      <c r="BH624" s="75"/>
      <c r="BI624" s="75" t="s">
        <v>439</v>
      </c>
      <c r="BJ624" s="75"/>
      <c r="BK624" s="75"/>
      <c r="BL624" s="75" t="s">
        <v>439</v>
      </c>
      <c r="BM624" s="75"/>
    </row>
    <row r="625" spans="1:65" ht="12.75" customHeight="1" x14ac:dyDescent="0.2">
      <c r="A625" s="38"/>
      <c r="B625" s="38"/>
      <c r="C625" s="75"/>
      <c r="D625" s="75"/>
      <c r="E625" s="75"/>
      <c r="F625" s="75"/>
      <c r="G625" s="75"/>
      <c r="H625" s="75"/>
      <c r="I625" s="75"/>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t="s">
        <v>439</v>
      </c>
      <c r="BG625" s="75"/>
      <c r="BH625" s="75"/>
      <c r="BI625" s="75" t="s">
        <v>439</v>
      </c>
      <c r="BJ625" s="75"/>
      <c r="BK625" s="75"/>
      <c r="BL625" s="75" t="s">
        <v>439</v>
      </c>
      <c r="BM625" s="75"/>
    </row>
    <row r="626" spans="1:65" ht="12.75" customHeight="1" x14ac:dyDescent="0.2">
      <c r="A626" s="38"/>
      <c r="B626" s="38"/>
      <c r="C626" s="75"/>
      <c r="D626" s="75"/>
      <c r="E626" s="75"/>
      <c r="F626" s="75"/>
      <c r="G626" s="75"/>
      <c r="H626" s="75"/>
      <c r="I626" s="75"/>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t="s">
        <v>439</v>
      </c>
      <c r="BG626" s="75"/>
      <c r="BH626" s="75"/>
      <c r="BI626" s="75" t="s">
        <v>439</v>
      </c>
      <c r="BJ626" s="75"/>
      <c r="BK626" s="75"/>
      <c r="BL626" s="75" t="s">
        <v>439</v>
      </c>
      <c r="BM626" s="75"/>
    </row>
    <row r="627" spans="1:65" ht="12.75" customHeight="1" x14ac:dyDescent="0.2">
      <c r="A627" s="38"/>
      <c r="B627" s="38"/>
      <c r="C627" s="75"/>
      <c r="D627" s="75"/>
      <c r="E627" s="75"/>
      <c r="F627" s="75"/>
      <c r="G627" s="75"/>
      <c r="H627" s="75"/>
      <c r="I627" s="75"/>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t="s">
        <v>439</v>
      </c>
      <c r="BG627" s="75"/>
      <c r="BH627" s="75"/>
      <c r="BI627" s="75" t="s">
        <v>439</v>
      </c>
      <c r="BJ627" s="75"/>
      <c r="BK627" s="75"/>
      <c r="BL627" s="75" t="s">
        <v>439</v>
      </c>
      <c r="BM627" s="75"/>
    </row>
    <row r="628" spans="1:65" ht="12.75" customHeight="1" x14ac:dyDescent="0.2">
      <c r="A628" s="38"/>
      <c r="B628" s="38"/>
      <c r="C628" s="75"/>
      <c r="D628" s="75"/>
      <c r="E628" s="75"/>
      <c r="F628" s="75"/>
      <c r="G628" s="75"/>
      <c r="H628" s="75"/>
      <c r="I628" s="75"/>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t="s">
        <v>439</v>
      </c>
      <c r="BG628" s="75"/>
      <c r="BH628" s="75"/>
      <c r="BI628" s="75" t="s">
        <v>439</v>
      </c>
      <c r="BJ628" s="75"/>
      <c r="BK628" s="75"/>
      <c r="BL628" s="75" t="s">
        <v>439</v>
      </c>
      <c r="BM628" s="75"/>
    </row>
    <row r="629" spans="1:65" ht="12.75" customHeight="1" x14ac:dyDescent="0.2">
      <c r="A629" s="38"/>
      <c r="B629" s="38"/>
      <c r="C629" s="75"/>
      <c r="D629" s="75"/>
      <c r="E629" s="75"/>
      <c r="F629" s="75"/>
      <c r="G629" s="75"/>
      <c r="H629" s="75"/>
      <c r="I629" s="75"/>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t="s">
        <v>439</v>
      </c>
      <c r="BG629" s="75"/>
      <c r="BH629" s="75"/>
      <c r="BI629" s="75" t="s">
        <v>439</v>
      </c>
      <c r="BJ629" s="75"/>
      <c r="BK629" s="75"/>
      <c r="BL629" s="75" t="s">
        <v>439</v>
      </c>
      <c r="BM629" s="75"/>
    </row>
    <row r="630" spans="1:65" ht="12.75" customHeight="1" x14ac:dyDescent="0.2">
      <c r="A630" s="38"/>
      <c r="B630" s="38"/>
      <c r="C630" s="75"/>
      <c r="D630" s="75"/>
      <c r="E630" s="75"/>
      <c r="F630" s="75"/>
      <c r="G630" s="75"/>
      <c r="H630" s="75"/>
      <c r="I630" s="75"/>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t="s">
        <v>439</v>
      </c>
      <c r="BG630" s="75"/>
      <c r="BH630" s="75"/>
      <c r="BI630" s="75" t="s">
        <v>439</v>
      </c>
      <c r="BJ630" s="75"/>
      <c r="BK630" s="75"/>
      <c r="BL630" s="75" t="s">
        <v>439</v>
      </c>
      <c r="BM630" s="75"/>
    </row>
    <row r="631" spans="1:65" ht="12.75" customHeight="1" x14ac:dyDescent="0.2">
      <c r="A631" s="38"/>
      <c r="B631" s="38"/>
      <c r="C631" s="75"/>
      <c r="D631" s="75"/>
      <c r="E631" s="75"/>
      <c r="F631" s="75"/>
      <c r="G631" s="75"/>
      <c r="H631" s="75"/>
      <c r="I631" s="75"/>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t="s">
        <v>439</v>
      </c>
      <c r="BG631" s="75"/>
      <c r="BH631" s="75"/>
      <c r="BI631" s="75" t="s">
        <v>439</v>
      </c>
      <c r="BJ631" s="75"/>
      <c r="BK631" s="75"/>
      <c r="BL631" s="75" t="s">
        <v>439</v>
      </c>
      <c r="BM631" s="75"/>
    </row>
    <row r="632" spans="1:65" ht="12.75" customHeight="1" x14ac:dyDescent="0.2">
      <c r="A632" s="38"/>
      <c r="B632" s="38"/>
      <c r="C632" s="75"/>
      <c r="D632" s="75"/>
      <c r="E632" s="75"/>
      <c r="F632" s="75"/>
      <c r="G632" s="75"/>
      <c r="H632" s="75"/>
      <c r="I632" s="75"/>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t="s">
        <v>439</v>
      </c>
      <c r="BG632" s="75"/>
      <c r="BH632" s="75"/>
      <c r="BI632" s="75" t="s">
        <v>439</v>
      </c>
      <c r="BJ632" s="75"/>
      <c r="BK632" s="75"/>
      <c r="BL632" s="75" t="s">
        <v>439</v>
      </c>
      <c r="BM632" s="75"/>
    </row>
    <row r="633" spans="1:65" ht="12.75" customHeight="1" x14ac:dyDescent="0.2">
      <c r="A633" s="38"/>
      <c r="B633" s="38"/>
      <c r="C633" s="75"/>
      <c r="D633" s="75"/>
      <c r="E633" s="75"/>
      <c r="F633" s="75"/>
      <c r="G633" s="75"/>
      <c r="H633" s="75"/>
      <c r="I633" s="75"/>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t="s">
        <v>439</v>
      </c>
      <c r="BG633" s="75"/>
      <c r="BH633" s="75"/>
      <c r="BI633" s="75" t="s">
        <v>439</v>
      </c>
      <c r="BJ633" s="75"/>
      <c r="BK633" s="75"/>
      <c r="BL633" s="75" t="s">
        <v>439</v>
      </c>
      <c r="BM633" s="75"/>
    </row>
    <row r="634" spans="1:65" ht="12.75" customHeight="1" x14ac:dyDescent="0.2">
      <c r="A634" s="38"/>
      <c r="B634" s="38"/>
      <c r="C634" s="75"/>
      <c r="D634" s="75"/>
      <c r="E634" s="75"/>
      <c r="F634" s="75"/>
      <c r="G634" s="75"/>
      <c r="H634" s="75"/>
      <c r="I634" s="75"/>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t="s">
        <v>439</v>
      </c>
      <c r="BG634" s="75"/>
      <c r="BH634" s="75"/>
      <c r="BI634" s="75" t="s">
        <v>439</v>
      </c>
      <c r="BJ634" s="75"/>
      <c r="BK634" s="75"/>
      <c r="BL634" s="75" t="s">
        <v>439</v>
      </c>
      <c r="BM634" s="75"/>
    </row>
    <row r="635" spans="1:65" ht="12.75" customHeight="1" x14ac:dyDescent="0.2">
      <c r="A635" s="38"/>
      <c r="B635" s="38"/>
      <c r="C635" s="75"/>
      <c r="D635" s="75"/>
      <c r="E635" s="75"/>
      <c r="F635" s="75"/>
      <c r="G635" s="75"/>
      <c r="H635" s="75"/>
      <c r="I635" s="75"/>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t="s">
        <v>439</v>
      </c>
      <c r="BG635" s="75"/>
      <c r="BH635" s="75"/>
      <c r="BI635" s="75" t="s">
        <v>439</v>
      </c>
      <c r="BJ635" s="75"/>
      <c r="BK635" s="75"/>
      <c r="BL635" s="75" t="s">
        <v>439</v>
      </c>
      <c r="BM635" s="75"/>
    </row>
    <row r="636" spans="1:65" ht="12.75" customHeight="1" x14ac:dyDescent="0.2">
      <c r="A636" s="38"/>
      <c r="B636" s="38"/>
      <c r="C636" s="75"/>
      <c r="D636" s="75"/>
      <c r="E636" s="75"/>
      <c r="F636" s="75"/>
      <c r="G636" s="75"/>
      <c r="H636" s="75"/>
      <c r="I636" s="75"/>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t="s">
        <v>439</v>
      </c>
      <c r="BG636" s="75"/>
      <c r="BH636" s="75"/>
      <c r="BI636" s="75" t="s">
        <v>439</v>
      </c>
      <c r="BJ636" s="75"/>
      <c r="BK636" s="75"/>
      <c r="BL636" s="75" t="s">
        <v>439</v>
      </c>
      <c r="BM636" s="75"/>
    </row>
    <row r="637" spans="1:65" ht="12.75" customHeight="1" x14ac:dyDescent="0.2">
      <c r="A637" s="38"/>
      <c r="B637" s="38"/>
      <c r="C637" s="75"/>
      <c r="D637" s="75"/>
      <c r="E637" s="75"/>
      <c r="F637" s="75"/>
      <c r="G637" s="75"/>
      <c r="H637" s="75"/>
      <c r="I637" s="75"/>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t="s">
        <v>439</v>
      </c>
      <c r="BG637" s="75"/>
      <c r="BH637" s="75"/>
      <c r="BI637" s="75" t="s">
        <v>439</v>
      </c>
      <c r="BJ637" s="75"/>
      <c r="BK637" s="75"/>
      <c r="BL637" s="75" t="s">
        <v>439</v>
      </c>
      <c r="BM637" s="75"/>
    </row>
    <row r="638" spans="1:65" ht="12.75" customHeight="1" x14ac:dyDescent="0.2">
      <c r="A638" s="38"/>
      <c r="B638" s="38"/>
      <c r="C638" s="75"/>
      <c r="D638" s="75"/>
      <c r="E638" s="75"/>
      <c r="F638" s="75"/>
      <c r="G638" s="75"/>
      <c r="H638" s="75"/>
      <c r="I638" s="75"/>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t="s">
        <v>439</v>
      </c>
      <c r="BG638" s="75"/>
      <c r="BH638" s="75"/>
      <c r="BI638" s="75" t="s">
        <v>439</v>
      </c>
      <c r="BJ638" s="75"/>
      <c r="BK638" s="75"/>
      <c r="BL638" s="75" t="s">
        <v>439</v>
      </c>
      <c r="BM638" s="75"/>
    </row>
    <row r="639" spans="1:65" ht="12.75" customHeight="1" x14ac:dyDescent="0.2">
      <c r="A639" s="38"/>
      <c r="B639" s="38"/>
      <c r="C639" s="75"/>
      <c r="D639" s="75"/>
      <c r="E639" s="75"/>
      <c r="F639" s="75"/>
      <c r="G639" s="75"/>
      <c r="H639" s="75"/>
      <c r="I639" s="75"/>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t="s">
        <v>439</v>
      </c>
      <c r="BG639" s="75"/>
      <c r="BH639" s="75"/>
      <c r="BI639" s="75" t="s">
        <v>439</v>
      </c>
      <c r="BJ639" s="75"/>
      <c r="BK639" s="75"/>
      <c r="BL639" s="75" t="s">
        <v>439</v>
      </c>
      <c r="BM639" s="75"/>
    </row>
    <row r="640" spans="1:65" ht="12.75" customHeight="1" x14ac:dyDescent="0.2">
      <c r="A640" s="38"/>
      <c r="B640" s="38"/>
      <c r="C640" s="75"/>
      <c r="D640" s="75"/>
      <c r="E640" s="75"/>
      <c r="F640" s="75"/>
      <c r="G640" s="75"/>
      <c r="H640" s="75"/>
      <c r="I640" s="75"/>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t="s">
        <v>439</v>
      </c>
      <c r="BG640" s="75"/>
      <c r="BH640" s="75"/>
      <c r="BI640" s="75" t="s">
        <v>439</v>
      </c>
      <c r="BJ640" s="75"/>
      <c r="BK640" s="75"/>
      <c r="BL640" s="75" t="s">
        <v>439</v>
      </c>
      <c r="BM640" s="75"/>
    </row>
    <row r="641" spans="1:65" ht="12.75" customHeight="1" x14ac:dyDescent="0.2">
      <c r="A641" s="38"/>
      <c r="B641" s="38"/>
      <c r="C641" s="75"/>
      <c r="D641" s="75"/>
      <c r="E641" s="75"/>
      <c r="F641" s="75"/>
      <c r="G641" s="75"/>
      <c r="H641" s="75"/>
      <c r="I641" s="75"/>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t="s">
        <v>439</v>
      </c>
      <c r="BG641" s="75"/>
      <c r="BH641" s="75"/>
      <c r="BI641" s="75" t="s">
        <v>439</v>
      </c>
      <c r="BJ641" s="75"/>
      <c r="BK641" s="75"/>
      <c r="BL641" s="75" t="s">
        <v>439</v>
      </c>
      <c r="BM641" s="75"/>
    </row>
    <row r="642" spans="1:65" ht="12.75" customHeight="1" x14ac:dyDescent="0.2">
      <c r="A642" s="38"/>
      <c r="B642" s="38"/>
      <c r="C642" s="75"/>
      <c r="D642" s="75"/>
      <c r="E642" s="75"/>
      <c r="F642" s="75"/>
      <c r="G642" s="75"/>
      <c r="H642" s="75"/>
      <c r="I642" s="75"/>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t="s">
        <v>439</v>
      </c>
      <c r="BG642" s="75"/>
      <c r="BH642" s="75"/>
      <c r="BI642" s="75" t="s">
        <v>439</v>
      </c>
      <c r="BJ642" s="75"/>
      <c r="BK642" s="75"/>
      <c r="BL642" s="75" t="s">
        <v>439</v>
      </c>
      <c r="BM642" s="75"/>
    </row>
    <row r="643" spans="1:65" ht="12.75" customHeight="1" x14ac:dyDescent="0.2">
      <c r="A643" s="38"/>
      <c r="B643" s="38"/>
      <c r="C643" s="75"/>
      <c r="D643" s="75"/>
      <c r="E643" s="75"/>
      <c r="F643" s="75"/>
      <c r="G643" s="75"/>
      <c r="H643" s="75"/>
      <c r="I643" s="75"/>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t="s">
        <v>439</v>
      </c>
      <c r="BG643" s="75"/>
      <c r="BH643" s="75"/>
      <c r="BI643" s="75" t="s">
        <v>439</v>
      </c>
      <c r="BJ643" s="75"/>
      <c r="BK643" s="75"/>
      <c r="BL643" s="75" t="s">
        <v>439</v>
      </c>
      <c r="BM643" s="75"/>
    </row>
    <row r="644" spans="1:65" ht="12.75" customHeight="1" x14ac:dyDescent="0.2">
      <c r="A644" s="38"/>
      <c r="B644" s="38"/>
      <c r="C644" s="75"/>
      <c r="D644" s="75"/>
      <c r="E644" s="75"/>
      <c r="F644" s="75"/>
      <c r="G644" s="75"/>
      <c r="H644" s="75"/>
      <c r="I644" s="75"/>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t="s">
        <v>439</v>
      </c>
      <c r="BG644" s="75"/>
      <c r="BH644" s="75"/>
      <c r="BI644" s="75" t="s">
        <v>439</v>
      </c>
      <c r="BJ644" s="75"/>
      <c r="BK644" s="75"/>
      <c r="BL644" s="75" t="s">
        <v>439</v>
      </c>
      <c r="BM644" s="75"/>
    </row>
    <row r="645" spans="1:65" ht="12.75" customHeight="1" x14ac:dyDescent="0.2">
      <c r="A645" s="38"/>
      <c r="B645" s="38"/>
      <c r="C645" s="75"/>
      <c r="D645" s="75"/>
      <c r="E645" s="75"/>
      <c r="F645" s="75"/>
      <c r="G645" s="75"/>
      <c r="H645" s="75"/>
      <c r="I645" s="75"/>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t="s">
        <v>439</v>
      </c>
      <c r="BG645" s="75"/>
      <c r="BH645" s="75"/>
      <c r="BI645" s="75" t="s">
        <v>439</v>
      </c>
      <c r="BJ645" s="75"/>
      <c r="BK645" s="75"/>
      <c r="BL645" s="75" t="s">
        <v>439</v>
      </c>
      <c r="BM645" s="75"/>
    </row>
    <row r="646" spans="1:65" ht="12.75" customHeight="1" x14ac:dyDescent="0.2">
      <c r="A646" s="38"/>
      <c r="B646" s="38"/>
      <c r="C646" s="75"/>
      <c r="D646" s="75"/>
      <c r="E646" s="75"/>
      <c r="F646" s="75"/>
      <c r="G646" s="75"/>
      <c r="H646" s="75"/>
      <c r="I646" s="75"/>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t="s">
        <v>439</v>
      </c>
      <c r="BG646" s="75"/>
      <c r="BH646" s="75"/>
      <c r="BI646" s="75" t="s">
        <v>439</v>
      </c>
      <c r="BJ646" s="75"/>
      <c r="BK646" s="75"/>
      <c r="BL646" s="75" t="s">
        <v>439</v>
      </c>
      <c r="BM646" s="75"/>
    </row>
    <row r="647" spans="1:65" ht="12.75" customHeight="1" x14ac:dyDescent="0.2">
      <c r="A647" s="38"/>
      <c r="B647" s="38"/>
      <c r="C647" s="75"/>
      <c r="D647" s="75"/>
      <c r="E647" s="75"/>
      <c r="F647" s="75"/>
      <c r="G647" s="75"/>
      <c r="H647" s="75"/>
      <c r="I647" s="75"/>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t="s">
        <v>439</v>
      </c>
      <c r="BG647" s="75"/>
      <c r="BH647" s="75"/>
      <c r="BI647" s="75" t="s">
        <v>439</v>
      </c>
      <c r="BJ647" s="75"/>
      <c r="BK647" s="75"/>
      <c r="BL647" s="75" t="s">
        <v>439</v>
      </c>
      <c r="BM647" s="75"/>
    </row>
    <row r="648" spans="1:65" ht="12.75" customHeight="1" x14ac:dyDescent="0.2">
      <c r="A648" s="38"/>
      <c r="B648" s="38"/>
      <c r="C648" s="75"/>
      <c r="D648" s="75"/>
      <c r="E648" s="75"/>
      <c r="F648" s="75"/>
      <c r="G648" s="75"/>
      <c r="H648" s="75"/>
      <c r="I648" s="75"/>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t="s">
        <v>439</v>
      </c>
      <c r="BG648" s="75"/>
      <c r="BH648" s="75"/>
      <c r="BI648" s="75" t="s">
        <v>439</v>
      </c>
      <c r="BJ648" s="75"/>
      <c r="BK648" s="75"/>
      <c r="BL648" s="75" t="s">
        <v>439</v>
      </c>
      <c r="BM648" s="75"/>
    </row>
    <row r="649" spans="1:65" ht="12.75" customHeight="1" x14ac:dyDescent="0.2">
      <c r="A649" s="38"/>
      <c r="B649" s="38"/>
      <c r="C649" s="75"/>
      <c r="D649" s="75"/>
      <c r="E649" s="75"/>
      <c r="F649" s="75"/>
      <c r="G649" s="75"/>
      <c r="H649" s="75"/>
      <c r="I649" s="75"/>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t="s">
        <v>439</v>
      </c>
      <c r="BG649" s="75"/>
      <c r="BH649" s="75"/>
      <c r="BI649" s="75" t="s">
        <v>439</v>
      </c>
      <c r="BJ649" s="75"/>
      <c r="BK649" s="75"/>
      <c r="BL649" s="75" t="s">
        <v>439</v>
      </c>
      <c r="BM649" s="75"/>
    </row>
    <row r="650" spans="1:65" ht="12.75" customHeight="1" x14ac:dyDescent="0.2">
      <c r="A650" s="38"/>
      <c r="B650" s="38"/>
      <c r="C650" s="75"/>
      <c r="D650" s="75"/>
      <c r="E650" s="75"/>
      <c r="F650" s="75"/>
      <c r="G650" s="75"/>
      <c r="H650" s="75"/>
      <c r="I650" s="75"/>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t="s">
        <v>439</v>
      </c>
      <c r="BG650" s="75"/>
      <c r="BH650" s="75"/>
      <c r="BI650" s="75" t="s">
        <v>439</v>
      </c>
      <c r="BJ650" s="75"/>
      <c r="BK650" s="75"/>
      <c r="BL650" s="75" t="s">
        <v>439</v>
      </c>
      <c r="BM650" s="75"/>
    </row>
    <row r="651" spans="1:65" ht="12.75" customHeight="1" x14ac:dyDescent="0.2">
      <c r="A651" s="38"/>
      <c r="B651" s="38"/>
      <c r="C651" s="75"/>
      <c r="D651" s="75"/>
      <c r="E651" s="75"/>
      <c r="F651" s="75"/>
      <c r="G651" s="75"/>
      <c r="H651" s="75"/>
      <c r="I651" s="75"/>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t="s">
        <v>439</v>
      </c>
      <c r="BG651" s="75"/>
      <c r="BH651" s="75"/>
      <c r="BI651" s="75" t="s">
        <v>439</v>
      </c>
      <c r="BJ651" s="75"/>
      <c r="BK651" s="75"/>
      <c r="BL651" s="75" t="s">
        <v>439</v>
      </c>
      <c r="BM651" s="75"/>
    </row>
    <row r="652" spans="1:65" ht="12.75" customHeight="1" x14ac:dyDescent="0.2">
      <c r="A652" s="38"/>
      <c r="B652" s="38"/>
      <c r="C652" s="75"/>
      <c r="D652" s="75"/>
      <c r="E652" s="75"/>
      <c r="F652" s="75"/>
      <c r="G652" s="75"/>
      <c r="H652" s="75"/>
      <c r="I652" s="75"/>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t="s">
        <v>439</v>
      </c>
      <c r="BG652" s="75"/>
      <c r="BH652" s="75"/>
      <c r="BI652" s="75" t="s">
        <v>439</v>
      </c>
      <c r="BJ652" s="75"/>
      <c r="BK652" s="75"/>
      <c r="BL652" s="75" t="s">
        <v>439</v>
      </c>
      <c r="BM652" s="75"/>
    </row>
    <row r="653" spans="1:65" ht="12.75" customHeight="1" x14ac:dyDescent="0.2">
      <c r="A653" s="38"/>
      <c r="B653" s="38"/>
      <c r="C653" s="75"/>
      <c r="D653" s="75"/>
      <c r="E653" s="75"/>
      <c r="F653" s="75"/>
      <c r="G653" s="75"/>
      <c r="H653" s="75"/>
      <c r="I653" s="75"/>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t="s">
        <v>439</v>
      </c>
      <c r="BG653" s="75"/>
      <c r="BH653" s="75"/>
      <c r="BI653" s="75" t="s">
        <v>439</v>
      </c>
      <c r="BJ653" s="75"/>
      <c r="BK653" s="75"/>
      <c r="BL653" s="75" t="s">
        <v>439</v>
      </c>
      <c r="BM653" s="75"/>
    </row>
    <row r="654" spans="1:65" ht="12.75" customHeight="1" x14ac:dyDescent="0.2">
      <c r="A654" s="38"/>
      <c r="B654" s="38"/>
      <c r="C654" s="75"/>
      <c r="D654" s="75"/>
      <c r="E654" s="75"/>
      <c r="F654" s="75"/>
      <c r="G654" s="75"/>
      <c r="H654" s="75"/>
      <c r="I654" s="75"/>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t="s">
        <v>439</v>
      </c>
      <c r="BG654" s="75"/>
      <c r="BH654" s="75"/>
      <c r="BI654" s="75" t="s">
        <v>439</v>
      </c>
      <c r="BJ654" s="75"/>
      <c r="BK654" s="75"/>
      <c r="BL654" s="75" t="s">
        <v>439</v>
      </c>
      <c r="BM654" s="75"/>
    </row>
    <row r="655" spans="1:65" ht="12.75" customHeight="1" x14ac:dyDescent="0.2">
      <c r="A655" s="38"/>
      <c r="B655" s="38"/>
      <c r="C655" s="75"/>
      <c r="D655" s="75"/>
      <c r="E655" s="75"/>
      <c r="F655" s="75"/>
      <c r="G655" s="75"/>
      <c r="H655" s="75"/>
      <c r="I655" s="75"/>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t="s">
        <v>439</v>
      </c>
      <c r="BG655" s="75"/>
      <c r="BH655" s="75"/>
      <c r="BI655" s="75" t="s">
        <v>439</v>
      </c>
      <c r="BJ655" s="75"/>
      <c r="BK655" s="75"/>
      <c r="BL655" s="75" t="s">
        <v>439</v>
      </c>
      <c r="BM655" s="75"/>
    </row>
    <row r="656" spans="1:65" ht="12.75" customHeight="1" x14ac:dyDescent="0.2">
      <c r="A656" s="38"/>
      <c r="B656" s="38"/>
      <c r="C656" s="75"/>
      <c r="D656" s="75"/>
      <c r="E656" s="75"/>
      <c r="F656" s="75"/>
      <c r="G656" s="75"/>
      <c r="H656" s="75"/>
      <c r="I656" s="75"/>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t="s">
        <v>439</v>
      </c>
      <c r="BG656" s="75"/>
      <c r="BH656" s="75"/>
      <c r="BI656" s="75" t="s">
        <v>439</v>
      </c>
      <c r="BJ656" s="75"/>
      <c r="BK656" s="75"/>
      <c r="BL656" s="75" t="s">
        <v>439</v>
      </c>
      <c r="BM656" s="75"/>
    </row>
    <row r="657" spans="1:65" ht="12.75" customHeight="1" x14ac:dyDescent="0.2">
      <c r="A657" s="38"/>
      <c r="B657" s="38"/>
      <c r="C657" s="75"/>
      <c r="D657" s="75"/>
      <c r="E657" s="75"/>
      <c r="F657" s="75"/>
      <c r="G657" s="75"/>
      <c r="H657" s="75"/>
      <c r="I657" s="75"/>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t="s">
        <v>439</v>
      </c>
      <c r="BG657" s="75"/>
      <c r="BH657" s="75"/>
      <c r="BI657" s="75" t="s">
        <v>439</v>
      </c>
      <c r="BJ657" s="75"/>
      <c r="BK657" s="75"/>
      <c r="BL657" s="75" t="s">
        <v>439</v>
      </c>
      <c r="BM657" s="75"/>
    </row>
    <row r="658" spans="1:65" ht="12.75" customHeight="1" x14ac:dyDescent="0.2">
      <c r="A658" s="38"/>
      <c r="B658" s="38"/>
      <c r="C658" s="75"/>
      <c r="D658" s="75"/>
      <c r="E658" s="75"/>
      <c r="F658" s="75"/>
      <c r="G658" s="75"/>
      <c r="H658" s="75"/>
      <c r="I658" s="75"/>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t="s">
        <v>439</v>
      </c>
      <c r="BG658" s="75"/>
      <c r="BH658" s="75"/>
      <c r="BI658" s="75" t="s">
        <v>439</v>
      </c>
      <c r="BJ658" s="75"/>
      <c r="BK658" s="75"/>
      <c r="BL658" s="75" t="s">
        <v>439</v>
      </c>
      <c r="BM658" s="75"/>
    </row>
    <row r="659" spans="1:65" ht="12.75" customHeight="1" x14ac:dyDescent="0.2">
      <c r="A659" s="38"/>
      <c r="B659" s="38"/>
      <c r="C659" s="75"/>
      <c r="D659" s="75"/>
      <c r="E659" s="75"/>
      <c r="F659" s="75"/>
      <c r="G659" s="75"/>
      <c r="H659" s="75"/>
      <c r="I659" s="75"/>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t="s">
        <v>439</v>
      </c>
      <c r="BG659" s="75"/>
      <c r="BH659" s="75"/>
      <c r="BI659" s="75" t="s">
        <v>439</v>
      </c>
      <c r="BJ659" s="75"/>
      <c r="BK659" s="75"/>
      <c r="BL659" s="75" t="s">
        <v>439</v>
      </c>
      <c r="BM659" s="75"/>
    </row>
    <row r="660" spans="1:65" ht="12.75" customHeight="1" x14ac:dyDescent="0.2">
      <c r="A660" s="38"/>
      <c r="B660" s="38"/>
      <c r="C660" s="75"/>
      <c r="D660" s="75"/>
      <c r="E660" s="75"/>
      <c r="F660" s="75"/>
      <c r="G660" s="75"/>
      <c r="H660" s="75"/>
      <c r="I660" s="75"/>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t="s">
        <v>439</v>
      </c>
      <c r="BG660" s="75"/>
      <c r="BH660" s="75"/>
      <c r="BI660" s="75" t="s">
        <v>439</v>
      </c>
      <c r="BJ660" s="75"/>
      <c r="BK660" s="75"/>
      <c r="BL660" s="75" t="s">
        <v>439</v>
      </c>
      <c r="BM660" s="75"/>
    </row>
    <row r="661" spans="1:65" ht="12.75" customHeight="1" x14ac:dyDescent="0.2">
      <c r="A661" s="38"/>
      <c r="B661" s="38"/>
      <c r="C661" s="75"/>
      <c r="D661" s="75"/>
      <c r="E661" s="75"/>
      <c r="F661" s="75"/>
      <c r="G661" s="75"/>
      <c r="H661" s="75"/>
      <c r="I661" s="75"/>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t="s">
        <v>439</v>
      </c>
      <c r="BG661" s="75"/>
      <c r="BH661" s="75"/>
      <c r="BI661" s="75" t="s">
        <v>439</v>
      </c>
      <c r="BJ661" s="75"/>
      <c r="BK661" s="75"/>
      <c r="BL661" s="75" t="s">
        <v>439</v>
      </c>
      <c r="BM661" s="75"/>
    </row>
    <row r="662" spans="1:65" ht="12.75" customHeight="1" x14ac:dyDescent="0.2">
      <c r="A662" s="38"/>
      <c r="B662" s="38"/>
      <c r="C662" s="75"/>
      <c r="D662" s="75"/>
      <c r="E662" s="75"/>
      <c r="F662" s="75"/>
      <c r="G662" s="75"/>
      <c r="H662" s="75"/>
      <c r="I662" s="75"/>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t="s">
        <v>439</v>
      </c>
      <c r="BG662" s="75"/>
      <c r="BH662" s="75"/>
      <c r="BI662" s="75" t="s">
        <v>439</v>
      </c>
      <c r="BJ662" s="75"/>
      <c r="BK662" s="75"/>
      <c r="BL662" s="75" t="s">
        <v>439</v>
      </c>
      <c r="BM662" s="75"/>
    </row>
    <row r="663" spans="1:65" ht="12.75" customHeight="1" x14ac:dyDescent="0.2">
      <c r="A663" s="38"/>
      <c r="B663" s="38"/>
      <c r="C663" s="75"/>
      <c r="D663" s="75"/>
      <c r="E663" s="75"/>
      <c r="F663" s="75"/>
      <c r="G663" s="75"/>
      <c r="H663" s="75"/>
      <c r="I663" s="75"/>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t="s">
        <v>439</v>
      </c>
      <c r="BG663" s="75"/>
      <c r="BH663" s="75"/>
      <c r="BI663" s="75" t="s">
        <v>439</v>
      </c>
      <c r="BJ663" s="75"/>
      <c r="BK663" s="75"/>
      <c r="BL663" s="75" t="s">
        <v>439</v>
      </c>
      <c r="BM663" s="75"/>
    </row>
    <row r="664" spans="1:65" ht="12.75" customHeight="1" x14ac:dyDescent="0.2">
      <c r="A664" s="38"/>
      <c r="B664" s="38"/>
      <c r="C664" s="75"/>
      <c r="D664" s="75"/>
      <c r="E664" s="75"/>
      <c r="F664" s="75"/>
      <c r="G664" s="75"/>
      <c r="H664" s="75"/>
      <c r="I664" s="75"/>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t="s">
        <v>439</v>
      </c>
      <c r="BG664" s="75"/>
      <c r="BH664" s="75"/>
      <c r="BI664" s="75" t="s">
        <v>439</v>
      </c>
      <c r="BJ664" s="75"/>
      <c r="BK664" s="75"/>
      <c r="BL664" s="75" t="s">
        <v>439</v>
      </c>
      <c r="BM664" s="75"/>
    </row>
    <row r="665" spans="1:65" ht="12.75" customHeight="1" x14ac:dyDescent="0.2">
      <c r="A665" s="38"/>
      <c r="B665" s="38"/>
      <c r="C665" s="75"/>
      <c r="D665" s="75"/>
      <c r="E665" s="75"/>
      <c r="F665" s="75"/>
      <c r="G665" s="75"/>
      <c r="H665" s="75"/>
      <c r="I665" s="75"/>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t="s">
        <v>439</v>
      </c>
      <c r="BG665" s="75"/>
      <c r="BH665" s="75"/>
      <c r="BI665" s="75" t="s">
        <v>439</v>
      </c>
      <c r="BJ665" s="75"/>
      <c r="BK665" s="75"/>
      <c r="BL665" s="75" t="s">
        <v>439</v>
      </c>
      <c r="BM665" s="75"/>
    </row>
    <row r="666" spans="1:65" ht="12.75" customHeight="1" x14ac:dyDescent="0.2">
      <c r="A666" s="38"/>
      <c r="B666" s="38"/>
      <c r="C666" s="75"/>
      <c r="D666" s="75"/>
      <c r="E666" s="75"/>
      <c r="F666" s="75"/>
      <c r="G666" s="75"/>
      <c r="H666" s="75"/>
      <c r="I666" s="75"/>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t="s">
        <v>439</v>
      </c>
      <c r="BG666" s="75"/>
      <c r="BH666" s="75"/>
      <c r="BI666" s="75" t="s">
        <v>439</v>
      </c>
      <c r="BJ666" s="75"/>
      <c r="BK666" s="75"/>
      <c r="BL666" s="75" t="s">
        <v>439</v>
      </c>
      <c r="BM666" s="75"/>
    </row>
    <row r="667" spans="1:65" ht="12.75" customHeight="1" x14ac:dyDescent="0.2">
      <c r="A667" s="38"/>
      <c r="B667" s="38"/>
      <c r="C667" s="75"/>
      <c r="D667" s="75"/>
      <c r="E667" s="75"/>
      <c r="F667" s="75"/>
      <c r="G667" s="75"/>
      <c r="H667" s="75"/>
      <c r="I667" s="75"/>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t="s">
        <v>439</v>
      </c>
      <c r="BG667" s="75"/>
      <c r="BH667" s="75"/>
      <c r="BI667" s="75" t="s">
        <v>439</v>
      </c>
      <c r="BJ667" s="75"/>
      <c r="BK667" s="75"/>
      <c r="BL667" s="75" t="s">
        <v>439</v>
      </c>
      <c r="BM667" s="75"/>
    </row>
    <row r="668" spans="1:65" ht="12.75" customHeight="1" x14ac:dyDescent="0.2">
      <c r="A668" s="38"/>
      <c r="B668" s="38"/>
      <c r="C668" s="75"/>
      <c r="D668" s="75"/>
      <c r="E668" s="75"/>
      <c r="F668" s="75"/>
      <c r="G668" s="75"/>
      <c r="H668" s="75"/>
      <c r="I668" s="75"/>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t="s">
        <v>439</v>
      </c>
      <c r="BG668" s="75"/>
      <c r="BH668" s="75"/>
      <c r="BI668" s="75" t="s">
        <v>439</v>
      </c>
      <c r="BJ668" s="75"/>
      <c r="BK668" s="75"/>
      <c r="BL668" s="75" t="s">
        <v>439</v>
      </c>
      <c r="BM668" s="75"/>
    </row>
    <row r="669" spans="1:65" ht="12.75" customHeight="1" x14ac:dyDescent="0.2">
      <c r="A669" s="38"/>
      <c r="B669" s="38"/>
      <c r="C669" s="75"/>
      <c r="D669" s="75"/>
      <c r="E669" s="75"/>
      <c r="F669" s="75"/>
      <c r="G669" s="75"/>
      <c r="H669" s="75"/>
      <c r="I669" s="75"/>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t="s">
        <v>439</v>
      </c>
      <c r="BG669" s="75"/>
      <c r="BH669" s="75"/>
      <c r="BI669" s="75" t="s">
        <v>439</v>
      </c>
      <c r="BJ669" s="75"/>
      <c r="BK669" s="75"/>
      <c r="BL669" s="75" t="s">
        <v>439</v>
      </c>
      <c r="BM669" s="75"/>
    </row>
    <row r="670" spans="1:65" ht="12.75" customHeight="1" x14ac:dyDescent="0.2">
      <c r="A670" s="38"/>
      <c r="B670" s="38"/>
      <c r="C670" s="75"/>
      <c r="D670" s="75"/>
      <c r="E670" s="75"/>
      <c r="F670" s="75"/>
      <c r="G670" s="75"/>
      <c r="H670" s="75"/>
      <c r="I670" s="75"/>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t="s">
        <v>439</v>
      </c>
      <c r="BG670" s="75"/>
      <c r="BH670" s="75"/>
      <c r="BI670" s="75" t="s">
        <v>439</v>
      </c>
      <c r="BJ670" s="75"/>
      <c r="BK670" s="75"/>
      <c r="BL670" s="75" t="s">
        <v>439</v>
      </c>
      <c r="BM670" s="75"/>
    </row>
    <row r="671" spans="1:65" ht="12.75" customHeight="1" x14ac:dyDescent="0.2">
      <c r="A671" s="38"/>
      <c r="B671" s="38"/>
      <c r="C671" s="75"/>
      <c r="D671" s="75"/>
      <c r="E671" s="75"/>
      <c r="F671" s="75"/>
      <c r="G671" s="75"/>
      <c r="H671" s="75"/>
      <c r="I671" s="75"/>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t="s">
        <v>439</v>
      </c>
      <c r="BG671" s="75"/>
      <c r="BH671" s="75"/>
      <c r="BI671" s="75" t="s">
        <v>439</v>
      </c>
      <c r="BJ671" s="75"/>
      <c r="BK671" s="75"/>
      <c r="BL671" s="75" t="s">
        <v>439</v>
      </c>
      <c r="BM671" s="75"/>
    </row>
    <row r="672" spans="1:65" ht="12.75" customHeight="1" x14ac:dyDescent="0.2">
      <c r="A672" s="38"/>
      <c r="B672" s="38"/>
      <c r="C672" s="75"/>
      <c r="D672" s="75"/>
      <c r="E672" s="75"/>
      <c r="F672" s="75"/>
      <c r="G672" s="75"/>
      <c r="H672" s="75"/>
      <c r="I672" s="75"/>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t="s">
        <v>439</v>
      </c>
      <c r="BG672" s="75"/>
      <c r="BH672" s="75"/>
      <c r="BI672" s="75" t="s">
        <v>439</v>
      </c>
      <c r="BJ672" s="75"/>
      <c r="BK672" s="75"/>
      <c r="BL672" s="75" t="s">
        <v>439</v>
      </c>
      <c r="BM672" s="75"/>
    </row>
    <row r="673" spans="1:65" ht="12.75" customHeight="1" x14ac:dyDescent="0.2">
      <c r="A673" s="38"/>
      <c r="B673" s="38"/>
      <c r="C673" s="75"/>
      <c r="D673" s="75"/>
      <c r="E673" s="75"/>
      <c r="F673" s="75"/>
      <c r="G673" s="75"/>
      <c r="H673" s="75"/>
      <c r="I673" s="75"/>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t="s">
        <v>439</v>
      </c>
      <c r="BG673" s="75"/>
      <c r="BH673" s="75"/>
      <c r="BI673" s="75" t="s">
        <v>439</v>
      </c>
      <c r="BJ673" s="75"/>
      <c r="BK673" s="75"/>
      <c r="BL673" s="75" t="s">
        <v>439</v>
      </c>
      <c r="BM673" s="75"/>
    </row>
    <row r="674" spans="1:65" ht="12.75" customHeight="1" x14ac:dyDescent="0.2">
      <c r="A674" s="38"/>
      <c r="B674" s="38"/>
      <c r="C674" s="75"/>
      <c r="D674" s="75"/>
      <c r="E674" s="75"/>
      <c r="F674" s="75"/>
      <c r="G674" s="75"/>
      <c r="H674" s="75"/>
      <c r="I674" s="75"/>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t="s">
        <v>439</v>
      </c>
      <c r="BG674" s="75"/>
      <c r="BH674" s="75"/>
      <c r="BI674" s="75" t="s">
        <v>439</v>
      </c>
      <c r="BJ674" s="75"/>
      <c r="BK674" s="75"/>
      <c r="BL674" s="75" t="s">
        <v>439</v>
      </c>
      <c r="BM674" s="75"/>
    </row>
    <row r="675" spans="1:65" ht="12.75" customHeight="1" x14ac:dyDescent="0.2">
      <c r="A675" s="38"/>
      <c r="B675" s="38"/>
      <c r="C675" s="75"/>
      <c r="D675" s="75"/>
      <c r="E675" s="75"/>
      <c r="F675" s="75"/>
      <c r="G675" s="75"/>
      <c r="H675" s="75"/>
      <c r="I675" s="75"/>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t="s">
        <v>439</v>
      </c>
      <c r="BG675" s="75"/>
      <c r="BH675" s="75"/>
      <c r="BI675" s="75" t="s">
        <v>439</v>
      </c>
      <c r="BJ675" s="75"/>
      <c r="BK675" s="75"/>
      <c r="BL675" s="75" t="s">
        <v>439</v>
      </c>
      <c r="BM675" s="75"/>
    </row>
    <row r="676" spans="1:65" ht="12.75" customHeight="1" x14ac:dyDescent="0.2">
      <c r="A676" s="38"/>
      <c r="B676" s="38"/>
      <c r="C676" s="75"/>
      <c r="D676" s="75"/>
      <c r="E676" s="75"/>
      <c r="F676" s="75"/>
      <c r="G676" s="75"/>
      <c r="H676" s="75"/>
      <c r="I676" s="75"/>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t="s">
        <v>439</v>
      </c>
      <c r="BG676" s="75"/>
      <c r="BH676" s="75"/>
      <c r="BI676" s="75" t="s">
        <v>439</v>
      </c>
      <c r="BJ676" s="75"/>
      <c r="BK676" s="75"/>
      <c r="BL676" s="75" t="s">
        <v>439</v>
      </c>
      <c r="BM676" s="75"/>
    </row>
    <row r="677" spans="1:65" ht="12.75" customHeight="1" x14ac:dyDescent="0.2">
      <c r="A677" s="38"/>
      <c r="B677" s="38"/>
      <c r="C677" s="75"/>
      <c r="D677" s="75"/>
      <c r="E677" s="75"/>
      <c r="F677" s="75"/>
      <c r="G677" s="75"/>
      <c r="H677" s="75"/>
      <c r="I677" s="75"/>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t="s">
        <v>439</v>
      </c>
      <c r="BG677" s="75"/>
      <c r="BH677" s="75"/>
      <c r="BI677" s="75" t="s">
        <v>439</v>
      </c>
      <c r="BJ677" s="75"/>
      <c r="BK677" s="75"/>
      <c r="BL677" s="75" t="s">
        <v>439</v>
      </c>
      <c r="BM677" s="75"/>
    </row>
    <row r="678" spans="1:65" ht="12.75" customHeight="1" x14ac:dyDescent="0.2">
      <c r="A678" s="38"/>
      <c r="B678" s="38"/>
      <c r="C678" s="75"/>
      <c r="D678" s="75"/>
      <c r="E678" s="75"/>
      <c r="F678" s="75"/>
      <c r="G678" s="75"/>
      <c r="H678" s="75"/>
      <c r="I678" s="75"/>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t="s">
        <v>439</v>
      </c>
      <c r="BG678" s="75"/>
      <c r="BH678" s="75"/>
      <c r="BI678" s="75" t="s">
        <v>439</v>
      </c>
      <c r="BJ678" s="75"/>
      <c r="BK678" s="75"/>
      <c r="BL678" s="75" t="s">
        <v>439</v>
      </c>
      <c r="BM678" s="75"/>
    </row>
    <row r="679" spans="1:65" ht="12.75" customHeight="1" x14ac:dyDescent="0.2">
      <c r="A679" s="38"/>
      <c r="B679" s="38"/>
      <c r="C679" s="75"/>
      <c r="D679" s="75"/>
      <c r="E679" s="75"/>
      <c r="F679" s="75"/>
      <c r="G679" s="75"/>
      <c r="H679" s="75"/>
      <c r="I679" s="75"/>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t="s">
        <v>439</v>
      </c>
      <c r="BG679" s="75"/>
      <c r="BH679" s="75"/>
      <c r="BI679" s="75" t="s">
        <v>439</v>
      </c>
      <c r="BJ679" s="75"/>
      <c r="BK679" s="75"/>
      <c r="BL679" s="75" t="s">
        <v>439</v>
      </c>
      <c r="BM679" s="75"/>
    </row>
    <row r="680" spans="1:65" ht="12.75" customHeight="1" x14ac:dyDescent="0.2">
      <c r="A680" s="38"/>
      <c r="B680" s="38"/>
      <c r="C680" s="75"/>
      <c r="D680" s="75"/>
      <c r="E680" s="75"/>
      <c r="F680" s="75"/>
      <c r="G680" s="75"/>
      <c r="H680" s="75"/>
      <c r="I680" s="75"/>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t="s">
        <v>439</v>
      </c>
      <c r="BG680" s="75"/>
      <c r="BH680" s="75"/>
      <c r="BI680" s="75" t="s">
        <v>439</v>
      </c>
      <c r="BJ680" s="75"/>
      <c r="BK680" s="75"/>
      <c r="BL680" s="75" t="s">
        <v>439</v>
      </c>
      <c r="BM680" s="75"/>
    </row>
    <row r="681" spans="1:65" ht="12.75" customHeight="1" x14ac:dyDescent="0.2">
      <c r="A681" s="38"/>
      <c r="B681" s="38"/>
      <c r="C681" s="75"/>
      <c r="D681" s="75"/>
      <c r="E681" s="75"/>
      <c r="F681" s="75"/>
      <c r="G681" s="75"/>
      <c r="H681" s="75"/>
      <c r="I681" s="75"/>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t="s">
        <v>439</v>
      </c>
      <c r="BG681" s="75"/>
      <c r="BH681" s="75"/>
      <c r="BI681" s="75" t="s">
        <v>439</v>
      </c>
      <c r="BJ681" s="75"/>
      <c r="BK681" s="75"/>
      <c r="BL681" s="75" t="s">
        <v>439</v>
      </c>
      <c r="BM681" s="75"/>
    </row>
    <row r="682" spans="1:65" ht="12.75" customHeight="1" x14ac:dyDescent="0.2">
      <c r="A682" s="38"/>
      <c r="B682" s="38"/>
      <c r="C682" s="75"/>
      <c r="D682" s="75"/>
      <c r="E682" s="75"/>
      <c r="F682" s="75"/>
      <c r="G682" s="75"/>
      <c r="H682" s="75"/>
      <c r="I682" s="75"/>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t="s">
        <v>439</v>
      </c>
      <c r="BG682" s="75"/>
      <c r="BH682" s="75"/>
      <c r="BI682" s="75" t="s">
        <v>439</v>
      </c>
      <c r="BJ682" s="75"/>
      <c r="BK682" s="75"/>
      <c r="BL682" s="75" t="s">
        <v>439</v>
      </c>
      <c r="BM682" s="75"/>
    </row>
    <row r="683" spans="1:65" ht="12.75" customHeight="1" x14ac:dyDescent="0.2">
      <c r="A683" s="38"/>
      <c r="B683" s="38"/>
      <c r="C683" s="75"/>
      <c r="D683" s="75"/>
      <c r="E683" s="75"/>
      <c r="F683" s="75"/>
      <c r="G683" s="75"/>
      <c r="H683" s="75"/>
      <c r="I683" s="75"/>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t="s">
        <v>439</v>
      </c>
      <c r="BG683" s="75"/>
      <c r="BH683" s="75"/>
      <c r="BI683" s="75" t="s">
        <v>439</v>
      </c>
      <c r="BJ683" s="75"/>
      <c r="BK683" s="75"/>
      <c r="BL683" s="75" t="s">
        <v>439</v>
      </c>
      <c r="BM683" s="75"/>
    </row>
    <row r="684" spans="1:65" ht="12.75" customHeight="1" x14ac:dyDescent="0.2">
      <c r="A684" s="38"/>
      <c r="B684" s="38"/>
      <c r="C684" s="75"/>
      <c r="D684" s="75"/>
      <c r="E684" s="75"/>
      <c r="F684" s="75"/>
      <c r="G684" s="75"/>
      <c r="H684" s="75"/>
      <c r="I684" s="75"/>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t="s">
        <v>439</v>
      </c>
      <c r="BG684" s="75"/>
      <c r="BH684" s="75"/>
      <c r="BI684" s="75" t="s">
        <v>439</v>
      </c>
      <c r="BJ684" s="75"/>
      <c r="BK684" s="75"/>
      <c r="BL684" s="75" t="s">
        <v>439</v>
      </c>
      <c r="BM684" s="75"/>
    </row>
    <row r="685" spans="1:65" ht="12.75" customHeight="1" x14ac:dyDescent="0.2">
      <c r="A685" s="38"/>
      <c r="B685" s="38"/>
      <c r="C685" s="75"/>
      <c r="D685" s="75"/>
      <c r="E685" s="75"/>
      <c r="F685" s="75"/>
      <c r="G685" s="75"/>
      <c r="H685" s="75"/>
      <c r="I685" s="75"/>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t="s">
        <v>439</v>
      </c>
      <c r="BG685" s="75"/>
      <c r="BH685" s="75"/>
      <c r="BI685" s="75" t="s">
        <v>439</v>
      </c>
      <c r="BJ685" s="75"/>
      <c r="BK685" s="75"/>
      <c r="BL685" s="75" t="s">
        <v>439</v>
      </c>
      <c r="BM685" s="75"/>
    </row>
    <row r="686" spans="1:65" ht="12.75" customHeight="1" x14ac:dyDescent="0.2">
      <c r="A686" s="38"/>
      <c r="B686" s="38"/>
      <c r="C686" s="75"/>
      <c r="D686" s="75"/>
      <c r="E686" s="75"/>
      <c r="F686" s="75"/>
      <c r="G686" s="75"/>
      <c r="H686" s="75"/>
      <c r="I686" s="75"/>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t="s">
        <v>439</v>
      </c>
      <c r="BG686" s="75"/>
      <c r="BH686" s="75"/>
      <c r="BI686" s="75" t="s">
        <v>439</v>
      </c>
      <c r="BJ686" s="75"/>
      <c r="BK686" s="75"/>
      <c r="BL686" s="75" t="s">
        <v>439</v>
      </c>
      <c r="BM686" s="75"/>
    </row>
    <row r="687" spans="1:65" ht="12.75" customHeight="1" x14ac:dyDescent="0.2">
      <c r="A687" s="38"/>
      <c r="B687" s="38"/>
      <c r="C687" s="75"/>
      <c r="D687" s="75"/>
      <c r="E687" s="75"/>
      <c r="F687" s="75"/>
      <c r="G687" s="75"/>
      <c r="H687" s="75"/>
      <c r="I687" s="75"/>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t="s">
        <v>439</v>
      </c>
      <c r="BG687" s="75"/>
      <c r="BH687" s="75"/>
      <c r="BI687" s="75" t="s">
        <v>439</v>
      </c>
      <c r="BJ687" s="75"/>
      <c r="BK687" s="75"/>
      <c r="BL687" s="75" t="s">
        <v>439</v>
      </c>
      <c r="BM687" s="75"/>
    </row>
    <row r="688" spans="1:65" ht="12.75" customHeight="1" x14ac:dyDescent="0.2">
      <c r="A688" s="38"/>
      <c r="B688" s="38"/>
      <c r="C688" s="75"/>
      <c r="D688" s="75"/>
      <c r="E688" s="75"/>
      <c r="F688" s="75"/>
      <c r="G688" s="75"/>
      <c r="H688" s="75"/>
      <c r="I688" s="75"/>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t="s">
        <v>439</v>
      </c>
      <c r="BG688" s="75"/>
      <c r="BH688" s="75"/>
      <c r="BI688" s="75" t="s">
        <v>439</v>
      </c>
      <c r="BJ688" s="75"/>
      <c r="BK688" s="75"/>
      <c r="BL688" s="75" t="s">
        <v>439</v>
      </c>
      <c r="BM688" s="75"/>
    </row>
    <row r="689" spans="1:65" ht="12.75" customHeight="1" x14ac:dyDescent="0.2">
      <c r="A689" s="38"/>
      <c r="B689" s="38"/>
      <c r="C689" s="75"/>
      <c r="D689" s="75"/>
      <c r="E689" s="75"/>
      <c r="F689" s="75"/>
      <c r="G689" s="75"/>
      <c r="H689" s="75"/>
      <c r="I689" s="75"/>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t="s">
        <v>439</v>
      </c>
      <c r="BG689" s="75"/>
      <c r="BH689" s="75"/>
      <c r="BI689" s="75" t="s">
        <v>439</v>
      </c>
      <c r="BJ689" s="75"/>
      <c r="BK689" s="75"/>
      <c r="BL689" s="75" t="s">
        <v>439</v>
      </c>
      <c r="BM689" s="75"/>
    </row>
    <row r="690" spans="1:65" ht="12.75" customHeight="1" x14ac:dyDescent="0.2">
      <c r="A690" s="38"/>
      <c r="B690" s="38"/>
      <c r="C690" s="75"/>
      <c r="D690" s="75"/>
      <c r="E690" s="75"/>
      <c r="F690" s="75"/>
      <c r="G690" s="75"/>
      <c r="H690" s="75"/>
      <c r="I690" s="75"/>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t="s">
        <v>439</v>
      </c>
      <c r="BG690" s="75"/>
      <c r="BH690" s="75"/>
      <c r="BI690" s="75" t="s">
        <v>439</v>
      </c>
      <c r="BJ690" s="75"/>
      <c r="BK690" s="75"/>
      <c r="BL690" s="75" t="s">
        <v>439</v>
      </c>
      <c r="BM690" s="75"/>
    </row>
    <row r="691" spans="1:65" ht="12.75" customHeight="1" x14ac:dyDescent="0.2">
      <c r="A691" s="38"/>
      <c r="B691" s="38"/>
      <c r="C691" s="75"/>
      <c r="D691" s="75"/>
      <c r="E691" s="75"/>
      <c r="F691" s="75"/>
      <c r="G691" s="75"/>
      <c r="H691" s="75"/>
      <c r="I691" s="75"/>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t="s">
        <v>439</v>
      </c>
      <c r="BG691" s="75"/>
      <c r="BH691" s="75"/>
      <c r="BI691" s="75" t="s">
        <v>439</v>
      </c>
      <c r="BJ691" s="75"/>
      <c r="BK691" s="75"/>
      <c r="BL691" s="75" t="s">
        <v>439</v>
      </c>
      <c r="BM691" s="75"/>
    </row>
    <row r="692" spans="1:65" ht="12.75" customHeight="1" x14ac:dyDescent="0.2">
      <c r="A692" s="38"/>
      <c r="B692" s="38"/>
      <c r="C692" s="75"/>
      <c r="D692" s="75"/>
      <c r="E692" s="75"/>
      <c r="F692" s="75"/>
      <c r="G692" s="75"/>
      <c r="H692" s="75"/>
      <c r="I692" s="75"/>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t="s">
        <v>439</v>
      </c>
      <c r="BG692" s="75"/>
      <c r="BH692" s="75"/>
      <c r="BI692" s="75" t="s">
        <v>439</v>
      </c>
      <c r="BJ692" s="75"/>
      <c r="BK692" s="75"/>
      <c r="BL692" s="75" t="s">
        <v>439</v>
      </c>
      <c r="BM692" s="75"/>
    </row>
    <row r="693" spans="1:65" ht="12.75" customHeight="1" x14ac:dyDescent="0.2">
      <c r="A693" s="38"/>
      <c r="B693" s="38"/>
      <c r="C693" s="75"/>
      <c r="D693" s="75"/>
      <c r="E693" s="75"/>
      <c r="F693" s="75"/>
      <c r="G693" s="75"/>
      <c r="H693" s="75"/>
      <c r="I693" s="75"/>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t="s">
        <v>439</v>
      </c>
      <c r="BG693" s="75"/>
      <c r="BH693" s="75"/>
      <c r="BI693" s="75" t="s">
        <v>439</v>
      </c>
      <c r="BJ693" s="75"/>
      <c r="BK693" s="75"/>
      <c r="BL693" s="75" t="s">
        <v>439</v>
      </c>
      <c r="BM693" s="75"/>
    </row>
    <row r="694" spans="1:65" ht="12.75" customHeight="1" x14ac:dyDescent="0.2">
      <c r="A694" s="38"/>
      <c r="B694" s="38"/>
      <c r="C694" s="75"/>
      <c r="D694" s="75"/>
      <c r="E694" s="75"/>
      <c r="F694" s="75"/>
      <c r="G694" s="75"/>
      <c r="H694" s="75"/>
      <c r="I694" s="75"/>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t="s">
        <v>439</v>
      </c>
      <c r="BG694" s="75"/>
      <c r="BH694" s="75"/>
      <c r="BI694" s="75" t="s">
        <v>439</v>
      </c>
      <c r="BJ694" s="75"/>
      <c r="BK694" s="75"/>
      <c r="BL694" s="75" t="s">
        <v>439</v>
      </c>
      <c r="BM694" s="75"/>
    </row>
    <row r="695" spans="1:65" ht="12.75" customHeight="1" x14ac:dyDescent="0.2">
      <c r="A695" s="38"/>
      <c r="B695" s="38"/>
      <c r="C695" s="75"/>
      <c r="D695" s="75"/>
      <c r="E695" s="75"/>
      <c r="F695" s="75"/>
      <c r="G695" s="75"/>
      <c r="H695" s="75"/>
      <c r="I695" s="75"/>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t="s">
        <v>439</v>
      </c>
      <c r="BG695" s="75"/>
      <c r="BH695" s="75"/>
      <c r="BI695" s="75" t="s">
        <v>439</v>
      </c>
      <c r="BJ695" s="75"/>
      <c r="BK695" s="75"/>
      <c r="BL695" s="75" t="s">
        <v>439</v>
      </c>
      <c r="BM695" s="75"/>
    </row>
    <row r="696" spans="1:65" ht="12.75" customHeight="1" x14ac:dyDescent="0.2">
      <c r="A696" s="38"/>
      <c r="B696" s="38"/>
      <c r="C696" s="75"/>
      <c r="D696" s="75"/>
      <c r="E696" s="75"/>
      <c r="F696" s="75"/>
      <c r="G696" s="75"/>
      <c r="H696" s="75"/>
      <c r="I696" s="75"/>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t="s">
        <v>439</v>
      </c>
      <c r="BG696" s="75"/>
      <c r="BH696" s="75"/>
      <c r="BI696" s="75" t="s">
        <v>439</v>
      </c>
      <c r="BJ696" s="75"/>
      <c r="BK696" s="75"/>
      <c r="BL696" s="75" t="s">
        <v>439</v>
      </c>
      <c r="BM696" s="75"/>
    </row>
    <row r="697" spans="1:65" ht="12.75" customHeight="1" x14ac:dyDescent="0.2">
      <c r="A697" s="38"/>
      <c r="B697" s="38"/>
      <c r="C697" s="75"/>
      <c r="D697" s="75"/>
      <c r="E697" s="75"/>
      <c r="F697" s="75"/>
      <c r="G697" s="75"/>
      <c r="H697" s="75"/>
      <c r="I697" s="75"/>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t="s">
        <v>439</v>
      </c>
      <c r="BG697" s="75"/>
      <c r="BH697" s="75"/>
      <c r="BI697" s="75" t="s">
        <v>439</v>
      </c>
      <c r="BJ697" s="75"/>
      <c r="BK697" s="75"/>
      <c r="BL697" s="75" t="s">
        <v>439</v>
      </c>
      <c r="BM697" s="75"/>
    </row>
    <row r="698" spans="1:65" ht="12.75" customHeight="1" x14ac:dyDescent="0.2">
      <c r="A698" s="38"/>
      <c r="B698" s="38"/>
      <c r="C698" s="75"/>
      <c r="D698" s="75"/>
      <c r="E698" s="75"/>
      <c r="F698" s="75"/>
      <c r="G698" s="75"/>
      <c r="H698" s="75"/>
      <c r="I698" s="75"/>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t="s">
        <v>439</v>
      </c>
      <c r="BG698" s="75"/>
      <c r="BH698" s="75"/>
      <c r="BI698" s="75" t="s">
        <v>439</v>
      </c>
      <c r="BJ698" s="75"/>
      <c r="BK698" s="75"/>
      <c r="BL698" s="75" t="s">
        <v>439</v>
      </c>
      <c r="BM698" s="75"/>
    </row>
    <row r="699" spans="1:65" ht="12.75" customHeight="1" x14ac:dyDescent="0.2">
      <c r="A699" s="38"/>
      <c r="B699" s="38"/>
      <c r="C699" s="75"/>
      <c r="D699" s="75"/>
      <c r="E699" s="75"/>
      <c r="F699" s="75"/>
      <c r="G699" s="75"/>
      <c r="H699" s="75"/>
      <c r="I699" s="75"/>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t="s">
        <v>439</v>
      </c>
      <c r="BG699" s="75"/>
      <c r="BH699" s="75"/>
      <c r="BI699" s="75" t="s">
        <v>439</v>
      </c>
      <c r="BJ699" s="75"/>
      <c r="BK699" s="75"/>
      <c r="BL699" s="75" t="s">
        <v>439</v>
      </c>
      <c r="BM699" s="75"/>
    </row>
    <row r="700" spans="1:65" ht="12.75" customHeight="1" x14ac:dyDescent="0.2">
      <c r="A700" s="38"/>
      <c r="B700" s="38"/>
      <c r="C700" s="75"/>
      <c r="D700" s="75"/>
      <c r="E700" s="75"/>
      <c r="F700" s="75"/>
      <c r="G700" s="75"/>
      <c r="H700" s="75"/>
      <c r="I700" s="75"/>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t="s">
        <v>439</v>
      </c>
      <c r="BG700" s="75"/>
      <c r="BH700" s="75"/>
      <c r="BI700" s="75" t="s">
        <v>439</v>
      </c>
      <c r="BJ700" s="75"/>
      <c r="BK700" s="75"/>
      <c r="BL700" s="75" t="s">
        <v>439</v>
      </c>
      <c r="BM700" s="75"/>
    </row>
    <row r="701" spans="1:65" ht="12.75" customHeight="1" x14ac:dyDescent="0.2">
      <c r="A701" s="38"/>
      <c r="B701" s="38"/>
      <c r="C701" s="75"/>
      <c r="D701" s="75"/>
      <c r="E701" s="75"/>
      <c r="F701" s="75"/>
      <c r="G701" s="75"/>
      <c r="H701" s="75"/>
      <c r="I701" s="75"/>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t="s">
        <v>439</v>
      </c>
      <c r="BG701" s="75"/>
      <c r="BH701" s="75"/>
      <c r="BI701" s="75" t="s">
        <v>439</v>
      </c>
      <c r="BJ701" s="75"/>
      <c r="BK701" s="75"/>
      <c r="BL701" s="75" t="s">
        <v>439</v>
      </c>
      <c r="BM701" s="75"/>
    </row>
    <row r="702" spans="1:65" ht="12.75" customHeight="1" x14ac:dyDescent="0.2">
      <c r="A702" s="38"/>
      <c r="B702" s="38"/>
      <c r="C702" s="75"/>
      <c r="D702" s="75"/>
      <c r="E702" s="75"/>
      <c r="F702" s="75"/>
      <c r="G702" s="75"/>
      <c r="H702" s="75"/>
      <c r="I702" s="75"/>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t="s">
        <v>439</v>
      </c>
      <c r="BG702" s="75"/>
      <c r="BH702" s="75"/>
      <c r="BI702" s="75" t="s">
        <v>439</v>
      </c>
      <c r="BJ702" s="75"/>
      <c r="BK702" s="75"/>
      <c r="BL702" s="75" t="s">
        <v>439</v>
      </c>
      <c r="BM702" s="75"/>
    </row>
    <row r="703" spans="1:65" ht="12.75" customHeight="1" x14ac:dyDescent="0.2">
      <c r="A703" s="38"/>
      <c r="B703" s="38"/>
      <c r="C703" s="75"/>
      <c r="D703" s="75"/>
      <c r="E703" s="75"/>
      <c r="F703" s="75"/>
      <c r="G703" s="75"/>
      <c r="H703" s="75"/>
      <c r="I703" s="75"/>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t="s">
        <v>439</v>
      </c>
      <c r="BG703" s="75"/>
      <c r="BH703" s="75"/>
      <c r="BI703" s="75" t="s">
        <v>439</v>
      </c>
      <c r="BJ703" s="75"/>
      <c r="BK703" s="75"/>
      <c r="BL703" s="75" t="s">
        <v>439</v>
      </c>
      <c r="BM703" s="75"/>
    </row>
    <row r="704" spans="1:65" ht="12.75" customHeight="1" x14ac:dyDescent="0.2">
      <c r="A704" s="38"/>
      <c r="B704" s="38"/>
      <c r="C704" s="75"/>
      <c r="D704" s="75"/>
      <c r="E704" s="75"/>
      <c r="F704" s="75"/>
      <c r="G704" s="75"/>
      <c r="H704" s="75"/>
      <c r="I704" s="75"/>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t="s">
        <v>439</v>
      </c>
      <c r="BG704" s="75"/>
      <c r="BH704" s="75"/>
      <c r="BI704" s="75" t="s">
        <v>439</v>
      </c>
      <c r="BJ704" s="75"/>
      <c r="BK704" s="75"/>
      <c r="BL704" s="75" t="s">
        <v>439</v>
      </c>
      <c r="BM704" s="75"/>
    </row>
    <row r="705" spans="1:65" ht="12.75" customHeight="1" x14ac:dyDescent="0.2">
      <c r="A705" s="38"/>
      <c r="B705" s="38"/>
      <c r="C705" s="75"/>
      <c r="D705" s="75"/>
      <c r="E705" s="75"/>
      <c r="F705" s="75"/>
      <c r="G705" s="75"/>
      <c r="H705" s="75"/>
      <c r="I705" s="75"/>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t="s">
        <v>439</v>
      </c>
      <c r="BG705" s="75"/>
      <c r="BH705" s="75"/>
      <c r="BI705" s="75" t="s">
        <v>439</v>
      </c>
      <c r="BJ705" s="75"/>
      <c r="BK705" s="75"/>
      <c r="BL705" s="75" t="s">
        <v>439</v>
      </c>
      <c r="BM705" s="75"/>
    </row>
    <row r="706" spans="1:65" ht="12.75" customHeight="1" x14ac:dyDescent="0.2">
      <c r="A706" s="38"/>
      <c r="B706" s="38"/>
      <c r="C706" s="75"/>
      <c r="D706" s="75"/>
      <c r="E706" s="75"/>
      <c r="F706" s="75"/>
      <c r="G706" s="75"/>
      <c r="H706" s="75"/>
      <c r="I706" s="75"/>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t="s">
        <v>439</v>
      </c>
      <c r="BG706" s="75"/>
      <c r="BH706" s="75"/>
      <c r="BI706" s="75" t="s">
        <v>439</v>
      </c>
      <c r="BJ706" s="75"/>
      <c r="BK706" s="75"/>
      <c r="BL706" s="75" t="s">
        <v>439</v>
      </c>
      <c r="BM706" s="75"/>
    </row>
    <row r="707" spans="1:65" ht="12.75" customHeight="1" x14ac:dyDescent="0.2">
      <c r="A707" s="38"/>
      <c r="B707" s="38"/>
      <c r="C707" s="75"/>
      <c r="D707" s="75"/>
      <c r="E707" s="75"/>
      <c r="F707" s="75"/>
      <c r="G707" s="75"/>
      <c r="H707" s="75"/>
      <c r="I707" s="75"/>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t="s">
        <v>439</v>
      </c>
      <c r="BG707" s="75"/>
      <c r="BH707" s="75"/>
      <c r="BI707" s="75" t="s">
        <v>439</v>
      </c>
      <c r="BJ707" s="75"/>
      <c r="BK707" s="75"/>
      <c r="BL707" s="75" t="s">
        <v>439</v>
      </c>
      <c r="BM707" s="75"/>
    </row>
    <row r="708" spans="1:65" ht="12.75" customHeight="1" x14ac:dyDescent="0.2">
      <c r="A708" s="38"/>
      <c r="B708" s="38"/>
      <c r="C708" s="75"/>
      <c r="D708" s="75"/>
      <c r="E708" s="75"/>
      <c r="F708" s="75"/>
      <c r="G708" s="75"/>
      <c r="H708" s="75"/>
      <c r="I708" s="75"/>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t="s">
        <v>439</v>
      </c>
      <c r="BG708" s="75"/>
      <c r="BH708" s="75"/>
      <c r="BI708" s="75" t="s">
        <v>439</v>
      </c>
      <c r="BJ708" s="75"/>
      <c r="BK708" s="75"/>
      <c r="BL708" s="75" t="s">
        <v>439</v>
      </c>
      <c r="BM708" s="75"/>
    </row>
    <row r="709" spans="1:65" ht="12.75" customHeight="1" x14ac:dyDescent="0.2">
      <c r="A709" s="38"/>
      <c r="B709" s="38"/>
      <c r="C709" s="75"/>
      <c r="D709" s="75"/>
      <c r="E709" s="75"/>
      <c r="F709" s="75"/>
      <c r="G709" s="75"/>
      <c r="H709" s="75"/>
      <c r="I709" s="75"/>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t="s">
        <v>439</v>
      </c>
      <c r="BG709" s="75"/>
      <c r="BH709" s="75"/>
      <c r="BI709" s="75" t="s">
        <v>439</v>
      </c>
      <c r="BJ709" s="75"/>
      <c r="BK709" s="75"/>
      <c r="BL709" s="75" t="s">
        <v>439</v>
      </c>
      <c r="BM709" s="75"/>
    </row>
    <row r="710" spans="1:65" ht="12.75" customHeight="1" x14ac:dyDescent="0.2">
      <c r="A710" s="38"/>
      <c r="B710" s="38"/>
      <c r="C710" s="75"/>
      <c r="D710" s="75"/>
      <c r="E710" s="75"/>
      <c r="F710" s="75"/>
      <c r="G710" s="75"/>
      <c r="H710" s="75"/>
      <c r="I710" s="75"/>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t="s">
        <v>439</v>
      </c>
      <c r="BG710" s="75"/>
      <c r="BH710" s="75"/>
      <c r="BI710" s="75" t="s">
        <v>439</v>
      </c>
      <c r="BJ710" s="75"/>
      <c r="BK710" s="75"/>
      <c r="BL710" s="75" t="s">
        <v>439</v>
      </c>
      <c r="BM710" s="75"/>
    </row>
    <row r="711" spans="1:65" ht="12.75" customHeight="1" x14ac:dyDescent="0.2">
      <c r="A711" s="38"/>
      <c r="B711" s="38"/>
      <c r="C711" s="75"/>
      <c r="D711" s="75"/>
      <c r="E711" s="75"/>
      <c r="F711" s="75"/>
      <c r="G711" s="75"/>
      <c r="H711" s="75"/>
      <c r="I711" s="75"/>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t="s">
        <v>439</v>
      </c>
      <c r="BG711" s="75"/>
      <c r="BH711" s="75"/>
      <c r="BI711" s="75" t="s">
        <v>439</v>
      </c>
      <c r="BJ711" s="75"/>
      <c r="BK711" s="75"/>
      <c r="BL711" s="75" t="s">
        <v>439</v>
      </c>
      <c r="BM711" s="75"/>
    </row>
    <row r="712" spans="1:65" ht="12.75" customHeight="1" x14ac:dyDescent="0.2">
      <c r="A712" s="38"/>
      <c r="B712" s="38"/>
      <c r="C712" s="75"/>
      <c r="D712" s="75"/>
      <c r="E712" s="75"/>
      <c r="F712" s="75"/>
      <c r="G712" s="75"/>
      <c r="H712" s="75"/>
      <c r="I712" s="75"/>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t="s">
        <v>439</v>
      </c>
      <c r="BG712" s="75"/>
      <c r="BH712" s="75"/>
      <c r="BI712" s="75" t="s">
        <v>439</v>
      </c>
      <c r="BJ712" s="75"/>
      <c r="BK712" s="75"/>
      <c r="BL712" s="75" t="s">
        <v>439</v>
      </c>
      <c r="BM712" s="75"/>
    </row>
    <row r="713" spans="1:65" ht="12.75" customHeight="1" x14ac:dyDescent="0.2">
      <c r="A713" s="38"/>
      <c r="B713" s="38"/>
      <c r="C713" s="75"/>
      <c r="D713" s="75"/>
      <c r="E713" s="75"/>
      <c r="F713" s="75"/>
      <c r="G713" s="75"/>
      <c r="H713" s="75"/>
      <c r="I713" s="75"/>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t="s">
        <v>439</v>
      </c>
      <c r="BG713" s="75"/>
      <c r="BH713" s="75"/>
      <c r="BI713" s="75" t="s">
        <v>439</v>
      </c>
      <c r="BJ713" s="75"/>
      <c r="BK713" s="75"/>
      <c r="BL713" s="75" t="s">
        <v>439</v>
      </c>
      <c r="BM713" s="75"/>
    </row>
    <row r="714" spans="1:65" ht="12.75" customHeight="1" x14ac:dyDescent="0.2">
      <c r="A714" s="38"/>
      <c r="B714" s="38"/>
      <c r="C714" s="75"/>
      <c r="D714" s="75"/>
      <c r="E714" s="75"/>
      <c r="F714" s="75"/>
      <c r="G714" s="75"/>
      <c r="H714" s="75"/>
      <c r="I714" s="75"/>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t="s">
        <v>439</v>
      </c>
      <c r="BG714" s="75"/>
      <c r="BH714" s="75"/>
      <c r="BI714" s="75" t="s">
        <v>439</v>
      </c>
      <c r="BJ714" s="75"/>
      <c r="BK714" s="75"/>
      <c r="BL714" s="75" t="s">
        <v>439</v>
      </c>
      <c r="BM714" s="75"/>
    </row>
    <row r="715" spans="1:65" ht="12.75" customHeight="1" x14ac:dyDescent="0.2">
      <c r="A715" s="38"/>
      <c r="B715" s="38"/>
      <c r="C715" s="75"/>
      <c r="D715" s="75"/>
      <c r="E715" s="75"/>
      <c r="F715" s="75"/>
      <c r="G715" s="75"/>
      <c r="H715" s="75"/>
      <c r="I715" s="75"/>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t="s">
        <v>439</v>
      </c>
      <c r="BG715" s="75"/>
      <c r="BH715" s="75"/>
      <c r="BI715" s="75" t="s">
        <v>439</v>
      </c>
      <c r="BJ715" s="75"/>
      <c r="BK715" s="75"/>
      <c r="BL715" s="75" t="s">
        <v>439</v>
      </c>
      <c r="BM715" s="75"/>
    </row>
    <row r="716" spans="1:65" ht="12.75" customHeight="1" x14ac:dyDescent="0.2">
      <c r="A716" s="38"/>
      <c r="B716" s="38"/>
      <c r="C716" s="75"/>
      <c r="D716" s="75"/>
      <c r="E716" s="75"/>
      <c r="F716" s="75"/>
      <c r="G716" s="75"/>
      <c r="H716" s="75"/>
      <c r="I716" s="75"/>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t="s">
        <v>439</v>
      </c>
      <c r="BG716" s="75"/>
      <c r="BH716" s="75"/>
      <c r="BI716" s="75" t="s">
        <v>439</v>
      </c>
      <c r="BJ716" s="75"/>
      <c r="BK716" s="75"/>
      <c r="BL716" s="75" t="s">
        <v>439</v>
      </c>
      <c r="BM716" s="75"/>
    </row>
    <row r="717" spans="1:65" ht="12.75" customHeight="1" x14ac:dyDescent="0.2">
      <c r="A717" s="38"/>
      <c r="B717" s="38"/>
      <c r="C717" s="75"/>
      <c r="D717" s="75"/>
      <c r="E717" s="75"/>
      <c r="F717" s="75"/>
      <c r="G717" s="75"/>
      <c r="H717" s="75"/>
      <c r="I717" s="75"/>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t="s">
        <v>439</v>
      </c>
      <c r="BG717" s="75"/>
      <c r="BH717" s="75"/>
      <c r="BI717" s="75" t="s">
        <v>439</v>
      </c>
      <c r="BJ717" s="75"/>
      <c r="BK717" s="75"/>
      <c r="BL717" s="75" t="s">
        <v>439</v>
      </c>
      <c r="BM717" s="75"/>
    </row>
    <row r="718" spans="1:65" ht="12.75" customHeight="1" x14ac:dyDescent="0.2">
      <c r="A718" s="38"/>
      <c r="B718" s="38"/>
      <c r="C718" s="75"/>
      <c r="D718" s="75"/>
      <c r="E718" s="75"/>
      <c r="F718" s="75"/>
      <c r="G718" s="75"/>
      <c r="H718" s="75"/>
      <c r="I718" s="75"/>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t="s">
        <v>439</v>
      </c>
      <c r="BG718" s="75"/>
      <c r="BH718" s="75"/>
      <c r="BI718" s="75" t="s">
        <v>439</v>
      </c>
      <c r="BJ718" s="75"/>
      <c r="BK718" s="75"/>
      <c r="BL718" s="75" t="s">
        <v>439</v>
      </c>
      <c r="BM718" s="75"/>
    </row>
    <row r="719" spans="1:65" ht="12.75" customHeight="1" x14ac:dyDescent="0.2">
      <c r="A719" s="38"/>
      <c r="B719" s="38"/>
      <c r="C719" s="75"/>
      <c r="D719" s="75"/>
      <c r="E719" s="75"/>
      <c r="F719" s="75"/>
      <c r="G719" s="75"/>
      <c r="H719" s="75"/>
      <c r="I719" s="75"/>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t="s">
        <v>439</v>
      </c>
      <c r="BG719" s="75"/>
      <c r="BH719" s="75"/>
      <c r="BI719" s="75" t="s">
        <v>439</v>
      </c>
      <c r="BJ719" s="75"/>
      <c r="BK719" s="75"/>
      <c r="BL719" s="75" t="s">
        <v>439</v>
      </c>
      <c r="BM719" s="75"/>
    </row>
    <row r="720" spans="1:65" ht="12.75" customHeight="1" x14ac:dyDescent="0.2">
      <c r="A720" s="38"/>
      <c r="B720" s="38"/>
      <c r="C720" s="75"/>
      <c r="D720" s="75"/>
      <c r="E720" s="75"/>
      <c r="F720" s="75"/>
      <c r="G720" s="75"/>
      <c r="H720" s="75"/>
      <c r="I720" s="75"/>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t="s">
        <v>439</v>
      </c>
      <c r="BG720" s="75"/>
      <c r="BH720" s="75"/>
      <c r="BI720" s="75" t="s">
        <v>439</v>
      </c>
      <c r="BJ720" s="75"/>
      <c r="BK720" s="75"/>
      <c r="BL720" s="75" t="s">
        <v>439</v>
      </c>
      <c r="BM720" s="75"/>
    </row>
    <row r="721" spans="1:65" ht="12.75" customHeight="1" x14ac:dyDescent="0.2">
      <c r="A721" s="38"/>
      <c r="B721" s="38"/>
      <c r="C721" s="75"/>
      <c r="D721" s="75"/>
      <c r="E721" s="75"/>
      <c r="F721" s="75"/>
      <c r="G721" s="75"/>
      <c r="H721" s="75"/>
      <c r="I721" s="75"/>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t="s">
        <v>439</v>
      </c>
      <c r="BG721" s="75"/>
      <c r="BH721" s="75"/>
      <c r="BI721" s="75" t="s">
        <v>439</v>
      </c>
      <c r="BJ721" s="75"/>
      <c r="BK721" s="75"/>
      <c r="BL721" s="75" t="s">
        <v>439</v>
      </c>
      <c r="BM721" s="75"/>
    </row>
    <row r="722" spans="1:65" ht="12.75" customHeight="1" x14ac:dyDescent="0.2">
      <c r="A722" s="38"/>
      <c r="B722" s="38"/>
      <c r="C722" s="75"/>
      <c r="D722" s="75"/>
      <c r="E722" s="75"/>
      <c r="F722" s="75"/>
      <c r="G722" s="75"/>
      <c r="H722" s="75"/>
      <c r="I722" s="75"/>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t="s">
        <v>439</v>
      </c>
      <c r="BG722" s="75"/>
      <c r="BH722" s="75"/>
      <c r="BI722" s="75" t="s">
        <v>439</v>
      </c>
      <c r="BJ722" s="75"/>
      <c r="BK722" s="75"/>
      <c r="BL722" s="75" t="s">
        <v>439</v>
      </c>
      <c r="BM722" s="75"/>
    </row>
    <row r="723" spans="1:65" ht="12.75" customHeight="1" x14ac:dyDescent="0.2">
      <c r="A723" s="38"/>
      <c r="B723" s="38"/>
      <c r="C723" s="75"/>
      <c r="D723" s="75"/>
      <c r="E723" s="75"/>
      <c r="F723" s="75"/>
      <c r="G723" s="75"/>
      <c r="H723" s="75"/>
      <c r="I723" s="75"/>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t="s">
        <v>439</v>
      </c>
      <c r="BG723" s="75"/>
      <c r="BH723" s="75"/>
      <c r="BI723" s="75" t="s">
        <v>439</v>
      </c>
      <c r="BJ723" s="75"/>
      <c r="BK723" s="75"/>
      <c r="BL723" s="75" t="s">
        <v>439</v>
      </c>
      <c r="BM723" s="75"/>
    </row>
    <row r="724" spans="1:65" ht="12.75" customHeight="1" x14ac:dyDescent="0.2">
      <c r="A724" s="38"/>
      <c r="B724" s="38"/>
      <c r="C724" s="75"/>
      <c r="D724" s="75"/>
      <c r="E724" s="75"/>
      <c r="F724" s="75"/>
      <c r="G724" s="75"/>
      <c r="H724" s="75"/>
      <c r="I724" s="75"/>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t="s">
        <v>439</v>
      </c>
      <c r="BG724" s="75"/>
      <c r="BH724" s="75"/>
      <c r="BI724" s="75" t="s">
        <v>439</v>
      </c>
      <c r="BJ724" s="75"/>
      <c r="BK724" s="75"/>
      <c r="BL724" s="75" t="s">
        <v>439</v>
      </c>
      <c r="BM724" s="75"/>
    </row>
    <row r="725" spans="1:65" ht="12.75" customHeight="1" x14ac:dyDescent="0.2">
      <c r="A725" s="38"/>
      <c r="B725" s="38"/>
      <c r="C725" s="75"/>
      <c r="D725" s="75"/>
      <c r="E725" s="75"/>
      <c r="F725" s="75"/>
      <c r="G725" s="75"/>
      <c r="H725" s="75"/>
      <c r="I725" s="75"/>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t="s">
        <v>439</v>
      </c>
      <c r="BG725" s="75"/>
      <c r="BH725" s="75"/>
      <c r="BI725" s="75" t="s">
        <v>439</v>
      </c>
      <c r="BJ725" s="75"/>
      <c r="BK725" s="75"/>
      <c r="BL725" s="75" t="s">
        <v>439</v>
      </c>
      <c r="BM725" s="75"/>
    </row>
    <row r="726" spans="1:65" ht="12.75" customHeight="1" x14ac:dyDescent="0.2">
      <c r="A726" s="38"/>
      <c r="B726" s="38"/>
      <c r="C726" s="75"/>
      <c r="D726" s="75"/>
      <c r="E726" s="75"/>
      <c r="F726" s="75"/>
      <c r="G726" s="75"/>
      <c r="H726" s="75"/>
      <c r="I726" s="75"/>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t="s">
        <v>439</v>
      </c>
      <c r="BG726" s="75"/>
      <c r="BH726" s="75"/>
      <c r="BI726" s="75" t="s">
        <v>439</v>
      </c>
      <c r="BJ726" s="75"/>
      <c r="BK726" s="75"/>
      <c r="BL726" s="75" t="s">
        <v>439</v>
      </c>
      <c r="BM726" s="75"/>
    </row>
    <row r="727" spans="1:65" ht="12.75" customHeight="1" x14ac:dyDescent="0.2">
      <c r="A727" s="38"/>
      <c r="B727" s="38"/>
      <c r="C727" s="75"/>
      <c r="D727" s="75"/>
      <c r="E727" s="75"/>
      <c r="F727" s="75"/>
      <c r="G727" s="75"/>
      <c r="H727" s="75"/>
      <c r="I727" s="75"/>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t="s">
        <v>439</v>
      </c>
      <c r="BG727" s="75"/>
      <c r="BH727" s="75"/>
      <c r="BI727" s="75" t="s">
        <v>439</v>
      </c>
      <c r="BJ727" s="75"/>
      <c r="BK727" s="75"/>
      <c r="BL727" s="75" t="s">
        <v>439</v>
      </c>
      <c r="BM727" s="75"/>
    </row>
    <row r="728" spans="1:65" ht="12.75" customHeight="1" x14ac:dyDescent="0.2">
      <c r="A728" s="38"/>
      <c r="B728" s="38"/>
      <c r="C728" s="75"/>
      <c r="D728" s="75"/>
      <c r="E728" s="75"/>
      <c r="F728" s="75"/>
      <c r="G728" s="75"/>
      <c r="H728" s="75"/>
      <c r="I728" s="75"/>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t="s">
        <v>439</v>
      </c>
      <c r="BG728" s="75"/>
      <c r="BH728" s="75"/>
      <c r="BI728" s="75" t="s">
        <v>439</v>
      </c>
      <c r="BJ728" s="75"/>
      <c r="BK728" s="75"/>
      <c r="BL728" s="75" t="s">
        <v>439</v>
      </c>
      <c r="BM728" s="75"/>
    </row>
    <row r="729" spans="1:65" ht="12.75" customHeight="1" x14ac:dyDescent="0.2">
      <c r="A729" s="38"/>
      <c r="B729" s="38"/>
      <c r="C729" s="75"/>
      <c r="D729" s="75"/>
      <c r="E729" s="75"/>
      <c r="F729" s="75"/>
      <c r="G729" s="75"/>
      <c r="H729" s="75"/>
      <c r="I729" s="75"/>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t="s">
        <v>439</v>
      </c>
      <c r="BG729" s="75"/>
      <c r="BH729" s="75"/>
      <c r="BI729" s="75" t="s">
        <v>439</v>
      </c>
      <c r="BJ729" s="75"/>
      <c r="BK729" s="75"/>
      <c r="BL729" s="75" t="s">
        <v>439</v>
      </c>
      <c r="BM729" s="75"/>
    </row>
    <row r="730" spans="1:65" ht="12.75" customHeight="1" x14ac:dyDescent="0.2">
      <c r="A730" s="38"/>
      <c r="B730" s="38"/>
      <c r="C730" s="75"/>
      <c r="D730" s="75"/>
      <c r="E730" s="75"/>
      <c r="F730" s="75"/>
      <c r="G730" s="75"/>
      <c r="H730" s="75"/>
      <c r="I730" s="75"/>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t="s">
        <v>439</v>
      </c>
      <c r="BG730" s="75"/>
      <c r="BH730" s="75"/>
      <c r="BI730" s="75" t="s">
        <v>439</v>
      </c>
      <c r="BJ730" s="75"/>
      <c r="BK730" s="75"/>
      <c r="BL730" s="75" t="s">
        <v>439</v>
      </c>
      <c r="BM730" s="75"/>
    </row>
    <row r="731" spans="1:65" ht="12.75" customHeight="1" x14ac:dyDescent="0.2">
      <c r="A731" s="38"/>
      <c r="B731" s="38"/>
      <c r="C731" s="75"/>
      <c r="D731" s="75"/>
      <c r="E731" s="75"/>
      <c r="F731" s="75"/>
      <c r="G731" s="75"/>
      <c r="H731" s="75"/>
      <c r="I731" s="75"/>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t="s">
        <v>439</v>
      </c>
      <c r="BG731" s="75"/>
      <c r="BH731" s="75"/>
      <c r="BI731" s="75" t="s">
        <v>439</v>
      </c>
      <c r="BJ731" s="75"/>
      <c r="BK731" s="75"/>
      <c r="BL731" s="75" t="s">
        <v>439</v>
      </c>
      <c r="BM731" s="75"/>
    </row>
    <row r="732" spans="1:65" ht="12.75" customHeight="1" x14ac:dyDescent="0.2">
      <c r="A732" s="38"/>
      <c r="B732" s="38"/>
      <c r="C732" s="75"/>
      <c r="D732" s="75"/>
      <c r="E732" s="75"/>
      <c r="F732" s="75"/>
      <c r="G732" s="75"/>
      <c r="H732" s="75"/>
      <c r="I732" s="75"/>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t="s">
        <v>439</v>
      </c>
      <c r="BG732" s="75"/>
      <c r="BH732" s="75"/>
      <c r="BI732" s="75" t="s">
        <v>439</v>
      </c>
      <c r="BJ732" s="75"/>
      <c r="BK732" s="75"/>
      <c r="BL732" s="75" t="s">
        <v>439</v>
      </c>
      <c r="BM732" s="75"/>
    </row>
    <row r="733" spans="1:65" ht="12.75" customHeight="1" x14ac:dyDescent="0.2">
      <c r="A733" s="38"/>
      <c r="B733" s="38"/>
      <c r="C733" s="75"/>
      <c r="D733" s="75"/>
      <c r="E733" s="75"/>
      <c r="F733" s="75"/>
      <c r="G733" s="75"/>
      <c r="H733" s="75"/>
      <c r="I733" s="75"/>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t="s">
        <v>439</v>
      </c>
      <c r="BG733" s="75"/>
      <c r="BH733" s="75"/>
      <c r="BI733" s="75" t="s">
        <v>439</v>
      </c>
      <c r="BJ733" s="75"/>
      <c r="BK733" s="75"/>
      <c r="BL733" s="75" t="s">
        <v>439</v>
      </c>
      <c r="BM733" s="75"/>
    </row>
    <row r="734" spans="1:65" ht="12.75" customHeight="1" x14ac:dyDescent="0.2">
      <c r="A734" s="38"/>
      <c r="B734" s="38"/>
      <c r="C734" s="75"/>
      <c r="D734" s="75"/>
      <c r="E734" s="75"/>
      <c r="F734" s="75"/>
      <c r="G734" s="75"/>
      <c r="H734" s="75"/>
      <c r="I734" s="75"/>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t="s">
        <v>439</v>
      </c>
      <c r="BG734" s="75"/>
      <c r="BH734" s="75"/>
      <c r="BI734" s="75" t="s">
        <v>439</v>
      </c>
      <c r="BJ734" s="75"/>
      <c r="BK734" s="75"/>
      <c r="BL734" s="75" t="s">
        <v>439</v>
      </c>
      <c r="BM734" s="75"/>
    </row>
    <row r="735" spans="1:65" ht="12.75" customHeight="1" x14ac:dyDescent="0.2">
      <c r="A735" s="38"/>
      <c r="B735" s="38"/>
      <c r="C735" s="75"/>
      <c r="D735" s="75"/>
      <c r="E735" s="75"/>
      <c r="F735" s="75"/>
      <c r="G735" s="75"/>
      <c r="H735" s="75"/>
      <c r="I735" s="75"/>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t="s">
        <v>439</v>
      </c>
      <c r="BG735" s="75"/>
      <c r="BH735" s="75"/>
      <c r="BI735" s="75" t="s">
        <v>439</v>
      </c>
      <c r="BJ735" s="75"/>
      <c r="BK735" s="75"/>
      <c r="BL735" s="75" t="s">
        <v>439</v>
      </c>
      <c r="BM735" s="75"/>
    </row>
    <row r="736" spans="1:65" ht="12.75" customHeight="1" x14ac:dyDescent="0.2">
      <c r="A736" s="38"/>
      <c r="B736" s="38"/>
      <c r="C736" s="75"/>
      <c r="D736" s="75"/>
      <c r="E736" s="75"/>
      <c r="F736" s="75"/>
      <c r="G736" s="75"/>
      <c r="H736" s="75"/>
      <c r="I736" s="75"/>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t="s">
        <v>439</v>
      </c>
      <c r="BG736" s="75"/>
      <c r="BH736" s="75"/>
      <c r="BI736" s="75" t="s">
        <v>439</v>
      </c>
      <c r="BJ736" s="75"/>
      <c r="BK736" s="75"/>
      <c r="BL736" s="75" t="s">
        <v>439</v>
      </c>
      <c r="BM736" s="75"/>
    </row>
    <row r="737" spans="1:65" ht="12.75" customHeight="1" x14ac:dyDescent="0.2">
      <c r="A737" s="38"/>
      <c r="B737" s="38"/>
      <c r="C737" s="75"/>
      <c r="D737" s="75"/>
      <c r="E737" s="75"/>
      <c r="F737" s="75"/>
      <c r="G737" s="75"/>
      <c r="H737" s="75"/>
      <c r="I737" s="75"/>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t="s">
        <v>439</v>
      </c>
      <c r="BG737" s="75"/>
      <c r="BH737" s="75"/>
      <c r="BI737" s="75" t="s">
        <v>439</v>
      </c>
      <c r="BJ737" s="75"/>
      <c r="BK737" s="75"/>
      <c r="BL737" s="75" t="s">
        <v>439</v>
      </c>
      <c r="BM737" s="75"/>
    </row>
    <row r="738" spans="1:65" ht="12.75" customHeight="1" x14ac:dyDescent="0.2">
      <c r="A738" s="38"/>
      <c r="B738" s="38"/>
      <c r="C738" s="75"/>
      <c r="D738" s="75"/>
      <c r="E738" s="75"/>
      <c r="F738" s="75"/>
      <c r="G738" s="75"/>
      <c r="H738" s="75"/>
      <c r="I738" s="75"/>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t="s">
        <v>439</v>
      </c>
      <c r="BG738" s="75"/>
      <c r="BH738" s="75"/>
      <c r="BI738" s="75" t="s">
        <v>439</v>
      </c>
      <c r="BJ738" s="75"/>
      <c r="BK738" s="75"/>
      <c r="BL738" s="75" t="s">
        <v>439</v>
      </c>
      <c r="BM738" s="75"/>
    </row>
    <row r="739" spans="1:65" ht="12.75" customHeight="1" x14ac:dyDescent="0.2">
      <c r="A739" s="38"/>
      <c r="B739" s="38"/>
      <c r="C739" s="75"/>
      <c r="D739" s="75"/>
      <c r="E739" s="75"/>
      <c r="F739" s="75"/>
      <c r="G739" s="75"/>
      <c r="H739" s="75"/>
      <c r="I739" s="75"/>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t="s">
        <v>439</v>
      </c>
      <c r="BG739" s="75"/>
      <c r="BH739" s="75"/>
      <c r="BI739" s="75" t="s">
        <v>439</v>
      </c>
      <c r="BJ739" s="75"/>
      <c r="BK739" s="75"/>
      <c r="BL739" s="75" t="s">
        <v>439</v>
      </c>
      <c r="BM739" s="75"/>
    </row>
    <row r="740" spans="1:65" ht="12.75" customHeight="1" x14ac:dyDescent="0.2">
      <c r="A740" s="38"/>
      <c r="B740" s="38"/>
      <c r="C740" s="75"/>
      <c r="D740" s="75"/>
      <c r="E740" s="75"/>
      <c r="F740" s="75"/>
      <c r="G740" s="75"/>
      <c r="H740" s="75"/>
      <c r="I740" s="75"/>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t="s">
        <v>439</v>
      </c>
      <c r="BG740" s="75"/>
      <c r="BH740" s="75"/>
      <c r="BI740" s="75" t="s">
        <v>439</v>
      </c>
      <c r="BJ740" s="75"/>
      <c r="BK740" s="75"/>
      <c r="BL740" s="75" t="s">
        <v>439</v>
      </c>
      <c r="BM740" s="75"/>
    </row>
    <row r="741" spans="1:65" ht="12.75" customHeight="1" x14ac:dyDescent="0.2">
      <c r="A741" s="38"/>
      <c r="B741" s="38"/>
      <c r="C741" s="75"/>
      <c r="D741" s="75"/>
      <c r="E741" s="75"/>
      <c r="F741" s="75"/>
      <c r="G741" s="75"/>
      <c r="H741" s="75"/>
      <c r="I741" s="75"/>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t="s">
        <v>439</v>
      </c>
      <c r="BG741" s="75"/>
      <c r="BH741" s="75"/>
      <c r="BI741" s="75" t="s">
        <v>439</v>
      </c>
      <c r="BJ741" s="75"/>
      <c r="BK741" s="75"/>
      <c r="BL741" s="75" t="s">
        <v>439</v>
      </c>
      <c r="BM741" s="75"/>
    </row>
    <row r="742" spans="1:65" ht="12.75" customHeight="1" x14ac:dyDescent="0.2">
      <c r="A742" s="38"/>
      <c r="B742" s="38"/>
      <c r="C742" s="75"/>
      <c r="D742" s="75"/>
      <c r="E742" s="75"/>
      <c r="F742" s="75"/>
      <c r="G742" s="75"/>
      <c r="H742" s="75"/>
      <c r="I742" s="75"/>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t="s">
        <v>439</v>
      </c>
      <c r="BG742" s="75"/>
      <c r="BH742" s="75"/>
      <c r="BI742" s="75" t="s">
        <v>439</v>
      </c>
      <c r="BJ742" s="75"/>
      <c r="BK742" s="75"/>
      <c r="BL742" s="75" t="s">
        <v>439</v>
      </c>
      <c r="BM742" s="75"/>
    </row>
    <row r="743" spans="1:65" ht="12.75" customHeight="1" x14ac:dyDescent="0.2">
      <c r="A743" s="38"/>
      <c r="B743" s="38"/>
      <c r="C743" s="75"/>
      <c r="D743" s="75"/>
      <c r="E743" s="75"/>
      <c r="F743" s="75"/>
      <c r="G743" s="75"/>
      <c r="H743" s="75"/>
      <c r="I743" s="75"/>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t="s">
        <v>439</v>
      </c>
      <c r="BG743" s="75"/>
      <c r="BH743" s="75"/>
      <c r="BI743" s="75" t="s">
        <v>439</v>
      </c>
      <c r="BJ743" s="75"/>
      <c r="BK743" s="75"/>
      <c r="BL743" s="75" t="s">
        <v>439</v>
      </c>
      <c r="BM743" s="75"/>
    </row>
    <row r="744" spans="1:65" ht="12.75" customHeight="1" x14ac:dyDescent="0.2">
      <c r="A744" s="38"/>
      <c r="B744" s="38"/>
      <c r="C744" s="75"/>
      <c r="D744" s="75"/>
      <c r="E744" s="75"/>
      <c r="F744" s="75"/>
      <c r="G744" s="75"/>
      <c r="H744" s="75"/>
      <c r="I744" s="75"/>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t="s">
        <v>439</v>
      </c>
      <c r="BG744" s="75"/>
      <c r="BH744" s="75"/>
      <c r="BI744" s="75" t="s">
        <v>439</v>
      </c>
      <c r="BJ744" s="75"/>
      <c r="BK744" s="75"/>
      <c r="BL744" s="75" t="s">
        <v>439</v>
      </c>
      <c r="BM744" s="75"/>
    </row>
    <row r="745" spans="1:65" ht="12.75" customHeight="1" x14ac:dyDescent="0.2">
      <c r="A745" s="38"/>
      <c r="B745" s="38"/>
      <c r="C745" s="75"/>
      <c r="D745" s="75"/>
      <c r="E745" s="75"/>
      <c r="F745" s="75"/>
      <c r="G745" s="75"/>
      <c r="H745" s="75"/>
      <c r="I745" s="75"/>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t="s">
        <v>439</v>
      </c>
      <c r="BG745" s="75"/>
      <c r="BH745" s="75"/>
      <c r="BI745" s="75" t="s">
        <v>439</v>
      </c>
      <c r="BJ745" s="75"/>
      <c r="BK745" s="75"/>
      <c r="BL745" s="75" t="s">
        <v>439</v>
      </c>
      <c r="BM745" s="75"/>
    </row>
    <row r="746" spans="1:65" ht="12.75" customHeight="1" x14ac:dyDescent="0.2">
      <c r="A746" s="38"/>
      <c r="B746" s="38"/>
      <c r="C746" s="75"/>
      <c r="D746" s="75"/>
      <c r="E746" s="75"/>
      <c r="F746" s="75"/>
      <c r="G746" s="75"/>
      <c r="H746" s="75"/>
      <c r="I746" s="75"/>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t="s">
        <v>439</v>
      </c>
      <c r="BG746" s="75"/>
      <c r="BH746" s="75"/>
      <c r="BI746" s="75" t="s">
        <v>439</v>
      </c>
      <c r="BJ746" s="75"/>
      <c r="BK746" s="75"/>
      <c r="BL746" s="75" t="s">
        <v>439</v>
      </c>
      <c r="BM746" s="75"/>
    </row>
    <row r="747" spans="1:65" ht="12.75" customHeight="1" x14ac:dyDescent="0.2">
      <c r="A747" s="38"/>
      <c r="B747" s="38"/>
      <c r="C747" s="75"/>
      <c r="D747" s="75"/>
      <c r="E747" s="75"/>
      <c r="F747" s="75"/>
      <c r="G747" s="75"/>
      <c r="H747" s="75"/>
      <c r="I747" s="75"/>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t="s">
        <v>439</v>
      </c>
      <c r="BG747" s="75"/>
      <c r="BH747" s="75"/>
      <c r="BI747" s="75" t="s">
        <v>439</v>
      </c>
      <c r="BJ747" s="75"/>
      <c r="BK747" s="75"/>
      <c r="BL747" s="75" t="s">
        <v>439</v>
      </c>
      <c r="BM747" s="75"/>
    </row>
    <row r="748" spans="1:65" ht="12.75" customHeight="1" x14ac:dyDescent="0.2">
      <c r="A748" s="38"/>
      <c r="B748" s="38"/>
      <c r="C748" s="75"/>
      <c r="D748" s="75"/>
      <c r="E748" s="75"/>
      <c r="F748" s="75"/>
      <c r="G748" s="75"/>
      <c r="H748" s="75"/>
      <c r="I748" s="75"/>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t="s">
        <v>439</v>
      </c>
      <c r="BG748" s="75"/>
      <c r="BH748" s="75"/>
      <c r="BI748" s="75" t="s">
        <v>439</v>
      </c>
      <c r="BJ748" s="75"/>
      <c r="BK748" s="75"/>
      <c r="BL748" s="75" t="s">
        <v>439</v>
      </c>
      <c r="BM748" s="75"/>
    </row>
    <row r="749" spans="1:65" ht="12.75" customHeight="1" x14ac:dyDescent="0.2">
      <c r="A749" s="38"/>
      <c r="B749" s="38"/>
      <c r="C749" s="75"/>
      <c r="D749" s="75"/>
      <c r="E749" s="75"/>
      <c r="F749" s="75"/>
      <c r="G749" s="75"/>
      <c r="H749" s="75"/>
      <c r="I749" s="75"/>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t="s">
        <v>439</v>
      </c>
      <c r="BG749" s="75"/>
      <c r="BH749" s="75"/>
      <c r="BI749" s="75" t="s">
        <v>439</v>
      </c>
      <c r="BJ749" s="75"/>
      <c r="BK749" s="75"/>
      <c r="BL749" s="75" t="s">
        <v>439</v>
      </c>
      <c r="BM749" s="75"/>
    </row>
    <row r="750" spans="1:65" ht="12.75" customHeight="1" x14ac:dyDescent="0.2">
      <c r="A750" s="38"/>
      <c r="B750" s="38"/>
      <c r="C750" s="75"/>
      <c r="D750" s="75"/>
      <c r="E750" s="75"/>
      <c r="F750" s="75"/>
      <c r="G750" s="75"/>
      <c r="H750" s="75"/>
      <c r="I750" s="75"/>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t="s">
        <v>439</v>
      </c>
      <c r="BG750" s="75"/>
      <c r="BH750" s="75"/>
      <c r="BI750" s="75" t="s">
        <v>439</v>
      </c>
      <c r="BJ750" s="75"/>
      <c r="BK750" s="75"/>
      <c r="BL750" s="75" t="s">
        <v>439</v>
      </c>
      <c r="BM750" s="75"/>
    </row>
    <row r="751" spans="1:65" ht="12.75" customHeight="1" x14ac:dyDescent="0.2">
      <c r="A751" s="38"/>
      <c r="B751" s="38"/>
      <c r="C751" s="75"/>
      <c r="D751" s="75"/>
      <c r="E751" s="75"/>
      <c r="F751" s="75"/>
      <c r="G751" s="75"/>
      <c r="H751" s="75"/>
      <c r="I751" s="75"/>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t="s">
        <v>439</v>
      </c>
      <c r="BG751" s="75"/>
      <c r="BH751" s="75"/>
      <c r="BI751" s="75" t="s">
        <v>439</v>
      </c>
      <c r="BJ751" s="75"/>
      <c r="BK751" s="75"/>
      <c r="BL751" s="75" t="s">
        <v>439</v>
      </c>
      <c r="BM751" s="75"/>
    </row>
    <row r="752" spans="1:65" ht="12.75" customHeight="1" x14ac:dyDescent="0.2">
      <c r="A752" s="38"/>
      <c r="B752" s="38"/>
      <c r="C752" s="75"/>
      <c r="D752" s="75"/>
      <c r="E752" s="75"/>
      <c r="F752" s="75"/>
      <c r="G752" s="75"/>
      <c r="H752" s="75"/>
      <c r="I752" s="75"/>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t="s">
        <v>439</v>
      </c>
      <c r="BG752" s="75"/>
      <c r="BH752" s="75"/>
      <c r="BI752" s="75" t="s">
        <v>439</v>
      </c>
      <c r="BJ752" s="75"/>
      <c r="BK752" s="75"/>
      <c r="BL752" s="75" t="s">
        <v>439</v>
      </c>
      <c r="BM752" s="75"/>
    </row>
    <row r="753" spans="1:65" ht="12.75" customHeight="1" x14ac:dyDescent="0.2">
      <c r="A753" s="38"/>
      <c r="B753" s="38"/>
      <c r="C753" s="75"/>
      <c r="D753" s="75"/>
      <c r="E753" s="75"/>
      <c r="F753" s="75"/>
      <c r="G753" s="75"/>
      <c r="H753" s="75"/>
      <c r="I753" s="75"/>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t="s">
        <v>439</v>
      </c>
      <c r="BG753" s="75"/>
      <c r="BH753" s="75"/>
      <c r="BI753" s="75" t="s">
        <v>439</v>
      </c>
      <c r="BJ753" s="75"/>
      <c r="BK753" s="75"/>
      <c r="BL753" s="75" t="s">
        <v>439</v>
      </c>
      <c r="BM753" s="75"/>
    </row>
    <row r="754" spans="1:65" ht="12.75" customHeight="1" x14ac:dyDescent="0.2">
      <c r="A754" s="38"/>
      <c r="B754" s="38"/>
      <c r="C754" s="75"/>
      <c r="D754" s="75"/>
      <c r="E754" s="75"/>
      <c r="F754" s="75"/>
      <c r="G754" s="75"/>
      <c r="H754" s="75"/>
      <c r="I754" s="75"/>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t="s">
        <v>439</v>
      </c>
      <c r="BG754" s="75"/>
      <c r="BH754" s="75"/>
      <c r="BI754" s="75" t="s">
        <v>439</v>
      </c>
      <c r="BJ754" s="75"/>
      <c r="BK754" s="75"/>
      <c r="BL754" s="75" t="s">
        <v>439</v>
      </c>
      <c r="BM754" s="75"/>
    </row>
    <row r="755" spans="1:65" ht="12.75" customHeight="1" x14ac:dyDescent="0.2">
      <c r="A755" s="38"/>
      <c r="B755" s="38"/>
      <c r="C755" s="75"/>
      <c r="D755" s="75"/>
      <c r="E755" s="75"/>
      <c r="F755" s="75"/>
      <c r="G755" s="75"/>
      <c r="H755" s="75"/>
      <c r="I755" s="75"/>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t="s">
        <v>439</v>
      </c>
      <c r="BG755" s="75"/>
      <c r="BH755" s="75"/>
      <c r="BI755" s="75" t="s">
        <v>439</v>
      </c>
      <c r="BJ755" s="75"/>
      <c r="BK755" s="75"/>
      <c r="BL755" s="75" t="s">
        <v>439</v>
      </c>
      <c r="BM755" s="75"/>
    </row>
    <row r="756" spans="1:65" ht="12.75" customHeight="1" x14ac:dyDescent="0.2">
      <c r="A756" s="38"/>
      <c r="B756" s="38"/>
      <c r="C756" s="75"/>
      <c r="D756" s="75"/>
      <c r="E756" s="75"/>
      <c r="F756" s="75"/>
      <c r="G756" s="75"/>
      <c r="H756" s="75"/>
      <c r="I756" s="75"/>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t="s">
        <v>439</v>
      </c>
      <c r="BG756" s="75"/>
      <c r="BH756" s="75"/>
      <c r="BI756" s="75" t="s">
        <v>439</v>
      </c>
      <c r="BJ756" s="75"/>
      <c r="BK756" s="75"/>
      <c r="BL756" s="75" t="s">
        <v>439</v>
      </c>
      <c r="BM756" s="75"/>
    </row>
    <row r="757" spans="1:65" ht="12.75" customHeight="1" x14ac:dyDescent="0.2">
      <c r="A757" s="38"/>
      <c r="B757" s="38"/>
      <c r="C757" s="75"/>
      <c r="D757" s="75"/>
      <c r="E757" s="75"/>
      <c r="F757" s="75"/>
      <c r="G757" s="75"/>
      <c r="H757" s="75"/>
      <c r="I757" s="75"/>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t="s">
        <v>439</v>
      </c>
      <c r="BG757" s="75"/>
      <c r="BH757" s="75"/>
      <c r="BI757" s="75" t="s">
        <v>439</v>
      </c>
      <c r="BJ757" s="75"/>
      <c r="BK757" s="75"/>
      <c r="BL757" s="75" t="s">
        <v>439</v>
      </c>
      <c r="BM757" s="75"/>
    </row>
    <row r="758" spans="1:65" ht="12.75" customHeight="1" x14ac:dyDescent="0.2">
      <c r="A758" s="38"/>
      <c r="B758" s="38"/>
      <c r="C758" s="75"/>
      <c r="D758" s="75"/>
      <c r="E758" s="75"/>
      <c r="F758" s="75"/>
      <c r="G758" s="75"/>
      <c r="H758" s="75"/>
      <c r="I758" s="75"/>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t="s">
        <v>439</v>
      </c>
      <c r="BG758" s="75"/>
      <c r="BH758" s="75"/>
      <c r="BI758" s="75" t="s">
        <v>439</v>
      </c>
      <c r="BJ758" s="75"/>
      <c r="BK758" s="75"/>
      <c r="BL758" s="75" t="s">
        <v>439</v>
      </c>
      <c r="BM758" s="75"/>
    </row>
    <row r="759" spans="1:65" ht="12.75" customHeight="1" x14ac:dyDescent="0.2">
      <c r="A759" s="38"/>
      <c r="B759" s="38"/>
      <c r="C759" s="75"/>
      <c r="D759" s="75"/>
      <c r="E759" s="75"/>
      <c r="F759" s="75"/>
      <c r="G759" s="75"/>
      <c r="H759" s="75"/>
      <c r="I759" s="75"/>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t="s">
        <v>439</v>
      </c>
      <c r="BG759" s="75"/>
      <c r="BH759" s="75"/>
      <c r="BI759" s="75" t="s">
        <v>439</v>
      </c>
      <c r="BJ759" s="75"/>
      <c r="BK759" s="75"/>
      <c r="BL759" s="75" t="s">
        <v>439</v>
      </c>
      <c r="BM759" s="75"/>
    </row>
    <row r="760" spans="1:65" ht="12.75" customHeight="1" x14ac:dyDescent="0.2">
      <c r="A760" s="38"/>
      <c r="B760" s="38"/>
      <c r="C760" s="75"/>
      <c r="D760" s="75"/>
      <c r="E760" s="75"/>
      <c r="F760" s="75"/>
      <c r="G760" s="75"/>
      <c r="H760" s="75"/>
      <c r="I760" s="75"/>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t="s">
        <v>439</v>
      </c>
      <c r="BG760" s="75"/>
      <c r="BH760" s="75"/>
      <c r="BI760" s="75" t="s">
        <v>439</v>
      </c>
      <c r="BJ760" s="75"/>
      <c r="BK760" s="75"/>
      <c r="BL760" s="75" t="s">
        <v>439</v>
      </c>
      <c r="BM760" s="75"/>
    </row>
    <row r="761" spans="1:65" ht="12.75" customHeight="1" x14ac:dyDescent="0.2">
      <c r="A761" s="38"/>
      <c r="B761" s="38"/>
      <c r="C761" s="75"/>
      <c r="D761" s="75"/>
      <c r="E761" s="75"/>
      <c r="F761" s="75"/>
      <c r="G761" s="75"/>
      <c r="H761" s="75"/>
      <c r="I761" s="75"/>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t="s">
        <v>439</v>
      </c>
      <c r="BG761" s="75"/>
      <c r="BH761" s="75"/>
      <c r="BI761" s="75" t="s">
        <v>439</v>
      </c>
      <c r="BJ761" s="75"/>
      <c r="BK761" s="75"/>
      <c r="BL761" s="75" t="s">
        <v>439</v>
      </c>
      <c r="BM761" s="75"/>
    </row>
    <row r="762" spans="1:65" ht="12.75" customHeight="1" x14ac:dyDescent="0.2">
      <c r="A762" s="38"/>
      <c r="B762" s="38"/>
      <c r="C762" s="75"/>
      <c r="D762" s="75"/>
      <c r="E762" s="75"/>
      <c r="F762" s="75"/>
      <c r="G762" s="75"/>
      <c r="H762" s="75"/>
      <c r="I762" s="75"/>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t="s">
        <v>439</v>
      </c>
      <c r="BG762" s="75"/>
      <c r="BH762" s="75"/>
      <c r="BI762" s="75" t="s">
        <v>439</v>
      </c>
      <c r="BJ762" s="75"/>
      <c r="BK762" s="75"/>
      <c r="BL762" s="75" t="s">
        <v>439</v>
      </c>
      <c r="BM762" s="75"/>
    </row>
    <row r="763" spans="1:65" ht="12.75" customHeight="1" x14ac:dyDescent="0.2">
      <c r="A763" s="38"/>
      <c r="B763" s="38"/>
      <c r="C763" s="75"/>
      <c r="D763" s="75"/>
      <c r="E763" s="75"/>
      <c r="F763" s="75"/>
      <c r="G763" s="75"/>
      <c r="H763" s="75"/>
      <c r="I763" s="75"/>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t="s">
        <v>439</v>
      </c>
      <c r="BG763" s="75"/>
      <c r="BH763" s="75"/>
      <c r="BI763" s="75" t="s">
        <v>439</v>
      </c>
      <c r="BJ763" s="75"/>
      <c r="BK763" s="75"/>
      <c r="BL763" s="75" t="s">
        <v>439</v>
      </c>
      <c r="BM763" s="75"/>
    </row>
    <row r="764" spans="1:65" ht="12.75" customHeight="1" x14ac:dyDescent="0.2">
      <c r="A764" s="38"/>
      <c r="B764" s="38"/>
      <c r="C764" s="75"/>
      <c r="D764" s="75"/>
      <c r="E764" s="75"/>
      <c r="F764" s="75"/>
      <c r="G764" s="75"/>
      <c r="H764" s="75"/>
      <c r="I764" s="75"/>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t="s">
        <v>439</v>
      </c>
      <c r="BG764" s="75"/>
      <c r="BH764" s="75"/>
      <c r="BI764" s="75" t="s">
        <v>439</v>
      </c>
      <c r="BJ764" s="75"/>
      <c r="BK764" s="75"/>
      <c r="BL764" s="75" t="s">
        <v>439</v>
      </c>
      <c r="BM764" s="75"/>
    </row>
    <row r="765" spans="1:65" ht="12.75" customHeight="1" x14ac:dyDescent="0.2">
      <c r="A765" s="38"/>
      <c r="B765" s="38"/>
      <c r="C765" s="75"/>
      <c r="D765" s="75"/>
      <c r="E765" s="75"/>
      <c r="F765" s="75"/>
      <c r="G765" s="75"/>
      <c r="H765" s="75"/>
      <c r="I765" s="75"/>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t="s">
        <v>439</v>
      </c>
      <c r="BG765" s="75"/>
      <c r="BH765" s="75"/>
      <c r="BI765" s="75" t="s">
        <v>439</v>
      </c>
      <c r="BJ765" s="75"/>
      <c r="BK765" s="75"/>
      <c r="BL765" s="75" t="s">
        <v>439</v>
      </c>
      <c r="BM765" s="75"/>
    </row>
    <row r="766" spans="1:65" ht="12.75" customHeight="1" x14ac:dyDescent="0.2">
      <c r="A766" s="38"/>
      <c r="B766" s="38"/>
      <c r="C766" s="75"/>
      <c r="D766" s="75"/>
      <c r="E766" s="75"/>
      <c r="F766" s="75"/>
      <c r="G766" s="75"/>
      <c r="H766" s="75"/>
      <c r="I766" s="75"/>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t="s">
        <v>439</v>
      </c>
      <c r="BG766" s="75"/>
      <c r="BH766" s="75"/>
      <c r="BI766" s="75" t="s">
        <v>439</v>
      </c>
      <c r="BJ766" s="75"/>
      <c r="BK766" s="75"/>
      <c r="BL766" s="75" t="s">
        <v>439</v>
      </c>
      <c r="BM766" s="75"/>
    </row>
    <row r="767" spans="1:65" ht="12.75" customHeight="1" x14ac:dyDescent="0.2">
      <c r="A767" s="38"/>
      <c r="B767" s="38"/>
      <c r="C767" s="75"/>
      <c r="D767" s="75"/>
      <c r="E767" s="75"/>
      <c r="F767" s="75"/>
      <c r="G767" s="75"/>
      <c r="H767" s="75"/>
      <c r="I767" s="75"/>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t="s">
        <v>439</v>
      </c>
      <c r="BG767" s="75"/>
      <c r="BH767" s="75"/>
      <c r="BI767" s="75" t="s">
        <v>439</v>
      </c>
      <c r="BJ767" s="75"/>
      <c r="BK767" s="75"/>
      <c r="BL767" s="75" t="s">
        <v>439</v>
      </c>
      <c r="BM767" s="75"/>
    </row>
    <row r="768" spans="1:65" ht="12.75" customHeight="1" x14ac:dyDescent="0.2">
      <c r="A768" s="38"/>
      <c r="B768" s="38"/>
      <c r="C768" s="75"/>
      <c r="D768" s="75"/>
      <c r="E768" s="75"/>
      <c r="F768" s="75"/>
      <c r="G768" s="75"/>
      <c r="H768" s="75"/>
      <c r="I768" s="75"/>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t="s">
        <v>439</v>
      </c>
      <c r="BG768" s="75"/>
      <c r="BH768" s="75"/>
      <c r="BI768" s="75" t="s">
        <v>439</v>
      </c>
      <c r="BJ768" s="75"/>
      <c r="BK768" s="75"/>
      <c r="BL768" s="75" t="s">
        <v>439</v>
      </c>
      <c r="BM768" s="75"/>
    </row>
    <row r="769" spans="1:65" ht="12.75" customHeight="1" x14ac:dyDescent="0.2">
      <c r="A769" s="38"/>
      <c r="B769" s="38"/>
      <c r="C769" s="75"/>
      <c r="D769" s="75"/>
      <c r="E769" s="75"/>
      <c r="F769" s="75"/>
      <c r="G769" s="75"/>
      <c r="H769" s="75"/>
      <c r="I769" s="75"/>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t="s">
        <v>439</v>
      </c>
      <c r="BG769" s="75"/>
      <c r="BH769" s="75"/>
      <c r="BI769" s="75" t="s">
        <v>439</v>
      </c>
      <c r="BJ769" s="75"/>
      <c r="BK769" s="75"/>
      <c r="BL769" s="75" t="s">
        <v>439</v>
      </c>
      <c r="BM769" s="75"/>
    </row>
    <row r="770" spans="1:65" ht="12.75" customHeight="1" x14ac:dyDescent="0.2">
      <c r="A770" s="38"/>
      <c r="B770" s="38"/>
      <c r="C770" s="75"/>
      <c r="D770" s="75"/>
      <c r="E770" s="75"/>
      <c r="F770" s="75"/>
      <c r="G770" s="75"/>
      <c r="H770" s="75"/>
      <c r="I770" s="75"/>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t="s">
        <v>439</v>
      </c>
      <c r="BG770" s="75"/>
      <c r="BH770" s="75"/>
      <c r="BI770" s="75" t="s">
        <v>439</v>
      </c>
      <c r="BJ770" s="75"/>
      <c r="BK770" s="75"/>
      <c r="BL770" s="75" t="s">
        <v>439</v>
      </c>
      <c r="BM770" s="75"/>
    </row>
    <row r="771" spans="1:65" ht="12.75" customHeight="1" x14ac:dyDescent="0.2">
      <c r="A771" s="38"/>
      <c r="B771" s="38"/>
      <c r="C771" s="75"/>
      <c r="D771" s="75"/>
      <c r="E771" s="75"/>
      <c r="F771" s="75"/>
      <c r="G771" s="75"/>
      <c r="H771" s="75"/>
      <c r="I771" s="75"/>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t="s">
        <v>439</v>
      </c>
      <c r="BG771" s="75"/>
      <c r="BH771" s="75"/>
      <c r="BI771" s="75" t="s">
        <v>439</v>
      </c>
      <c r="BJ771" s="75"/>
      <c r="BK771" s="75"/>
      <c r="BL771" s="75" t="s">
        <v>439</v>
      </c>
      <c r="BM771" s="75"/>
    </row>
    <row r="772" spans="1:65" ht="12.75" customHeight="1" x14ac:dyDescent="0.2">
      <c r="A772" s="38"/>
      <c r="B772" s="38"/>
      <c r="C772" s="75"/>
      <c r="D772" s="75"/>
      <c r="E772" s="75"/>
      <c r="F772" s="75"/>
      <c r="G772" s="75"/>
      <c r="H772" s="75"/>
      <c r="I772" s="75"/>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t="s">
        <v>439</v>
      </c>
      <c r="BG772" s="75"/>
      <c r="BH772" s="75"/>
      <c r="BI772" s="75" t="s">
        <v>439</v>
      </c>
      <c r="BJ772" s="75"/>
      <c r="BK772" s="75"/>
      <c r="BL772" s="75" t="s">
        <v>439</v>
      </c>
      <c r="BM772" s="75"/>
    </row>
    <row r="773" spans="1:65" ht="12.75" customHeight="1" x14ac:dyDescent="0.2">
      <c r="A773" s="38"/>
      <c r="B773" s="38"/>
      <c r="C773" s="75"/>
      <c r="D773" s="75"/>
      <c r="E773" s="75"/>
      <c r="F773" s="75"/>
      <c r="G773" s="75"/>
      <c r="H773" s="75"/>
      <c r="I773" s="75"/>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t="s">
        <v>439</v>
      </c>
      <c r="BG773" s="75"/>
      <c r="BH773" s="75"/>
      <c r="BI773" s="75" t="s">
        <v>439</v>
      </c>
      <c r="BJ773" s="75"/>
      <c r="BK773" s="75"/>
      <c r="BL773" s="75" t="s">
        <v>439</v>
      </c>
      <c r="BM773" s="75"/>
    </row>
    <row r="774" spans="1:65" ht="12.75" customHeight="1" x14ac:dyDescent="0.2">
      <c r="A774" s="38"/>
      <c r="B774" s="38"/>
      <c r="C774" s="75"/>
      <c r="D774" s="75"/>
      <c r="E774" s="75"/>
      <c r="F774" s="75"/>
      <c r="G774" s="75"/>
      <c r="H774" s="75"/>
      <c r="I774" s="75"/>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t="s">
        <v>439</v>
      </c>
      <c r="BG774" s="75"/>
      <c r="BH774" s="75"/>
      <c r="BI774" s="75" t="s">
        <v>439</v>
      </c>
      <c r="BJ774" s="75"/>
      <c r="BK774" s="75"/>
      <c r="BL774" s="75" t="s">
        <v>439</v>
      </c>
      <c r="BM774" s="75"/>
    </row>
    <row r="775" spans="1:65" ht="12.75" customHeight="1" x14ac:dyDescent="0.2">
      <c r="A775" s="38"/>
      <c r="B775" s="38"/>
      <c r="C775" s="75"/>
      <c r="D775" s="75"/>
      <c r="E775" s="75"/>
      <c r="F775" s="75"/>
      <c r="G775" s="75"/>
      <c r="H775" s="75"/>
      <c r="I775" s="75"/>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t="s">
        <v>439</v>
      </c>
      <c r="BG775" s="75"/>
      <c r="BH775" s="75"/>
      <c r="BI775" s="75" t="s">
        <v>439</v>
      </c>
      <c r="BJ775" s="75"/>
      <c r="BK775" s="75"/>
      <c r="BL775" s="75" t="s">
        <v>439</v>
      </c>
      <c r="BM775" s="75"/>
    </row>
    <row r="776" spans="1:65" ht="12.75" customHeight="1" x14ac:dyDescent="0.2">
      <c r="A776" s="38"/>
      <c r="B776" s="38"/>
      <c r="C776" s="75"/>
      <c r="D776" s="75"/>
      <c r="E776" s="75"/>
      <c r="F776" s="75"/>
      <c r="G776" s="75"/>
      <c r="H776" s="75"/>
      <c r="I776" s="75"/>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t="s">
        <v>439</v>
      </c>
      <c r="BG776" s="75"/>
      <c r="BH776" s="75"/>
      <c r="BI776" s="75" t="s">
        <v>439</v>
      </c>
      <c r="BJ776" s="75"/>
      <c r="BK776" s="75"/>
      <c r="BL776" s="75" t="s">
        <v>439</v>
      </c>
      <c r="BM776" s="75"/>
    </row>
    <row r="777" spans="1:65" ht="12.75" customHeight="1" x14ac:dyDescent="0.2">
      <c r="A777" s="38"/>
      <c r="B777" s="38"/>
      <c r="C777" s="75"/>
      <c r="D777" s="75"/>
      <c r="E777" s="75"/>
      <c r="F777" s="75"/>
      <c r="G777" s="75"/>
      <c r="H777" s="75"/>
      <c r="I777" s="75"/>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t="s">
        <v>439</v>
      </c>
      <c r="BG777" s="75"/>
      <c r="BH777" s="75"/>
      <c r="BI777" s="75" t="s">
        <v>439</v>
      </c>
      <c r="BJ777" s="75"/>
      <c r="BK777" s="75"/>
      <c r="BL777" s="75" t="s">
        <v>439</v>
      </c>
      <c r="BM777" s="75"/>
    </row>
    <row r="778" spans="1:65" ht="12.75" customHeight="1" x14ac:dyDescent="0.2">
      <c r="A778" s="38"/>
      <c r="B778" s="38"/>
      <c r="C778" s="75"/>
      <c r="D778" s="75"/>
      <c r="E778" s="75"/>
      <c r="F778" s="75"/>
      <c r="G778" s="75"/>
      <c r="H778" s="75"/>
      <c r="I778" s="75"/>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t="s">
        <v>439</v>
      </c>
      <c r="BG778" s="75"/>
      <c r="BH778" s="75"/>
      <c r="BI778" s="75" t="s">
        <v>439</v>
      </c>
      <c r="BJ778" s="75"/>
      <c r="BK778" s="75"/>
      <c r="BL778" s="75" t="s">
        <v>439</v>
      </c>
      <c r="BM778" s="75"/>
    </row>
    <row r="779" spans="1:65" ht="12.75" customHeight="1" x14ac:dyDescent="0.2">
      <c r="A779" s="38"/>
      <c r="B779" s="38"/>
      <c r="C779" s="75"/>
      <c r="D779" s="75"/>
      <c r="E779" s="75"/>
      <c r="F779" s="75"/>
      <c r="G779" s="75"/>
      <c r="H779" s="75"/>
      <c r="I779" s="75"/>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t="s">
        <v>439</v>
      </c>
      <c r="BG779" s="75"/>
      <c r="BH779" s="75"/>
      <c r="BI779" s="75" t="s">
        <v>439</v>
      </c>
      <c r="BJ779" s="75"/>
      <c r="BK779" s="75"/>
      <c r="BL779" s="75" t="s">
        <v>439</v>
      </c>
      <c r="BM779" s="75"/>
    </row>
    <row r="780" spans="1:65" ht="12.75" customHeight="1" x14ac:dyDescent="0.2">
      <c r="A780" s="38"/>
      <c r="B780" s="38"/>
      <c r="C780" s="75"/>
      <c r="D780" s="75"/>
      <c r="E780" s="75"/>
      <c r="F780" s="75"/>
      <c r="G780" s="75"/>
      <c r="H780" s="75"/>
      <c r="I780" s="75"/>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t="s">
        <v>439</v>
      </c>
      <c r="BG780" s="75"/>
      <c r="BH780" s="75"/>
      <c r="BI780" s="75" t="s">
        <v>439</v>
      </c>
      <c r="BJ780" s="75"/>
      <c r="BK780" s="75"/>
      <c r="BL780" s="75" t="s">
        <v>439</v>
      </c>
      <c r="BM780" s="75"/>
    </row>
    <row r="781" spans="1:65" ht="12.75" customHeight="1" x14ac:dyDescent="0.2">
      <c r="A781" s="38"/>
      <c r="B781" s="38"/>
      <c r="C781" s="75"/>
      <c r="D781" s="75"/>
      <c r="E781" s="75"/>
      <c r="F781" s="75"/>
      <c r="G781" s="75"/>
      <c r="H781" s="75"/>
      <c r="I781" s="75"/>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t="s">
        <v>439</v>
      </c>
      <c r="BG781" s="75"/>
      <c r="BH781" s="75"/>
      <c r="BI781" s="75" t="s">
        <v>439</v>
      </c>
      <c r="BJ781" s="75"/>
      <c r="BK781" s="75"/>
      <c r="BL781" s="75" t="s">
        <v>439</v>
      </c>
      <c r="BM781" s="75"/>
    </row>
    <row r="782" spans="1:65" ht="12.75" customHeight="1" x14ac:dyDescent="0.2">
      <c r="A782" s="38"/>
      <c r="B782" s="38"/>
      <c r="C782" s="75"/>
      <c r="D782" s="75"/>
      <c r="E782" s="75"/>
      <c r="F782" s="75"/>
      <c r="G782" s="75"/>
      <c r="H782" s="75"/>
      <c r="I782" s="75"/>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t="s">
        <v>439</v>
      </c>
      <c r="BG782" s="75"/>
      <c r="BH782" s="75"/>
      <c r="BI782" s="75" t="s">
        <v>439</v>
      </c>
      <c r="BJ782" s="75"/>
      <c r="BK782" s="75"/>
      <c r="BL782" s="75" t="s">
        <v>439</v>
      </c>
      <c r="BM782" s="75"/>
    </row>
    <row r="783" spans="1:65" ht="12.75" customHeight="1" x14ac:dyDescent="0.2">
      <c r="A783" s="38"/>
      <c r="B783" s="38"/>
      <c r="C783" s="75"/>
      <c r="D783" s="75"/>
      <c r="E783" s="75"/>
      <c r="F783" s="75"/>
      <c r="G783" s="75"/>
      <c r="H783" s="75"/>
      <c r="I783" s="75"/>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t="s">
        <v>439</v>
      </c>
      <c r="BG783" s="75"/>
      <c r="BH783" s="75"/>
      <c r="BI783" s="75" t="s">
        <v>439</v>
      </c>
      <c r="BJ783" s="75"/>
      <c r="BK783" s="75"/>
      <c r="BL783" s="75" t="s">
        <v>439</v>
      </c>
      <c r="BM783" s="75"/>
    </row>
    <row r="784" spans="1:65" ht="12.75" customHeight="1" x14ac:dyDescent="0.2">
      <c r="A784" s="38"/>
      <c r="B784" s="38"/>
      <c r="C784" s="75"/>
      <c r="D784" s="75"/>
      <c r="E784" s="75"/>
      <c r="F784" s="75"/>
      <c r="G784" s="75"/>
      <c r="H784" s="75"/>
      <c r="I784" s="75"/>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t="s">
        <v>439</v>
      </c>
      <c r="BG784" s="75"/>
      <c r="BH784" s="75"/>
      <c r="BI784" s="75" t="s">
        <v>439</v>
      </c>
      <c r="BJ784" s="75"/>
      <c r="BK784" s="75"/>
      <c r="BL784" s="75" t="s">
        <v>439</v>
      </c>
      <c r="BM784" s="75"/>
    </row>
    <row r="785" spans="1:65" ht="12.75" customHeight="1" x14ac:dyDescent="0.2">
      <c r="A785" s="38"/>
      <c r="B785" s="38"/>
      <c r="C785" s="75"/>
      <c r="D785" s="75"/>
      <c r="E785" s="75"/>
      <c r="F785" s="75"/>
      <c r="G785" s="75"/>
      <c r="H785" s="75"/>
      <c r="I785" s="75"/>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t="s">
        <v>439</v>
      </c>
      <c r="BG785" s="75"/>
      <c r="BH785" s="75"/>
      <c r="BI785" s="75" t="s">
        <v>439</v>
      </c>
      <c r="BJ785" s="75"/>
      <c r="BK785" s="75"/>
      <c r="BL785" s="75" t="s">
        <v>439</v>
      </c>
      <c r="BM785" s="75"/>
    </row>
    <row r="786" spans="1:65" ht="12.75" customHeight="1" x14ac:dyDescent="0.2">
      <c r="A786" s="38"/>
      <c r="B786" s="38"/>
      <c r="C786" s="75"/>
      <c r="D786" s="75"/>
      <c r="E786" s="75"/>
      <c r="F786" s="75"/>
      <c r="G786" s="75"/>
      <c r="H786" s="75"/>
      <c r="I786" s="75"/>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t="s">
        <v>439</v>
      </c>
      <c r="BG786" s="75"/>
      <c r="BH786" s="75"/>
      <c r="BI786" s="75" t="s">
        <v>439</v>
      </c>
      <c r="BJ786" s="75"/>
      <c r="BK786" s="75"/>
      <c r="BL786" s="75" t="s">
        <v>439</v>
      </c>
      <c r="BM786" s="75"/>
    </row>
    <row r="787" spans="1:65" ht="12.75" customHeight="1" x14ac:dyDescent="0.2">
      <c r="A787" s="38"/>
      <c r="B787" s="38"/>
      <c r="C787" s="75"/>
      <c r="D787" s="75"/>
      <c r="E787" s="75"/>
      <c r="F787" s="75"/>
      <c r="G787" s="75"/>
      <c r="H787" s="75"/>
      <c r="I787" s="75"/>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t="s">
        <v>439</v>
      </c>
      <c r="BG787" s="75"/>
      <c r="BH787" s="75"/>
      <c r="BI787" s="75" t="s">
        <v>439</v>
      </c>
      <c r="BJ787" s="75"/>
      <c r="BK787" s="75"/>
      <c r="BL787" s="75" t="s">
        <v>439</v>
      </c>
      <c r="BM787" s="75"/>
    </row>
    <row r="788" spans="1:65" ht="12.75" customHeight="1" x14ac:dyDescent="0.2">
      <c r="A788" s="38"/>
      <c r="B788" s="38"/>
      <c r="C788" s="75"/>
      <c r="D788" s="75"/>
      <c r="E788" s="75"/>
      <c r="F788" s="75"/>
      <c r="G788" s="75"/>
      <c r="H788" s="75"/>
      <c r="I788" s="75"/>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t="s">
        <v>439</v>
      </c>
      <c r="BG788" s="75"/>
      <c r="BH788" s="75"/>
      <c r="BI788" s="75" t="s">
        <v>439</v>
      </c>
      <c r="BJ788" s="75"/>
      <c r="BK788" s="75"/>
      <c r="BL788" s="75" t="s">
        <v>439</v>
      </c>
      <c r="BM788" s="75"/>
    </row>
    <row r="789" spans="1:65" ht="12.75" customHeight="1" x14ac:dyDescent="0.2">
      <c r="A789" s="38"/>
      <c r="B789" s="38"/>
      <c r="C789" s="75"/>
      <c r="D789" s="75"/>
      <c r="E789" s="75"/>
      <c r="F789" s="75"/>
      <c r="G789" s="75"/>
      <c r="H789" s="75"/>
      <c r="I789" s="75"/>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t="s">
        <v>439</v>
      </c>
      <c r="BG789" s="75"/>
      <c r="BH789" s="75"/>
      <c r="BI789" s="75" t="s">
        <v>439</v>
      </c>
      <c r="BJ789" s="75"/>
      <c r="BK789" s="75"/>
      <c r="BL789" s="75" t="s">
        <v>439</v>
      </c>
      <c r="BM789" s="75"/>
    </row>
    <row r="790" spans="1:65" ht="12.75" customHeight="1" x14ac:dyDescent="0.2">
      <c r="A790" s="38"/>
      <c r="B790" s="38"/>
      <c r="C790" s="75"/>
      <c r="D790" s="75"/>
      <c r="E790" s="75"/>
      <c r="F790" s="75"/>
      <c r="G790" s="75"/>
      <c r="H790" s="75"/>
      <c r="I790" s="75"/>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t="s">
        <v>439</v>
      </c>
      <c r="BG790" s="75"/>
      <c r="BH790" s="75"/>
      <c r="BI790" s="75" t="s">
        <v>439</v>
      </c>
      <c r="BJ790" s="75"/>
      <c r="BK790" s="75"/>
      <c r="BL790" s="75" t="s">
        <v>439</v>
      </c>
      <c r="BM790" s="75"/>
    </row>
    <row r="791" spans="1:65" ht="12.75" customHeight="1" x14ac:dyDescent="0.2">
      <c r="A791" s="38"/>
      <c r="B791" s="38"/>
      <c r="C791" s="75"/>
      <c r="D791" s="75"/>
      <c r="E791" s="75"/>
      <c r="F791" s="75"/>
      <c r="G791" s="75"/>
      <c r="H791" s="75"/>
      <c r="I791" s="75"/>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t="s">
        <v>439</v>
      </c>
      <c r="BG791" s="75"/>
      <c r="BH791" s="75"/>
      <c r="BI791" s="75" t="s">
        <v>439</v>
      </c>
      <c r="BJ791" s="75"/>
      <c r="BK791" s="75"/>
      <c r="BL791" s="75" t="s">
        <v>439</v>
      </c>
      <c r="BM791" s="75"/>
    </row>
    <row r="792" spans="1:65" ht="12.75" customHeight="1" x14ac:dyDescent="0.2">
      <c r="A792" s="38"/>
      <c r="B792" s="38"/>
      <c r="C792" s="75"/>
      <c r="D792" s="75"/>
      <c r="E792" s="75"/>
      <c r="F792" s="75"/>
      <c r="G792" s="75"/>
      <c r="H792" s="75"/>
      <c r="I792" s="75"/>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t="s">
        <v>439</v>
      </c>
      <c r="BG792" s="75"/>
      <c r="BH792" s="75"/>
      <c r="BI792" s="75" t="s">
        <v>439</v>
      </c>
      <c r="BJ792" s="75"/>
      <c r="BK792" s="75"/>
      <c r="BL792" s="75" t="s">
        <v>439</v>
      </c>
      <c r="BM792" s="75"/>
    </row>
    <row r="793" spans="1:65" ht="12.75" customHeight="1" x14ac:dyDescent="0.2">
      <c r="A793" s="38"/>
      <c r="B793" s="38"/>
      <c r="C793" s="75"/>
      <c r="D793" s="75"/>
      <c r="E793" s="75"/>
      <c r="F793" s="75"/>
      <c r="G793" s="75"/>
      <c r="H793" s="75"/>
      <c r="I793" s="75"/>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t="s">
        <v>439</v>
      </c>
      <c r="BG793" s="75"/>
      <c r="BH793" s="75"/>
      <c r="BI793" s="75" t="s">
        <v>439</v>
      </c>
      <c r="BJ793" s="75"/>
      <c r="BK793" s="75"/>
      <c r="BL793" s="75" t="s">
        <v>439</v>
      </c>
      <c r="BM793" s="75"/>
    </row>
    <row r="794" spans="1:65" ht="12.75" customHeight="1" x14ac:dyDescent="0.2">
      <c r="A794" s="38"/>
      <c r="B794" s="38"/>
      <c r="C794" s="75"/>
      <c r="D794" s="75"/>
      <c r="E794" s="75"/>
      <c r="F794" s="75"/>
      <c r="G794" s="75"/>
      <c r="H794" s="75"/>
      <c r="I794" s="75"/>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t="s">
        <v>439</v>
      </c>
      <c r="BG794" s="75"/>
      <c r="BH794" s="75"/>
      <c r="BI794" s="75" t="s">
        <v>439</v>
      </c>
      <c r="BJ794" s="75"/>
      <c r="BK794" s="75"/>
      <c r="BL794" s="75" t="s">
        <v>439</v>
      </c>
      <c r="BM794" s="75"/>
    </row>
    <row r="795" spans="1:65" ht="12.75" customHeight="1" x14ac:dyDescent="0.2">
      <c r="A795" s="38"/>
      <c r="B795" s="38"/>
      <c r="C795" s="75"/>
      <c r="D795" s="75"/>
      <c r="E795" s="75"/>
      <c r="F795" s="75"/>
      <c r="G795" s="75"/>
      <c r="H795" s="75"/>
      <c r="I795" s="75"/>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t="s">
        <v>439</v>
      </c>
      <c r="BG795" s="75"/>
      <c r="BH795" s="75"/>
      <c r="BI795" s="75" t="s">
        <v>439</v>
      </c>
      <c r="BJ795" s="75"/>
      <c r="BK795" s="75"/>
      <c r="BL795" s="75" t="s">
        <v>439</v>
      </c>
      <c r="BM795" s="75"/>
    </row>
    <row r="796" spans="1:65" ht="12.75" customHeight="1" x14ac:dyDescent="0.2">
      <c r="A796" s="38"/>
      <c r="B796" s="38"/>
      <c r="C796" s="75"/>
      <c r="D796" s="75"/>
      <c r="E796" s="75"/>
      <c r="F796" s="75"/>
      <c r="G796" s="75"/>
      <c r="H796" s="75"/>
      <c r="I796" s="75"/>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t="s">
        <v>439</v>
      </c>
      <c r="BG796" s="75"/>
      <c r="BH796" s="75"/>
      <c r="BI796" s="75" t="s">
        <v>439</v>
      </c>
      <c r="BJ796" s="75"/>
      <c r="BK796" s="75"/>
      <c r="BL796" s="75" t="s">
        <v>439</v>
      </c>
      <c r="BM796" s="75"/>
    </row>
    <row r="797" spans="1:65" ht="12.75" customHeight="1" x14ac:dyDescent="0.2">
      <c r="A797" s="38"/>
      <c r="B797" s="38"/>
      <c r="C797" s="75"/>
      <c r="D797" s="75"/>
      <c r="E797" s="75"/>
      <c r="F797" s="75"/>
      <c r="G797" s="75"/>
      <c r="H797" s="75"/>
      <c r="I797" s="75"/>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t="s">
        <v>439</v>
      </c>
      <c r="BG797" s="75"/>
      <c r="BH797" s="75"/>
      <c r="BI797" s="75" t="s">
        <v>439</v>
      </c>
      <c r="BJ797" s="75"/>
      <c r="BK797" s="75"/>
      <c r="BL797" s="75" t="s">
        <v>439</v>
      </c>
      <c r="BM797" s="75"/>
    </row>
    <row r="798" spans="1:65" ht="12.75" customHeight="1" x14ac:dyDescent="0.2">
      <c r="A798" s="38"/>
      <c r="B798" s="38"/>
      <c r="C798" s="75"/>
      <c r="D798" s="75"/>
      <c r="E798" s="75"/>
      <c r="F798" s="75"/>
      <c r="G798" s="75"/>
      <c r="H798" s="75"/>
      <c r="I798" s="75"/>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t="s">
        <v>439</v>
      </c>
      <c r="BG798" s="75"/>
      <c r="BH798" s="75"/>
      <c r="BI798" s="75" t="s">
        <v>439</v>
      </c>
      <c r="BJ798" s="75"/>
      <c r="BK798" s="75"/>
      <c r="BL798" s="75" t="s">
        <v>439</v>
      </c>
      <c r="BM798" s="75"/>
    </row>
    <row r="799" spans="1:65" ht="12.75" customHeight="1" x14ac:dyDescent="0.2">
      <c r="A799" s="38"/>
      <c r="B799" s="38"/>
      <c r="C799" s="75"/>
      <c r="D799" s="75"/>
      <c r="E799" s="75"/>
      <c r="F799" s="75"/>
      <c r="G799" s="75"/>
      <c r="H799" s="75"/>
      <c r="I799" s="75"/>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t="s">
        <v>439</v>
      </c>
      <c r="BG799" s="75"/>
      <c r="BH799" s="75"/>
      <c r="BI799" s="75" t="s">
        <v>439</v>
      </c>
      <c r="BJ799" s="75"/>
      <c r="BK799" s="75"/>
      <c r="BL799" s="75" t="s">
        <v>439</v>
      </c>
      <c r="BM799" s="75"/>
    </row>
    <row r="800" spans="1:65" ht="12.75" customHeight="1" x14ac:dyDescent="0.2">
      <c r="A800" s="38"/>
      <c r="B800" s="38"/>
      <c r="C800" s="75"/>
      <c r="D800" s="75"/>
      <c r="E800" s="75"/>
      <c r="F800" s="75"/>
      <c r="G800" s="75"/>
      <c r="H800" s="75"/>
      <c r="I800" s="75"/>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t="s">
        <v>439</v>
      </c>
      <c r="BG800" s="75"/>
      <c r="BH800" s="75"/>
      <c r="BI800" s="75" t="s">
        <v>439</v>
      </c>
      <c r="BJ800" s="75"/>
      <c r="BK800" s="75"/>
      <c r="BL800" s="75" t="s">
        <v>439</v>
      </c>
      <c r="BM800" s="75"/>
    </row>
    <row r="801" spans="1:65" ht="12.75" customHeight="1" x14ac:dyDescent="0.2">
      <c r="A801" s="38"/>
      <c r="B801" s="38"/>
      <c r="C801" s="75"/>
      <c r="D801" s="75"/>
      <c r="E801" s="75"/>
      <c r="F801" s="75"/>
      <c r="G801" s="75"/>
      <c r="H801" s="75"/>
      <c r="I801" s="75"/>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t="s">
        <v>439</v>
      </c>
      <c r="BG801" s="75"/>
      <c r="BH801" s="75"/>
      <c r="BI801" s="75" t="s">
        <v>439</v>
      </c>
      <c r="BJ801" s="75"/>
      <c r="BK801" s="75"/>
      <c r="BL801" s="75" t="s">
        <v>439</v>
      </c>
      <c r="BM801" s="75"/>
    </row>
    <row r="802" spans="1:65" ht="12.75" customHeight="1" x14ac:dyDescent="0.2">
      <c r="A802" s="38"/>
      <c r="B802" s="38"/>
      <c r="C802" s="75"/>
      <c r="D802" s="75"/>
      <c r="E802" s="75"/>
      <c r="F802" s="75"/>
      <c r="G802" s="75"/>
      <c r="H802" s="75"/>
      <c r="I802" s="75"/>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t="s">
        <v>439</v>
      </c>
      <c r="BG802" s="75"/>
      <c r="BH802" s="75"/>
      <c r="BI802" s="75" t="s">
        <v>439</v>
      </c>
      <c r="BJ802" s="75"/>
      <c r="BK802" s="75"/>
      <c r="BL802" s="75" t="s">
        <v>439</v>
      </c>
      <c r="BM802" s="75"/>
    </row>
    <row r="803" spans="1:65" ht="12.75" customHeight="1" x14ac:dyDescent="0.2">
      <c r="A803" s="38"/>
      <c r="B803" s="38"/>
      <c r="C803" s="75"/>
      <c r="D803" s="75"/>
      <c r="E803" s="75"/>
      <c r="F803" s="75"/>
      <c r="G803" s="75"/>
      <c r="H803" s="75"/>
      <c r="I803" s="75"/>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t="s">
        <v>439</v>
      </c>
      <c r="BG803" s="75"/>
      <c r="BH803" s="75"/>
      <c r="BI803" s="75" t="s">
        <v>439</v>
      </c>
      <c r="BJ803" s="75"/>
      <c r="BK803" s="75"/>
      <c r="BL803" s="75" t="s">
        <v>439</v>
      </c>
      <c r="BM803" s="75"/>
    </row>
    <row r="804" spans="1:65" ht="12.75" customHeight="1" x14ac:dyDescent="0.2">
      <c r="A804" s="38"/>
      <c r="B804" s="38"/>
      <c r="C804" s="75"/>
      <c r="D804" s="75"/>
      <c r="E804" s="75"/>
      <c r="F804" s="75"/>
      <c r="G804" s="75"/>
      <c r="H804" s="75"/>
      <c r="I804" s="75"/>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t="s">
        <v>439</v>
      </c>
      <c r="BG804" s="75"/>
      <c r="BH804" s="75"/>
      <c r="BI804" s="75" t="s">
        <v>439</v>
      </c>
      <c r="BJ804" s="75"/>
      <c r="BK804" s="75"/>
      <c r="BL804" s="75" t="s">
        <v>439</v>
      </c>
      <c r="BM804" s="75"/>
    </row>
    <row r="805" spans="1:65" ht="12.75" customHeight="1" x14ac:dyDescent="0.2">
      <c r="A805" s="38"/>
      <c r="B805" s="38"/>
      <c r="C805" s="75"/>
      <c r="D805" s="75"/>
      <c r="E805" s="75"/>
      <c r="F805" s="75"/>
      <c r="G805" s="75"/>
      <c r="H805" s="75"/>
      <c r="I805" s="75"/>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t="s">
        <v>439</v>
      </c>
      <c r="BG805" s="75"/>
      <c r="BH805" s="75"/>
      <c r="BI805" s="75" t="s">
        <v>439</v>
      </c>
      <c r="BJ805" s="75"/>
      <c r="BK805" s="75"/>
      <c r="BL805" s="75" t="s">
        <v>439</v>
      </c>
      <c r="BM805" s="75"/>
    </row>
    <row r="806" spans="1:65" ht="12.75" customHeight="1" x14ac:dyDescent="0.2">
      <c r="A806" s="38"/>
      <c r="B806" s="38"/>
      <c r="C806" s="75"/>
      <c r="D806" s="75"/>
      <c r="E806" s="75"/>
      <c r="F806" s="75"/>
      <c r="G806" s="75"/>
      <c r="H806" s="75"/>
      <c r="I806" s="75"/>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t="s">
        <v>439</v>
      </c>
      <c r="BG806" s="75"/>
      <c r="BH806" s="75"/>
      <c r="BI806" s="75" t="s">
        <v>439</v>
      </c>
      <c r="BJ806" s="75"/>
      <c r="BK806" s="75"/>
      <c r="BL806" s="75" t="s">
        <v>439</v>
      </c>
      <c r="BM806" s="75"/>
    </row>
    <row r="807" spans="1:65" ht="15" customHeight="1" x14ac:dyDescent="0.2">
      <c r="A807" s="38"/>
      <c r="B807" s="38"/>
      <c r="C807" s="75"/>
      <c r="D807" s="75"/>
      <c r="E807" s="75"/>
      <c r="F807" s="75"/>
      <c r="G807" s="75"/>
      <c r="H807" s="75"/>
      <c r="I807" s="75"/>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t="s">
        <v>439</v>
      </c>
      <c r="BG807" s="75"/>
      <c r="BH807" s="75"/>
      <c r="BI807" s="75" t="s">
        <v>439</v>
      </c>
      <c r="BJ807" s="75"/>
      <c r="BK807" s="75"/>
      <c r="BL807" s="75" t="s">
        <v>439</v>
      </c>
      <c r="BM807" s="75"/>
    </row>
    <row r="808" spans="1:65" ht="15" customHeight="1" x14ac:dyDescent="0.2">
      <c r="A808" s="38"/>
      <c r="B808" s="38"/>
      <c r="C808" s="75"/>
      <c r="D808" s="75"/>
      <c r="E808" s="75"/>
      <c r="F808" s="75"/>
      <c r="G808" s="75"/>
      <c r="H808" s="75"/>
      <c r="I808" s="75"/>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t="s">
        <v>439</v>
      </c>
      <c r="BG808" s="75"/>
      <c r="BH808" s="75"/>
      <c r="BI808" s="75" t="s">
        <v>439</v>
      </c>
      <c r="BJ808" s="75"/>
      <c r="BK808" s="75"/>
      <c r="BL808" s="75" t="s">
        <v>439</v>
      </c>
      <c r="BM808" s="75"/>
    </row>
    <row r="809" spans="1:65" ht="15" customHeight="1" x14ac:dyDescent="0.2">
      <c r="A809" s="38"/>
      <c r="B809" s="38"/>
      <c r="C809" s="75"/>
      <c r="D809" s="75"/>
      <c r="E809" s="75"/>
      <c r="F809" s="75"/>
      <c r="G809" s="75"/>
      <c r="H809" s="75"/>
      <c r="I809" s="75"/>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t="s">
        <v>439</v>
      </c>
      <c r="BG809" s="75"/>
      <c r="BH809" s="75"/>
      <c r="BI809" s="75" t="s">
        <v>439</v>
      </c>
      <c r="BJ809" s="75"/>
      <c r="BK809" s="75"/>
      <c r="BL809" s="75" t="s">
        <v>439</v>
      </c>
      <c r="BM809" s="75"/>
    </row>
    <row r="810" spans="1:65" ht="15" customHeight="1" x14ac:dyDescent="0.2">
      <c r="A810" s="38"/>
      <c r="B810" s="38"/>
      <c r="C810" s="75"/>
      <c r="D810" s="75"/>
      <c r="E810" s="75"/>
      <c r="F810" s="75"/>
      <c r="G810" s="75"/>
      <c r="H810" s="75"/>
      <c r="I810" s="75"/>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t="s">
        <v>439</v>
      </c>
      <c r="BG810" s="75"/>
      <c r="BH810" s="75"/>
      <c r="BI810" s="75" t="s">
        <v>439</v>
      </c>
      <c r="BJ810" s="75"/>
      <c r="BK810" s="75"/>
      <c r="BL810" s="75" t="s">
        <v>439</v>
      </c>
      <c r="BM810" s="75"/>
    </row>
    <row r="811" spans="1:65" ht="15" customHeight="1" x14ac:dyDescent="0.2">
      <c r="A811" s="38"/>
      <c r="B811" s="38"/>
      <c r="C811" s="75"/>
      <c r="D811" s="75"/>
      <c r="E811" s="75"/>
      <c r="F811" s="75"/>
      <c r="G811" s="75"/>
      <c r="H811" s="75"/>
      <c r="I811" s="75"/>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t="s">
        <v>439</v>
      </c>
      <c r="BG811" s="75"/>
      <c r="BH811" s="75"/>
      <c r="BI811" s="75" t="s">
        <v>439</v>
      </c>
      <c r="BJ811" s="75"/>
      <c r="BK811" s="75"/>
      <c r="BL811" s="75" t="s">
        <v>439</v>
      </c>
      <c r="BM811" s="75"/>
    </row>
    <row r="812" spans="1:65" ht="15" customHeight="1" x14ac:dyDescent="0.2">
      <c r="A812" s="38"/>
      <c r="B812" s="38"/>
      <c r="C812" s="75"/>
      <c r="D812" s="75"/>
      <c r="E812" s="75"/>
      <c r="F812" s="75"/>
      <c r="G812" s="75"/>
      <c r="H812" s="75"/>
      <c r="I812" s="75"/>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t="s">
        <v>439</v>
      </c>
      <c r="BG812" s="75"/>
      <c r="BH812" s="75"/>
      <c r="BI812" s="75" t="s">
        <v>439</v>
      </c>
      <c r="BJ812" s="75"/>
      <c r="BK812" s="75"/>
      <c r="BL812" s="75" t="s">
        <v>439</v>
      </c>
      <c r="BM812" s="75"/>
    </row>
    <row r="813" spans="1:65" ht="15" customHeight="1" x14ac:dyDescent="0.2">
      <c r="A813" s="38"/>
      <c r="B813" s="38"/>
      <c r="C813" s="75"/>
      <c r="D813" s="75"/>
      <c r="E813" s="75"/>
      <c r="F813" s="75"/>
      <c r="G813" s="75"/>
      <c r="H813" s="75"/>
      <c r="I813" s="75"/>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t="s">
        <v>439</v>
      </c>
      <c r="BG813" s="75"/>
      <c r="BH813" s="75"/>
      <c r="BI813" s="75" t="s">
        <v>439</v>
      </c>
      <c r="BJ813" s="75"/>
      <c r="BK813" s="75"/>
      <c r="BL813" s="75" t="s">
        <v>439</v>
      </c>
      <c r="BM813" s="75"/>
    </row>
    <row r="814" spans="1:65" ht="15" customHeight="1" x14ac:dyDescent="0.2">
      <c r="A814" s="38"/>
      <c r="B814" s="38"/>
      <c r="C814" s="75"/>
      <c r="D814" s="75"/>
      <c r="E814" s="75"/>
      <c r="F814" s="75"/>
      <c r="G814" s="75"/>
      <c r="H814" s="75"/>
      <c r="I814" s="75"/>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t="s">
        <v>439</v>
      </c>
      <c r="BG814" s="75"/>
      <c r="BH814" s="75"/>
      <c r="BI814" s="75" t="s">
        <v>439</v>
      </c>
      <c r="BJ814" s="75"/>
      <c r="BK814" s="75"/>
      <c r="BL814" s="75" t="s">
        <v>439</v>
      </c>
      <c r="BM814" s="75"/>
    </row>
    <row r="815" spans="1:65" ht="15" customHeight="1" x14ac:dyDescent="0.2">
      <c r="A815" s="38"/>
      <c r="B815" s="38"/>
      <c r="C815" s="75"/>
      <c r="D815" s="75"/>
      <c r="E815" s="75"/>
      <c r="F815" s="75"/>
      <c r="G815" s="75"/>
      <c r="H815" s="75"/>
      <c r="I815" s="75"/>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t="s">
        <v>439</v>
      </c>
      <c r="BG815" s="75"/>
      <c r="BH815" s="75"/>
      <c r="BI815" s="75" t="s">
        <v>439</v>
      </c>
      <c r="BJ815" s="75"/>
      <c r="BK815" s="75"/>
      <c r="BL815" s="75" t="s">
        <v>439</v>
      </c>
      <c r="BM815" s="75"/>
    </row>
    <row r="816" spans="1:65" ht="15" customHeight="1" x14ac:dyDescent="0.2">
      <c r="A816" s="38"/>
      <c r="B816" s="38"/>
      <c r="C816" s="75"/>
      <c r="D816" s="75"/>
      <c r="E816" s="75"/>
      <c r="F816" s="75"/>
      <c r="G816" s="75"/>
      <c r="H816" s="75"/>
      <c r="I816" s="75"/>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t="s">
        <v>439</v>
      </c>
      <c r="BG816" s="75"/>
      <c r="BH816" s="75"/>
      <c r="BI816" s="75" t="s">
        <v>439</v>
      </c>
      <c r="BJ816" s="75"/>
      <c r="BK816" s="75"/>
      <c r="BL816" s="75" t="s">
        <v>439</v>
      </c>
      <c r="BM816" s="75"/>
    </row>
    <row r="817" spans="1:65" ht="15" customHeight="1" x14ac:dyDescent="0.2">
      <c r="A817" s="38"/>
      <c r="B817" s="38"/>
      <c r="C817" s="75"/>
      <c r="D817" s="75"/>
      <c r="E817" s="75"/>
      <c r="F817" s="75"/>
      <c r="G817" s="75"/>
      <c r="H817" s="75"/>
      <c r="I817" s="75"/>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t="s">
        <v>439</v>
      </c>
      <c r="BG817" s="75"/>
      <c r="BH817" s="75"/>
      <c r="BI817" s="75" t="s">
        <v>439</v>
      </c>
      <c r="BJ817" s="75"/>
      <c r="BK817" s="75"/>
      <c r="BL817" s="75" t="s">
        <v>439</v>
      </c>
      <c r="BM817" s="75"/>
    </row>
    <row r="818" spans="1:65" ht="15" customHeight="1" x14ac:dyDescent="0.2">
      <c r="A818" s="38"/>
      <c r="B818" s="38"/>
      <c r="C818" s="75"/>
      <c r="D818" s="75"/>
      <c r="E818" s="75"/>
      <c r="F818" s="75"/>
      <c r="G818" s="75"/>
      <c r="H818" s="75"/>
      <c r="I818" s="75"/>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t="s">
        <v>439</v>
      </c>
      <c r="BG818" s="75"/>
      <c r="BH818" s="75"/>
      <c r="BI818" s="75" t="s">
        <v>439</v>
      </c>
      <c r="BJ818" s="75"/>
      <c r="BK818" s="75"/>
      <c r="BL818" s="75" t="s">
        <v>439</v>
      </c>
      <c r="BM818" s="75"/>
    </row>
    <row r="819" spans="1:65" ht="15" customHeight="1" x14ac:dyDescent="0.2">
      <c r="A819" s="38"/>
      <c r="B819" s="38"/>
      <c r="C819" s="75"/>
      <c r="D819" s="75"/>
      <c r="E819" s="75"/>
      <c r="F819" s="75"/>
      <c r="G819" s="75"/>
      <c r="H819" s="75"/>
      <c r="I819" s="75"/>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t="s">
        <v>439</v>
      </c>
      <c r="BG819" s="75"/>
      <c r="BH819" s="75"/>
      <c r="BI819" s="75" t="s">
        <v>439</v>
      </c>
      <c r="BJ819" s="75"/>
      <c r="BK819" s="75"/>
      <c r="BL819" s="75" t="s">
        <v>439</v>
      </c>
      <c r="BM819" s="75"/>
    </row>
    <row r="820" spans="1:65" ht="15" customHeight="1" x14ac:dyDescent="0.2">
      <c r="A820" s="38"/>
      <c r="B820" s="38"/>
      <c r="C820" s="75"/>
      <c r="D820" s="75"/>
      <c r="E820" s="75"/>
      <c r="F820" s="75"/>
      <c r="G820" s="75"/>
      <c r="H820" s="75"/>
      <c r="I820" s="75"/>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t="s">
        <v>439</v>
      </c>
      <c r="BG820" s="75"/>
      <c r="BH820" s="75"/>
      <c r="BI820" s="75" t="s">
        <v>439</v>
      </c>
      <c r="BJ820" s="75"/>
      <c r="BK820" s="75"/>
      <c r="BL820" s="75" t="s">
        <v>439</v>
      </c>
      <c r="BM820" s="75"/>
    </row>
    <row r="821" spans="1:65" ht="15" customHeight="1" x14ac:dyDescent="0.2">
      <c r="A821" s="38"/>
      <c r="B821" s="38"/>
      <c r="C821" s="75"/>
      <c r="D821" s="75"/>
      <c r="E821" s="75"/>
      <c r="F821" s="75"/>
      <c r="G821" s="75"/>
      <c r="H821" s="75"/>
      <c r="I821" s="75"/>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t="s">
        <v>439</v>
      </c>
      <c r="BG821" s="75"/>
      <c r="BH821" s="75"/>
      <c r="BI821" s="75" t="s">
        <v>439</v>
      </c>
      <c r="BJ821" s="75"/>
      <c r="BK821" s="75"/>
      <c r="BL821" s="75" t="s">
        <v>439</v>
      </c>
      <c r="BM821" s="75"/>
    </row>
    <row r="822" spans="1:65" ht="15" customHeight="1" x14ac:dyDescent="0.2">
      <c r="A822" s="38"/>
      <c r="B822" s="38"/>
      <c r="C822" s="75"/>
      <c r="D822" s="75"/>
      <c r="E822" s="75"/>
      <c r="F822" s="75"/>
      <c r="G822" s="75"/>
      <c r="H822" s="75"/>
      <c r="I822" s="75"/>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t="s">
        <v>439</v>
      </c>
      <c r="BG822" s="75"/>
      <c r="BH822" s="75"/>
      <c r="BI822" s="75" t="s">
        <v>439</v>
      </c>
      <c r="BJ822" s="75"/>
      <c r="BK822" s="75"/>
      <c r="BL822" s="75" t="s">
        <v>439</v>
      </c>
      <c r="BM822" s="75"/>
    </row>
    <row r="823" spans="1:65" ht="15" customHeight="1" x14ac:dyDescent="0.2">
      <c r="A823" s="38"/>
      <c r="B823" s="38"/>
      <c r="C823" s="75"/>
      <c r="D823" s="75"/>
      <c r="E823" s="75"/>
      <c r="F823" s="75"/>
      <c r="G823" s="75"/>
      <c r="H823" s="75"/>
      <c r="I823" s="75"/>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t="s">
        <v>439</v>
      </c>
      <c r="BG823" s="75"/>
      <c r="BH823" s="75"/>
      <c r="BI823" s="75" t="s">
        <v>439</v>
      </c>
      <c r="BJ823" s="75"/>
      <c r="BK823" s="75"/>
      <c r="BL823" s="75" t="s">
        <v>439</v>
      </c>
      <c r="BM823" s="75"/>
    </row>
    <row r="824" spans="1:65" ht="15" customHeight="1" x14ac:dyDescent="0.2">
      <c r="A824" s="38"/>
      <c r="B824" s="38"/>
      <c r="C824" s="75"/>
      <c r="D824" s="75"/>
      <c r="E824" s="75"/>
      <c r="F824" s="75"/>
      <c r="G824" s="75"/>
      <c r="H824" s="75"/>
      <c r="I824" s="75"/>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t="s">
        <v>439</v>
      </c>
      <c r="BG824" s="75"/>
      <c r="BH824" s="75"/>
      <c r="BI824" s="75" t="s">
        <v>439</v>
      </c>
      <c r="BJ824" s="75"/>
      <c r="BK824" s="75"/>
      <c r="BL824" s="75" t="s">
        <v>439</v>
      </c>
      <c r="BM824" s="75"/>
    </row>
    <row r="825" spans="1:65" ht="15" customHeight="1" x14ac:dyDescent="0.2">
      <c r="A825" s="38"/>
      <c r="B825" s="38"/>
      <c r="C825" s="75"/>
      <c r="D825" s="75"/>
      <c r="E825" s="75"/>
      <c r="F825" s="75"/>
      <c r="G825" s="75"/>
      <c r="H825" s="75"/>
      <c r="I825" s="75"/>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t="s">
        <v>439</v>
      </c>
      <c r="BG825" s="75"/>
      <c r="BH825" s="75"/>
      <c r="BI825" s="75" t="s">
        <v>439</v>
      </c>
      <c r="BJ825" s="75"/>
      <c r="BK825" s="75"/>
      <c r="BL825" s="75" t="s">
        <v>439</v>
      </c>
      <c r="BM825" s="75"/>
    </row>
    <row r="826" spans="1:65" ht="15" customHeight="1" x14ac:dyDescent="0.2">
      <c r="A826" s="38"/>
      <c r="B826" s="38"/>
      <c r="C826" s="75"/>
      <c r="D826" s="75"/>
      <c r="E826" s="75"/>
      <c r="F826" s="75"/>
      <c r="G826" s="75"/>
      <c r="H826" s="75"/>
      <c r="I826" s="75"/>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t="s">
        <v>439</v>
      </c>
      <c r="BG826" s="75"/>
      <c r="BH826" s="75"/>
      <c r="BI826" s="75" t="s">
        <v>439</v>
      </c>
      <c r="BJ826" s="75"/>
      <c r="BK826" s="75"/>
      <c r="BL826" s="75" t="s">
        <v>439</v>
      </c>
      <c r="BM826" s="75"/>
    </row>
    <row r="827" spans="1:65" ht="15" customHeight="1" x14ac:dyDescent="0.2">
      <c r="A827" s="38"/>
      <c r="B827" s="38"/>
      <c r="C827" s="75"/>
      <c r="D827" s="75"/>
      <c r="E827" s="75"/>
      <c r="F827" s="75"/>
      <c r="G827" s="75"/>
      <c r="H827" s="75"/>
      <c r="I827" s="75"/>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t="s">
        <v>439</v>
      </c>
      <c r="BG827" s="75"/>
      <c r="BH827" s="75"/>
      <c r="BI827" s="75" t="s">
        <v>439</v>
      </c>
      <c r="BJ827" s="75"/>
      <c r="BK827" s="75"/>
      <c r="BL827" s="75" t="s">
        <v>439</v>
      </c>
      <c r="BM827" s="75"/>
    </row>
    <row r="828" spans="1:65" ht="15" customHeight="1" x14ac:dyDescent="0.2">
      <c r="A828" s="38"/>
      <c r="B828" s="38"/>
      <c r="C828" s="75"/>
      <c r="D828" s="75"/>
      <c r="E828" s="75"/>
      <c r="F828" s="75"/>
      <c r="G828" s="75"/>
      <c r="H828" s="75"/>
      <c r="I828" s="75"/>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t="s">
        <v>439</v>
      </c>
      <c r="BG828" s="75"/>
      <c r="BH828" s="75"/>
      <c r="BI828" s="75" t="s">
        <v>439</v>
      </c>
      <c r="BJ828" s="75"/>
      <c r="BK828" s="75"/>
      <c r="BL828" s="75" t="s">
        <v>439</v>
      </c>
      <c r="BM828" s="75"/>
    </row>
    <row r="829" spans="1:65" ht="15" customHeight="1" x14ac:dyDescent="0.2">
      <c r="A829" s="38"/>
      <c r="B829" s="38"/>
      <c r="C829" s="75"/>
      <c r="D829" s="75"/>
      <c r="E829" s="75"/>
      <c r="F829" s="75"/>
      <c r="G829" s="75"/>
      <c r="H829" s="75"/>
      <c r="I829" s="75"/>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t="s">
        <v>439</v>
      </c>
      <c r="BG829" s="75"/>
      <c r="BH829" s="75"/>
      <c r="BI829" s="75" t="s">
        <v>439</v>
      </c>
      <c r="BJ829" s="75"/>
      <c r="BK829" s="75"/>
      <c r="BL829" s="75" t="s">
        <v>439</v>
      </c>
      <c r="BM829" s="75"/>
    </row>
    <row r="830" spans="1:65" ht="15" customHeight="1" x14ac:dyDescent="0.2">
      <c r="A830" s="38"/>
      <c r="B830" s="38"/>
      <c r="C830" s="75"/>
      <c r="D830" s="75"/>
      <c r="E830" s="75"/>
      <c r="F830" s="75"/>
      <c r="G830" s="75"/>
      <c r="H830" s="75"/>
      <c r="I830" s="75"/>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t="s">
        <v>439</v>
      </c>
      <c r="BG830" s="75"/>
      <c r="BH830" s="75"/>
      <c r="BI830" s="75" t="s">
        <v>439</v>
      </c>
      <c r="BJ830" s="75"/>
      <c r="BK830" s="75"/>
      <c r="BL830" s="75" t="s">
        <v>439</v>
      </c>
      <c r="BM830" s="75"/>
    </row>
    <row r="831" spans="1:65" ht="15" customHeight="1" x14ac:dyDescent="0.2">
      <c r="A831" s="38"/>
      <c r="B831" s="38"/>
      <c r="C831" s="75"/>
      <c r="D831" s="75"/>
      <c r="E831" s="75"/>
      <c r="F831" s="75"/>
      <c r="G831" s="75"/>
      <c r="H831" s="75"/>
      <c r="I831" s="75"/>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t="s">
        <v>439</v>
      </c>
      <c r="BG831" s="75"/>
      <c r="BH831" s="75"/>
      <c r="BI831" s="75" t="s">
        <v>439</v>
      </c>
      <c r="BJ831" s="75"/>
      <c r="BK831" s="75"/>
      <c r="BL831" s="75" t="s">
        <v>439</v>
      </c>
      <c r="BM831" s="75"/>
    </row>
    <row r="832" spans="1:65" ht="15" customHeight="1" x14ac:dyDescent="0.2">
      <c r="A832" s="38"/>
      <c r="B832" s="38"/>
      <c r="C832" s="75"/>
      <c r="D832" s="75"/>
      <c r="E832" s="75"/>
      <c r="F832" s="75"/>
      <c r="G832" s="75"/>
      <c r="H832" s="75"/>
      <c r="I832" s="75"/>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t="s">
        <v>439</v>
      </c>
      <c r="BG832" s="75"/>
      <c r="BH832" s="75"/>
      <c r="BI832" s="75" t="s">
        <v>439</v>
      </c>
      <c r="BJ832" s="75"/>
      <c r="BK832" s="75"/>
      <c r="BL832" s="75" t="s">
        <v>439</v>
      </c>
      <c r="BM832" s="75"/>
    </row>
    <row r="833" spans="1:65" ht="15" customHeight="1" x14ac:dyDescent="0.2">
      <c r="A833" s="38"/>
      <c r="B833" s="38"/>
      <c r="C833" s="75"/>
      <c r="D833" s="75"/>
      <c r="E833" s="75"/>
      <c r="F833" s="75"/>
      <c r="G833" s="75"/>
      <c r="H833" s="75"/>
      <c r="I833" s="75"/>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t="s">
        <v>439</v>
      </c>
      <c r="BG833" s="75"/>
      <c r="BH833" s="75"/>
      <c r="BI833" s="75" t="s">
        <v>439</v>
      </c>
      <c r="BJ833" s="75"/>
      <c r="BK833" s="75"/>
      <c r="BL833" s="75" t="s">
        <v>439</v>
      </c>
      <c r="BM833" s="75"/>
    </row>
    <row r="834" spans="1:65" ht="15" customHeight="1" x14ac:dyDescent="0.2">
      <c r="A834" s="38"/>
      <c r="B834" s="38"/>
      <c r="C834" s="75"/>
      <c r="D834" s="75"/>
      <c r="E834" s="75"/>
      <c r="F834" s="75"/>
      <c r="G834" s="75"/>
      <c r="H834" s="75"/>
      <c r="I834" s="75"/>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t="s">
        <v>439</v>
      </c>
      <c r="BG834" s="75"/>
      <c r="BH834" s="75"/>
      <c r="BI834" s="75" t="s">
        <v>439</v>
      </c>
      <c r="BJ834" s="75"/>
      <c r="BK834" s="75"/>
      <c r="BL834" s="75" t="s">
        <v>439</v>
      </c>
      <c r="BM834" s="75"/>
    </row>
    <row r="835" spans="1:65" ht="15" customHeight="1" x14ac:dyDescent="0.2">
      <c r="A835" s="38"/>
      <c r="B835" s="38"/>
      <c r="C835" s="75"/>
      <c r="D835" s="75"/>
      <c r="E835" s="75"/>
      <c r="F835" s="75"/>
      <c r="G835" s="75"/>
      <c r="H835" s="75"/>
      <c r="I835" s="75"/>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t="s">
        <v>439</v>
      </c>
      <c r="BG835" s="75"/>
      <c r="BH835" s="75"/>
      <c r="BI835" s="75" t="s">
        <v>439</v>
      </c>
      <c r="BJ835" s="75"/>
      <c r="BK835" s="75"/>
      <c r="BL835" s="75" t="s">
        <v>439</v>
      </c>
      <c r="BM835" s="75"/>
    </row>
    <row r="836" spans="1:65" ht="15" customHeight="1" x14ac:dyDescent="0.2">
      <c r="A836" s="38"/>
      <c r="B836" s="38"/>
      <c r="C836" s="75"/>
      <c r="D836" s="75"/>
      <c r="E836" s="75"/>
      <c r="F836" s="75"/>
      <c r="G836" s="75"/>
      <c r="H836" s="75"/>
      <c r="I836" s="75"/>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t="s">
        <v>439</v>
      </c>
      <c r="BG836" s="75"/>
      <c r="BH836" s="75"/>
      <c r="BI836" s="75" t="s">
        <v>439</v>
      </c>
      <c r="BJ836" s="75"/>
      <c r="BK836" s="75"/>
      <c r="BL836" s="75" t="s">
        <v>439</v>
      </c>
      <c r="BM836" s="75"/>
    </row>
    <row r="837" spans="1:65" ht="15" customHeight="1" x14ac:dyDescent="0.2">
      <c r="A837" s="38"/>
      <c r="B837" s="38"/>
      <c r="C837" s="75"/>
      <c r="D837" s="75"/>
      <c r="E837" s="75"/>
      <c r="F837" s="75"/>
      <c r="G837" s="75"/>
      <c r="H837" s="75"/>
      <c r="I837" s="75"/>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t="s">
        <v>439</v>
      </c>
      <c r="BG837" s="75"/>
      <c r="BH837" s="75"/>
      <c r="BI837" s="75" t="s">
        <v>439</v>
      </c>
      <c r="BJ837" s="75"/>
      <c r="BK837" s="75"/>
      <c r="BL837" s="75" t="s">
        <v>439</v>
      </c>
      <c r="BM837" s="75"/>
    </row>
    <row r="838" spans="1:65" ht="15" customHeight="1" x14ac:dyDescent="0.2">
      <c r="A838" s="38"/>
      <c r="B838" s="38"/>
      <c r="C838" s="75"/>
      <c r="D838" s="75"/>
      <c r="E838" s="75"/>
      <c r="F838" s="75"/>
      <c r="G838" s="75"/>
      <c r="H838" s="75"/>
      <c r="I838" s="75"/>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t="s">
        <v>439</v>
      </c>
      <c r="BG838" s="75"/>
      <c r="BH838" s="75"/>
      <c r="BI838" s="75" t="s">
        <v>439</v>
      </c>
      <c r="BJ838" s="75"/>
      <c r="BK838" s="75"/>
      <c r="BL838" s="75" t="s">
        <v>439</v>
      </c>
      <c r="BM838" s="75"/>
    </row>
    <row r="839" spans="1:65" ht="15" customHeight="1" x14ac:dyDescent="0.2">
      <c r="A839" s="38"/>
      <c r="B839" s="38"/>
      <c r="C839" s="75"/>
      <c r="D839" s="75"/>
      <c r="E839" s="75"/>
      <c r="F839" s="75"/>
      <c r="G839" s="75"/>
      <c r="H839" s="75"/>
      <c r="I839" s="75"/>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t="s">
        <v>439</v>
      </c>
      <c r="BG839" s="75"/>
      <c r="BH839" s="75"/>
      <c r="BI839" s="75" t="s">
        <v>439</v>
      </c>
      <c r="BJ839" s="75"/>
      <c r="BK839" s="75"/>
      <c r="BL839" s="75" t="s">
        <v>439</v>
      </c>
      <c r="BM839" s="75"/>
    </row>
    <row r="840" spans="1:65" ht="15" customHeight="1" x14ac:dyDescent="0.2">
      <c r="A840" s="38"/>
      <c r="B840" s="38"/>
      <c r="C840" s="75"/>
      <c r="D840" s="75"/>
      <c r="E840" s="75"/>
      <c r="F840" s="75"/>
      <c r="G840" s="75"/>
      <c r="H840" s="75"/>
      <c r="I840" s="75"/>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t="s">
        <v>439</v>
      </c>
      <c r="BG840" s="75"/>
      <c r="BH840" s="75"/>
      <c r="BI840" s="75" t="s">
        <v>439</v>
      </c>
      <c r="BJ840" s="75"/>
      <c r="BK840" s="75"/>
      <c r="BL840" s="75" t="s">
        <v>439</v>
      </c>
      <c r="BM840" s="75"/>
    </row>
    <row r="841" spans="1:65" ht="15" customHeight="1" x14ac:dyDescent="0.2">
      <c r="A841" s="38"/>
      <c r="B841" s="38"/>
      <c r="C841" s="75"/>
      <c r="D841" s="75"/>
      <c r="E841" s="75"/>
      <c r="F841" s="75"/>
      <c r="G841" s="75"/>
      <c r="H841" s="75"/>
      <c r="I841" s="75"/>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t="s">
        <v>439</v>
      </c>
      <c r="BG841" s="75"/>
      <c r="BH841" s="75"/>
      <c r="BI841" s="75" t="s">
        <v>439</v>
      </c>
      <c r="BJ841" s="75"/>
      <c r="BK841" s="75"/>
      <c r="BL841" s="75" t="s">
        <v>439</v>
      </c>
      <c r="BM841" s="75"/>
    </row>
    <row r="842" spans="1:65" ht="15" customHeight="1" x14ac:dyDescent="0.2">
      <c r="A842" s="38"/>
      <c r="B842" s="38"/>
      <c r="C842" s="75"/>
      <c r="D842" s="75"/>
      <c r="E842" s="75"/>
      <c r="F842" s="75"/>
      <c r="G842" s="75"/>
      <c r="H842" s="75"/>
      <c r="I842" s="75"/>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t="s">
        <v>439</v>
      </c>
      <c r="BG842" s="75"/>
      <c r="BH842" s="75"/>
      <c r="BI842" s="75" t="s">
        <v>439</v>
      </c>
      <c r="BJ842" s="75"/>
      <c r="BK842" s="75"/>
      <c r="BL842" s="75" t="s">
        <v>439</v>
      </c>
      <c r="BM842" s="75"/>
    </row>
    <row r="843" spans="1:65" ht="15" customHeight="1" x14ac:dyDescent="0.2">
      <c r="A843" s="38"/>
      <c r="B843" s="38"/>
      <c r="C843" s="75"/>
      <c r="D843" s="75"/>
      <c r="E843" s="75"/>
      <c r="F843" s="75"/>
      <c r="G843" s="75"/>
      <c r="H843" s="75"/>
      <c r="I843" s="75"/>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t="s">
        <v>439</v>
      </c>
      <c r="BG843" s="75"/>
      <c r="BH843" s="75"/>
      <c r="BI843" s="75" t="s">
        <v>439</v>
      </c>
      <c r="BJ843" s="75"/>
      <c r="BK843" s="75"/>
      <c r="BL843" s="75" t="s">
        <v>439</v>
      </c>
      <c r="BM843" s="75"/>
    </row>
    <row r="844" spans="1:65" ht="15" customHeight="1" x14ac:dyDescent="0.2">
      <c r="A844" s="38"/>
      <c r="B844" s="38"/>
      <c r="C844" s="75"/>
      <c r="D844" s="75"/>
      <c r="E844" s="75"/>
      <c r="F844" s="75"/>
      <c r="G844" s="75"/>
      <c r="H844" s="75"/>
      <c r="I844" s="75"/>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t="s">
        <v>439</v>
      </c>
      <c r="BG844" s="75"/>
      <c r="BH844" s="75"/>
      <c r="BI844" s="75" t="s">
        <v>439</v>
      </c>
      <c r="BJ844" s="75"/>
      <c r="BK844" s="75"/>
      <c r="BL844" s="75" t="s">
        <v>439</v>
      </c>
      <c r="BM844" s="75"/>
    </row>
    <row r="845" spans="1:65" ht="15" customHeight="1" x14ac:dyDescent="0.2">
      <c r="A845" s="38"/>
      <c r="B845" s="38"/>
      <c r="C845" s="75"/>
      <c r="D845" s="75"/>
      <c r="E845" s="75"/>
      <c r="F845" s="75"/>
      <c r="G845" s="75"/>
      <c r="H845" s="75"/>
      <c r="I845" s="75"/>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t="s">
        <v>439</v>
      </c>
      <c r="BG845" s="75"/>
      <c r="BH845" s="75"/>
      <c r="BI845" s="75" t="s">
        <v>439</v>
      </c>
      <c r="BJ845" s="75"/>
      <c r="BK845" s="75"/>
      <c r="BL845" s="75" t="s">
        <v>439</v>
      </c>
      <c r="BM845" s="75"/>
    </row>
    <row r="846" spans="1:65" ht="15" customHeight="1" x14ac:dyDescent="0.2">
      <c r="A846" s="38"/>
      <c r="B846" s="38"/>
      <c r="C846" s="75"/>
      <c r="D846" s="75"/>
      <c r="E846" s="75"/>
      <c r="F846" s="75"/>
      <c r="G846" s="75"/>
      <c r="H846" s="75"/>
      <c r="I846" s="75"/>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t="s">
        <v>439</v>
      </c>
      <c r="BG846" s="75"/>
      <c r="BH846" s="75"/>
      <c r="BI846" s="75" t="s">
        <v>439</v>
      </c>
      <c r="BJ846" s="75"/>
      <c r="BK846" s="75"/>
      <c r="BL846" s="75" t="s">
        <v>439</v>
      </c>
      <c r="BM846" s="75"/>
    </row>
    <row r="847" spans="1:65" ht="15" customHeight="1" x14ac:dyDescent="0.2">
      <c r="A847" s="38"/>
      <c r="B847" s="38"/>
      <c r="C847" s="75"/>
      <c r="D847" s="75"/>
      <c r="E847" s="75"/>
      <c r="F847" s="75"/>
      <c r="G847" s="75"/>
      <c r="H847" s="75"/>
      <c r="I847" s="75"/>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t="s">
        <v>439</v>
      </c>
      <c r="BG847" s="75"/>
      <c r="BH847" s="75"/>
      <c r="BI847" s="75" t="s">
        <v>439</v>
      </c>
      <c r="BJ847" s="75"/>
      <c r="BK847" s="75"/>
      <c r="BL847" s="75" t="s">
        <v>439</v>
      </c>
      <c r="BM847" s="75"/>
    </row>
    <row r="848" spans="1:65" ht="15" customHeight="1" x14ac:dyDescent="0.2">
      <c r="A848" s="38"/>
      <c r="B848" s="38"/>
      <c r="C848" s="75"/>
      <c r="D848" s="75"/>
      <c r="E848" s="75"/>
      <c r="F848" s="75"/>
      <c r="G848" s="75"/>
      <c r="H848" s="75"/>
      <c r="I848" s="75"/>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t="s">
        <v>439</v>
      </c>
      <c r="BG848" s="75"/>
      <c r="BH848" s="75"/>
      <c r="BI848" s="75" t="s">
        <v>439</v>
      </c>
      <c r="BJ848" s="75"/>
      <c r="BK848" s="75"/>
      <c r="BL848" s="75" t="s">
        <v>439</v>
      </c>
      <c r="BM848" s="75"/>
    </row>
    <row r="849" spans="1:65" ht="15" customHeight="1" x14ac:dyDescent="0.2">
      <c r="A849" s="38"/>
      <c r="B849" s="38"/>
      <c r="C849" s="75"/>
      <c r="D849" s="75"/>
      <c r="E849" s="75"/>
      <c r="F849" s="75"/>
      <c r="G849" s="75"/>
      <c r="H849" s="75"/>
      <c r="I849" s="75"/>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t="s">
        <v>439</v>
      </c>
      <c r="BG849" s="75"/>
      <c r="BH849" s="75"/>
      <c r="BI849" s="75" t="s">
        <v>439</v>
      </c>
      <c r="BJ849" s="75"/>
      <c r="BK849" s="75"/>
      <c r="BL849" s="75" t="s">
        <v>439</v>
      </c>
      <c r="BM849" s="75"/>
    </row>
    <row r="850" spans="1:65" ht="15" customHeight="1" x14ac:dyDescent="0.2">
      <c r="A850" s="38"/>
      <c r="B850" s="38"/>
      <c r="C850" s="75"/>
      <c r="D850" s="75"/>
      <c r="E850" s="75"/>
      <c r="F850" s="75"/>
      <c r="G850" s="75"/>
      <c r="H850" s="75"/>
      <c r="I850" s="75"/>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t="s">
        <v>439</v>
      </c>
      <c r="BG850" s="75"/>
      <c r="BH850" s="75"/>
      <c r="BI850" s="75" t="s">
        <v>439</v>
      </c>
      <c r="BJ850" s="75"/>
      <c r="BK850" s="75"/>
      <c r="BL850" s="75" t="s">
        <v>439</v>
      </c>
      <c r="BM850" s="75"/>
    </row>
    <row r="851" spans="1:65" ht="15" customHeight="1" x14ac:dyDescent="0.2">
      <c r="A851" s="38"/>
      <c r="B851" s="38"/>
      <c r="C851" s="75"/>
      <c r="D851" s="75"/>
      <c r="E851" s="75"/>
      <c r="F851" s="75"/>
      <c r="G851" s="75"/>
      <c r="H851" s="75"/>
      <c r="I851" s="75"/>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t="s">
        <v>439</v>
      </c>
      <c r="BG851" s="75"/>
      <c r="BH851" s="75"/>
      <c r="BI851" s="75" t="s">
        <v>439</v>
      </c>
      <c r="BJ851" s="75"/>
      <c r="BK851" s="75"/>
      <c r="BL851" s="75" t="s">
        <v>439</v>
      </c>
      <c r="BM851" s="75"/>
    </row>
    <row r="852" spans="1:65" ht="15" customHeight="1" x14ac:dyDescent="0.2">
      <c r="A852" s="38"/>
      <c r="B852" s="38"/>
      <c r="C852" s="75"/>
      <c r="D852" s="75"/>
      <c r="E852" s="75"/>
      <c r="F852" s="75"/>
      <c r="G852" s="75"/>
      <c r="H852" s="75"/>
      <c r="I852" s="75"/>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t="s">
        <v>439</v>
      </c>
      <c r="BG852" s="75"/>
      <c r="BH852" s="75"/>
      <c r="BI852" s="75" t="s">
        <v>439</v>
      </c>
      <c r="BJ852" s="75"/>
      <c r="BK852" s="75"/>
      <c r="BL852" s="75" t="s">
        <v>439</v>
      </c>
      <c r="BM852" s="75"/>
    </row>
    <row r="853" spans="1:65" ht="15" customHeight="1" x14ac:dyDescent="0.2">
      <c r="A853" s="38"/>
      <c r="B853" s="38"/>
      <c r="C853" s="75"/>
      <c r="D853" s="75"/>
      <c r="E853" s="75"/>
      <c r="F853" s="75"/>
      <c r="G853" s="75"/>
      <c r="H853" s="75"/>
      <c r="I853" s="75"/>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t="s">
        <v>439</v>
      </c>
      <c r="BG853" s="75"/>
      <c r="BH853" s="75"/>
      <c r="BI853" s="75" t="s">
        <v>439</v>
      </c>
      <c r="BJ853" s="75"/>
      <c r="BK853" s="75"/>
      <c r="BL853" s="75" t="s">
        <v>439</v>
      </c>
      <c r="BM853" s="75"/>
    </row>
    <row r="854" spans="1:65" ht="15" customHeight="1" x14ac:dyDescent="0.2">
      <c r="A854" s="38"/>
      <c r="B854" s="38"/>
      <c r="C854" s="75"/>
      <c r="D854" s="75"/>
      <c r="E854" s="75"/>
      <c r="F854" s="75"/>
      <c r="G854" s="75"/>
      <c r="H854" s="75"/>
      <c r="I854" s="75"/>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t="s">
        <v>439</v>
      </c>
      <c r="BG854" s="75"/>
      <c r="BH854" s="75"/>
      <c r="BI854" s="75" t="s">
        <v>439</v>
      </c>
      <c r="BJ854" s="75"/>
      <c r="BK854" s="75"/>
      <c r="BL854" s="75" t="s">
        <v>439</v>
      </c>
      <c r="BM854" s="75"/>
    </row>
    <row r="855" spans="1:65" ht="15" customHeight="1" x14ac:dyDescent="0.2">
      <c r="A855" s="38"/>
      <c r="B855" s="38"/>
      <c r="C855" s="75"/>
      <c r="D855" s="75"/>
      <c r="E855" s="75"/>
      <c r="F855" s="75"/>
      <c r="G855" s="75"/>
      <c r="H855" s="75"/>
      <c r="I855" s="75"/>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t="s">
        <v>439</v>
      </c>
      <c r="BG855" s="75"/>
      <c r="BH855" s="75"/>
      <c r="BI855" s="75" t="s">
        <v>439</v>
      </c>
      <c r="BJ855" s="75"/>
      <c r="BK855" s="75"/>
      <c r="BL855" s="75" t="s">
        <v>439</v>
      </c>
      <c r="BM855" s="75"/>
    </row>
    <row r="856" spans="1:65" ht="15" customHeight="1" x14ac:dyDescent="0.2">
      <c r="A856" s="38"/>
      <c r="B856" s="38"/>
      <c r="C856" s="75"/>
      <c r="D856" s="75"/>
      <c r="E856" s="75"/>
      <c r="F856" s="75"/>
      <c r="G856" s="75"/>
      <c r="H856" s="75"/>
      <c r="I856" s="75"/>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t="s">
        <v>439</v>
      </c>
      <c r="BG856" s="75"/>
      <c r="BH856" s="75"/>
      <c r="BI856" s="75" t="s">
        <v>439</v>
      </c>
      <c r="BJ856" s="75"/>
      <c r="BK856" s="75"/>
      <c r="BL856" s="75" t="s">
        <v>439</v>
      </c>
      <c r="BM856" s="75"/>
    </row>
    <row r="857" spans="1:65" ht="15" customHeight="1" x14ac:dyDescent="0.2">
      <c r="A857" s="38"/>
      <c r="B857" s="38"/>
      <c r="C857" s="75"/>
      <c r="D857" s="75"/>
      <c r="E857" s="75"/>
      <c r="F857" s="75"/>
      <c r="G857" s="75"/>
      <c r="H857" s="75"/>
      <c r="I857" s="75"/>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t="s">
        <v>439</v>
      </c>
      <c r="BG857" s="75"/>
      <c r="BH857" s="75"/>
      <c r="BI857" s="75" t="s">
        <v>439</v>
      </c>
      <c r="BJ857" s="75"/>
      <c r="BK857" s="75"/>
      <c r="BL857" s="75" t="s">
        <v>439</v>
      </c>
      <c r="BM857" s="75"/>
    </row>
    <row r="858" spans="1:65" ht="15" customHeight="1" x14ac:dyDescent="0.2">
      <c r="A858" s="38"/>
      <c r="B858" s="38"/>
      <c r="C858" s="75"/>
      <c r="D858" s="75"/>
      <c r="E858" s="75"/>
      <c r="F858" s="75"/>
      <c r="G858" s="75"/>
      <c r="H858" s="75"/>
      <c r="I858" s="75"/>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t="s">
        <v>439</v>
      </c>
      <c r="BG858" s="75"/>
      <c r="BH858" s="75"/>
      <c r="BI858" s="75" t="s">
        <v>439</v>
      </c>
      <c r="BJ858" s="75"/>
      <c r="BK858" s="75"/>
      <c r="BL858" s="75" t="s">
        <v>439</v>
      </c>
      <c r="BM858" s="75"/>
    </row>
    <row r="859" spans="1:65" ht="15" customHeight="1" x14ac:dyDescent="0.2">
      <c r="A859" s="38"/>
      <c r="B859" s="38"/>
      <c r="C859" s="75"/>
      <c r="D859" s="75"/>
      <c r="E859" s="75"/>
      <c r="F859" s="75"/>
      <c r="G859" s="75"/>
      <c r="H859" s="75"/>
      <c r="I859" s="75"/>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t="s">
        <v>439</v>
      </c>
      <c r="BG859" s="75"/>
      <c r="BH859" s="75"/>
      <c r="BI859" s="75" t="s">
        <v>439</v>
      </c>
      <c r="BJ859" s="75"/>
      <c r="BK859" s="75"/>
      <c r="BL859" s="75" t="s">
        <v>439</v>
      </c>
      <c r="BM859" s="75"/>
    </row>
    <row r="860" spans="1:65" ht="15" customHeight="1" x14ac:dyDescent="0.2">
      <c r="A860" s="38"/>
      <c r="B860" s="38"/>
      <c r="C860" s="75"/>
      <c r="D860" s="75"/>
      <c r="E860" s="75"/>
      <c r="F860" s="75"/>
      <c r="G860" s="75"/>
      <c r="H860" s="75"/>
      <c r="I860" s="75"/>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t="s">
        <v>439</v>
      </c>
      <c r="BG860" s="75"/>
      <c r="BH860" s="75"/>
      <c r="BI860" s="75" t="s">
        <v>439</v>
      </c>
      <c r="BJ860" s="75"/>
      <c r="BK860" s="75"/>
      <c r="BL860" s="75" t="s">
        <v>439</v>
      </c>
      <c r="BM860" s="75"/>
    </row>
    <row r="861" spans="1:65" ht="15" customHeight="1" x14ac:dyDescent="0.2">
      <c r="A861" s="38"/>
      <c r="B861" s="38"/>
      <c r="C861" s="75"/>
      <c r="D861" s="75"/>
      <c r="E861" s="75"/>
      <c r="F861" s="75"/>
      <c r="G861" s="75"/>
      <c r="H861" s="75"/>
      <c r="I861" s="75"/>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t="s">
        <v>439</v>
      </c>
      <c r="BG861" s="75"/>
      <c r="BH861" s="75"/>
      <c r="BI861" s="75" t="s">
        <v>439</v>
      </c>
      <c r="BJ861" s="75"/>
      <c r="BK861" s="75"/>
      <c r="BL861" s="75" t="s">
        <v>439</v>
      </c>
      <c r="BM861" s="75"/>
    </row>
    <row r="862" spans="1:65" ht="15" customHeight="1" x14ac:dyDescent="0.2">
      <c r="A862" s="38"/>
      <c r="B862" s="38"/>
      <c r="C862" s="75"/>
      <c r="D862" s="75"/>
      <c r="E862" s="75"/>
      <c r="F862" s="75"/>
      <c r="G862" s="75"/>
      <c r="H862" s="75"/>
      <c r="I862" s="75"/>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t="s">
        <v>439</v>
      </c>
      <c r="BG862" s="75"/>
      <c r="BH862" s="75"/>
      <c r="BI862" s="75" t="s">
        <v>439</v>
      </c>
      <c r="BJ862" s="75"/>
      <c r="BK862" s="75"/>
      <c r="BL862" s="75" t="s">
        <v>439</v>
      </c>
      <c r="BM862" s="75"/>
    </row>
    <row r="863" spans="1:65" ht="15" customHeight="1" x14ac:dyDescent="0.2">
      <c r="A863" s="38"/>
      <c r="B863" s="38"/>
      <c r="C863" s="75"/>
      <c r="D863" s="75"/>
      <c r="E863" s="75"/>
      <c r="F863" s="75"/>
      <c r="G863" s="75"/>
      <c r="H863" s="75"/>
      <c r="I863" s="75"/>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t="s">
        <v>439</v>
      </c>
      <c r="BG863" s="75"/>
      <c r="BH863" s="75"/>
      <c r="BI863" s="75" t="s">
        <v>439</v>
      </c>
      <c r="BJ863" s="75"/>
      <c r="BK863" s="75"/>
      <c r="BL863" s="75" t="s">
        <v>439</v>
      </c>
      <c r="BM863" s="75"/>
    </row>
    <row r="864" spans="1:65" ht="15" customHeight="1" x14ac:dyDescent="0.2">
      <c r="A864" s="38"/>
      <c r="B864" s="38"/>
      <c r="C864" s="75"/>
      <c r="D864" s="75"/>
      <c r="E864" s="75"/>
      <c r="F864" s="75"/>
      <c r="G864" s="75"/>
      <c r="H864" s="75"/>
      <c r="I864" s="75"/>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t="s">
        <v>439</v>
      </c>
      <c r="BG864" s="75"/>
      <c r="BH864" s="75"/>
      <c r="BI864" s="75" t="s">
        <v>439</v>
      </c>
      <c r="BJ864" s="75"/>
      <c r="BK864" s="75"/>
      <c r="BL864" s="75" t="s">
        <v>439</v>
      </c>
      <c r="BM864" s="75"/>
    </row>
    <row r="865" spans="1:65" ht="15" customHeight="1" x14ac:dyDescent="0.2">
      <c r="A865" s="38"/>
      <c r="B865" s="38"/>
      <c r="C865" s="75"/>
      <c r="D865" s="75"/>
      <c r="E865" s="75"/>
      <c r="F865" s="75"/>
      <c r="G865" s="75"/>
      <c r="H865" s="75"/>
      <c r="I865" s="75"/>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t="s">
        <v>439</v>
      </c>
      <c r="BG865" s="75"/>
      <c r="BH865" s="75"/>
      <c r="BI865" s="75" t="s">
        <v>439</v>
      </c>
      <c r="BJ865" s="75"/>
      <c r="BK865" s="75"/>
      <c r="BL865" s="75" t="s">
        <v>439</v>
      </c>
      <c r="BM865" s="75"/>
    </row>
    <row r="866" spans="1:65" ht="15" customHeight="1" x14ac:dyDescent="0.2">
      <c r="A866" s="38"/>
      <c r="B866" s="38"/>
      <c r="C866" s="75"/>
      <c r="D866" s="75"/>
      <c r="E866" s="75"/>
      <c r="F866" s="75"/>
      <c r="G866" s="75"/>
      <c r="H866" s="75"/>
      <c r="I866" s="75"/>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t="s">
        <v>439</v>
      </c>
      <c r="BG866" s="75"/>
      <c r="BH866" s="75"/>
      <c r="BI866" s="75" t="s">
        <v>439</v>
      </c>
      <c r="BJ866" s="75"/>
      <c r="BK866" s="75"/>
      <c r="BL866" s="75" t="s">
        <v>439</v>
      </c>
      <c r="BM866" s="75"/>
    </row>
    <row r="867" spans="1:65" ht="15" customHeight="1" x14ac:dyDescent="0.2">
      <c r="A867" s="38"/>
      <c r="B867" s="38"/>
      <c r="C867" s="75"/>
      <c r="D867" s="75"/>
      <c r="E867" s="75"/>
      <c r="F867" s="75"/>
      <c r="G867" s="75"/>
      <c r="H867" s="75"/>
      <c r="I867" s="75"/>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t="s">
        <v>439</v>
      </c>
      <c r="BG867" s="75"/>
      <c r="BH867" s="75"/>
      <c r="BI867" s="75" t="s">
        <v>439</v>
      </c>
      <c r="BJ867" s="75"/>
      <c r="BK867" s="75"/>
      <c r="BL867" s="75" t="s">
        <v>439</v>
      </c>
      <c r="BM867" s="75"/>
    </row>
    <row r="868" spans="1:65" ht="15" customHeight="1" x14ac:dyDescent="0.2">
      <c r="A868" s="38"/>
      <c r="B868" s="38"/>
      <c r="C868" s="75"/>
      <c r="D868" s="75"/>
      <c r="E868" s="75"/>
      <c r="F868" s="75"/>
      <c r="G868" s="75"/>
      <c r="H868" s="75"/>
      <c r="I868" s="75"/>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t="s">
        <v>439</v>
      </c>
      <c r="BG868" s="75"/>
      <c r="BH868" s="75"/>
      <c r="BI868" s="75" t="s">
        <v>439</v>
      </c>
      <c r="BJ868" s="75"/>
      <c r="BK868" s="75"/>
      <c r="BL868" s="75" t="s">
        <v>439</v>
      </c>
      <c r="BM868" s="75"/>
    </row>
    <row r="869" spans="1:65" ht="15" customHeight="1" x14ac:dyDescent="0.2">
      <c r="A869" s="38"/>
      <c r="B869" s="38"/>
      <c r="C869" s="75"/>
      <c r="D869" s="75"/>
      <c r="E869" s="75"/>
      <c r="F869" s="75"/>
      <c r="G869" s="75"/>
      <c r="H869" s="75"/>
      <c r="I869" s="75"/>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t="s">
        <v>439</v>
      </c>
      <c r="BG869" s="75"/>
      <c r="BH869" s="75"/>
      <c r="BI869" s="75" t="s">
        <v>439</v>
      </c>
      <c r="BJ869" s="75"/>
      <c r="BK869" s="75"/>
      <c r="BL869" s="75" t="s">
        <v>439</v>
      </c>
      <c r="BM869" s="75"/>
    </row>
    <row r="870" spans="1:65" ht="15" customHeight="1" x14ac:dyDescent="0.2">
      <c r="A870" s="38"/>
      <c r="B870" s="38"/>
      <c r="C870" s="75"/>
      <c r="D870" s="75"/>
      <c r="E870" s="75"/>
      <c r="F870" s="75"/>
      <c r="G870" s="75"/>
      <c r="H870" s="75"/>
      <c r="I870" s="75"/>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t="s">
        <v>439</v>
      </c>
      <c r="BG870" s="75"/>
      <c r="BH870" s="75"/>
      <c r="BI870" s="75" t="s">
        <v>439</v>
      </c>
      <c r="BJ870" s="75"/>
      <c r="BK870" s="75"/>
      <c r="BL870" s="75" t="s">
        <v>439</v>
      </c>
      <c r="BM870" s="75"/>
    </row>
    <row r="871" spans="1:65" ht="15" customHeight="1" x14ac:dyDescent="0.2">
      <c r="A871" s="38"/>
      <c r="B871" s="38"/>
      <c r="C871" s="75"/>
      <c r="D871" s="75"/>
      <c r="E871" s="75"/>
      <c r="F871" s="75"/>
      <c r="G871" s="75"/>
      <c r="H871" s="75"/>
      <c r="I871" s="75"/>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t="s">
        <v>439</v>
      </c>
      <c r="BG871" s="75"/>
      <c r="BH871" s="75"/>
      <c r="BI871" s="75" t="s">
        <v>439</v>
      </c>
      <c r="BJ871" s="75"/>
      <c r="BK871" s="75"/>
      <c r="BL871" s="75" t="s">
        <v>439</v>
      </c>
      <c r="BM871" s="75"/>
    </row>
    <row r="872" spans="1:65" ht="15" customHeight="1" x14ac:dyDescent="0.2">
      <c r="A872" s="38"/>
      <c r="B872" s="38"/>
      <c r="C872" s="75"/>
      <c r="D872" s="75"/>
      <c r="E872" s="75"/>
      <c r="F872" s="75"/>
      <c r="G872" s="75"/>
      <c r="H872" s="75"/>
      <c r="I872" s="75"/>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t="s">
        <v>439</v>
      </c>
      <c r="BG872" s="75"/>
      <c r="BH872" s="75"/>
      <c r="BI872" s="75" t="s">
        <v>439</v>
      </c>
      <c r="BJ872" s="75"/>
      <c r="BK872" s="75"/>
      <c r="BL872" s="75" t="s">
        <v>439</v>
      </c>
      <c r="BM872" s="75"/>
    </row>
    <row r="873" spans="1:65" ht="15" customHeight="1" x14ac:dyDescent="0.2">
      <c r="A873" s="38"/>
      <c r="B873" s="38"/>
      <c r="C873" s="75"/>
      <c r="D873" s="75"/>
      <c r="E873" s="75"/>
      <c r="F873" s="75"/>
      <c r="G873" s="75"/>
      <c r="H873" s="75"/>
      <c r="I873" s="75"/>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t="s">
        <v>439</v>
      </c>
      <c r="BG873" s="75"/>
      <c r="BH873" s="75"/>
      <c r="BI873" s="75" t="s">
        <v>439</v>
      </c>
      <c r="BJ873" s="75"/>
      <c r="BK873" s="75"/>
      <c r="BL873" s="75" t="s">
        <v>439</v>
      </c>
      <c r="BM873" s="75"/>
    </row>
    <row r="874" spans="1:65" ht="15" customHeight="1" x14ac:dyDescent="0.2">
      <c r="A874" s="38"/>
      <c r="B874" s="38"/>
      <c r="C874" s="75"/>
      <c r="D874" s="75"/>
      <c r="E874" s="75"/>
      <c r="F874" s="75"/>
      <c r="G874" s="75"/>
      <c r="H874" s="75"/>
      <c r="I874" s="75"/>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t="s">
        <v>439</v>
      </c>
      <c r="BG874" s="75"/>
      <c r="BH874" s="75"/>
      <c r="BI874" s="75" t="s">
        <v>439</v>
      </c>
      <c r="BJ874" s="75"/>
      <c r="BK874" s="75"/>
      <c r="BL874" s="75" t="s">
        <v>439</v>
      </c>
      <c r="BM874" s="75"/>
    </row>
    <row r="875" spans="1:65" ht="15" customHeight="1" x14ac:dyDescent="0.2">
      <c r="A875" s="38"/>
      <c r="B875" s="38"/>
      <c r="C875" s="75"/>
      <c r="D875" s="75"/>
      <c r="E875" s="75"/>
      <c r="F875" s="75"/>
      <c r="G875" s="75"/>
      <c r="H875" s="75"/>
      <c r="I875" s="75"/>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t="s">
        <v>439</v>
      </c>
      <c r="BG875" s="75"/>
      <c r="BH875" s="75"/>
      <c r="BI875" s="75" t="s">
        <v>439</v>
      </c>
      <c r="BJ875" s="75"/>
      <c r="BK875" s="75"/>
      <c r="BL875" s="75" t="s">
        <v>439</v>
      </c>
      <c r="BM875" s="75"/>
    </row>
    <row r="876" spans="1:65" ht="15" customHeight="1" x14ac:dyDescent="0.2">
      <c r="A876" s="38"/>
      <c r="B876" s="38"/>
      <c r="C876" s="75"/>
      <c r="D876" s="75"/>
      <c r="E876" s="75"/>
      <c r="F876" s="75"/>
      <c r="G876" s="75"/>
      <c r="H876" s="75"/>
      <c r="I876" s="75"/>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t="s">
        <v>439</v>
      </c>
      <c r="BG876" s="75"/>
      <c r="BH876" s="75"/>
      <c r="BI876" s="75" t="s">
        <v>439</v>
      </c>
      <c r="BJ876" s="75"/>
      <c r="BK876" s="75"/>
      <c r="BL876" s="75" t="s">
        <v>439</v>
      </c>
      <c r="BM876" s="75"/>
    </row>
    <row r="877" spans="1:65" ht="15" customHeight="1" x14ac:dyDescent="0.2">
      <c r="A877" s="38"/>
      <c r="B877" s="38"/>
      <c r="C877" s="75"/>
      <c r="D877" s="75"/>
      <c r="E877" s="75"/>
      <c r="F877" s="75"/>
      <c r="G877" s="75"/>
      <c r="H877" s="75"/>
      <c r="I877" s="75"/>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t="s">
        <v>439</v>
      </c>
      <c r="BG877" s="75"/>
      <c r="BH877" s="75"/>
      <c r="BI877" s="75" t="s">
        <v>439</v>
      </c>
      <c r="BJ877" s="75"/>
      <c r="BK877" s="75"/>
      <c r="BL877" s="75" t="s">
        <v>439</v>
      </c>
      <c r="BM877" s="75"/>
    </row>
    <row r="878" spans="1:65" ht="15" customHeight="1" x14ac:dyDescent="0.2">
      <c r="A878" s="38"/>
      <c r="B878" s="38"/>
      <c r="C878" s="75"/>
      <c r="D878" s="75"/>
      <c r="E878" s="75"/>
      <c r="F878" s="75"/>
      <c r="G878" s="75"/>
      <c r="H878" s="75"/>
      <c r="I878" s="75"/>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t="s">
        <v>439</v>
      </c>
      <c r="BG878" s="75"/>
      <c r="BH878" s="75"/>
      <c r="BI878" s="75" t="s">
        <v>439</v>
      </c>
      <c r="BJ878" s="75"/>
      <c r="BK878" s="75"/>
      <c r="BL878" s="75" t="s">
        <v>439</v>
      </c>
      <c r="BM878" s="75"/>
    </row>
    <row r="879" spans="1:65" ht="15" customHeight="1" x14ac:dyDescent="0.2">
      <c r="A879" s="38"/>
      <c r="B879" s="38"/>
      <c r="C879" s="75"/>
      <c r="D879" s="75"/>
      <c r="E879" s="75"/>
      <c r="F879" s="75"/>
      <c r="G879" s="75"/>
      <c r="H879" s="75"/>
      <c r="I879" s="75"/>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t="s">
        <v>439</v>
      </c>
      <c r="BG879" s="75"/>
      <c r="BH879" s="75"/>
      <c r="BI879" s="75" t="s">
        <v>439</v>
      </c>
      <c r="BJ879" s="75"/>
      <c r="BK879" s="75"/>
      <c r="BL879" s="75" t="s">
        <v>439</v>
      </c>
      <c r="BM879" s="75"/>
    </row>
    <row r="880" spans="1:65" ht="15" customHeight="1" x14ac:dyDescent="0.2">
      <c r="A880" s="38"/>
      <c r="B880" s="38"/>
      <c r="C880" s="75"/>
      <c r="D880" s="75"/>
      <c r="E880" s="75"/>
      <c r="F880" s="75"/>
      <c r="G880" s="75"/>
      <c r="H880" s="75"/>
      <c r="I880" s="75"/>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t="s">
        <v>439</v>
      </c>
      <c r="BG880" s="75"/>
      <c r="BH880" s="75"/>
      <c r="BI880" s="75" t="s">
        <v>439</v>
      </c>
      <c r="BJ880" s="75"/>
      <c r="BK880" s="75"/>
      <c r="BL880" s="75" t="s">
        <v>439</v>
      </c>
      <c r="BM880" s="75"/>
    </row>
    <row r="881" spans="1:65" ht="15" customHeight="1" x14ac:dyDescent="0.2">
      <c r="A881" s="38"/>
      <c r="B881" s="38"/>
      <c r="C881" s="75"/>
      <c r="D881" s="75"/>
      <c r="E881" s="75"/>
      <c r="F881" s="75"/>
      <c r="G881" s="75"/>
      <c r="H881" s="75"/>
      <c r="I881" s="75"/>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t="s">
        <v>439</v>
      </c>
      <c r="BG881" s="75"/>
      <c r="BH881" s="75"/>
      <c r="BI881" s="75" t="s">
        <v>439</v>
      </c>
      <c r="BJ881" s="75"/>
      <c r="BK881" s="75"/>
      <c r="BL881" s="75" t="s">
        <v>439</v>
      </c>
      <c r="BM881" s="75"/>
    </row>
    <row r="882" spans="1:65" ht="15" customHeight="1" x14ac:dyDescent="0.2">
      <c r="A882" s="38"/>
      <c r="B882" s="38"/>
      <c r="C882" s="75"/>
      <c r="D882" s="75"/>
      <c r="E882" s="75"/>
      <c r="F882" s="75"/>
      <c r="G882" s="75"/>
      <c r="H882" s="75"/>
      <c r="I882" s="75"/>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t="s">
        <v>439</v>
      </c>
      <c r="BG882" s="75"/>
      <c r="BH882" s="75"/>
      <c r="BI882" s="75" t="s">
        <v>439</v>
      </c>
      <c r="BJ882" s="75"/>
      <c r="BK882" s="75"/>
      <c r="BL882" s="75" t="s">
        <v>439</v>
      </c>
      <c r="BM882" s="75"/>
    </row>
    <row r="883" spans="1:65" ht="15" customHeight="1" x14ac:dyDescent="0.2">
      <c r="A883" s="38"/>
      <c r="B883" s="38"/>
      <c r="C883" s="75"/>
      <c r="D883" s="75"/>
      <c r="E883" s="75"/>
      <c r="F883" s="75"/>
      <c r="G883" s="75"/>
      <c r="H883" s="75"/>
      <c r="I883" s="75"/>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t="s">
        <v>439</v>
      </c>
      <c r="BG883" s="75"/>
      <c r="BH883" s="75"/>
      <c r="BI883" s="75" t="s">
        <v>439</v>
      </c>
      <c r="BJ883" s="75"/>
      <c r="BK883" s="75"/>
      <c r="BL883" s="75" t="s">
        <v>439</v>
      </c>
      <c r="BM883" s="75"/>
    </row>
    <row r="884" spans="1:65" ht="15" customHeight="1" x14ac:dyDescent="0.2">
      <c r="A884" s="38"/>
      <c r="B884" s="38"/>
      <c r="C884" s="75"/>
      <c r="D884" s="75"/>
      <c r="E884" s="75"/>
      <c r="F884" s="75"/>
      <c r="G884" s="75"/>
      <c r="H884" s="75"/>
      <c r="I884" s="75"/>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t="s">
        <v>439</v>
      </c>
      <c r="BG884" s="75"/>
      <c r="BH884" s="75"/>
      <c r="BI884" s="75" t="s">
        <v>439</v>
      </c>
      <c r="BJ884" s="75"/>
      <c r="BK884" s="75"/>
      <c r="BL884" s="75" t="s">
        <v>439</v>
      </c>
      <c r="BM884" s="75"/>
    </row>
    <row r="885" spans="1:65" ht="15" customHeight="1" x14ac:dyDescent="0.2">
      <c r="A885" s="38"/>
      <c r="B885" s="38"/>
      <c r="C885" s="75"/>
      <c r="D885" s="75"/>
      <c r="E885" s="75"/>
      <c r="F885" s="75"/>
      <c r="G885" s="75"/>
      <c r="H885" s="75"/>
      <c r="I885" s="75"/>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t="s">
        <v>439</v>
      </c>
      <c r="BG885" s="75"/>
      <c r="BH885" s="75"/>
      <c r="BI885" s="75" t="s">
        <v>439</v>
      </c>
      <c r="BJ885" s="75"/>
      <c r="BK885" s="75"/>
      <c r="BL885" s="75" t="s">
        <v>439</v>
      </c>
      <c r="BM885" s="75"/>
    </row>
    <row r="886" spans="1:65" ht="15" customHeight="1" x14ac:dyDescent="0.2">
      <c r="A886" s="38"/>
      <c r="B886" s="38"/>
      <c r="C886" s="75"/>
      <c r="D886" s="75"/>
      <c r="E886" s="75"/>
      <c r="F886" s="75"/>
      <c r="G886" s="75"/>
      <c r="H886" s="75"/>
      <c r="I886" s="75"/>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t="s">
        <v>439</v>
      </c>
      <c r="BG886" s="75"/>
      <c r="BH886" s="75"/>
      <c r="BI886" s="75" t="s">
        <v>439</v>
      </c>
      <c r="BJ886" s="75"/>
      <c r="BK886" s="75"/>
      <c r="BL886" s="75" t="s">
        <v>439</v>
      </c>
      <c r="BM886" s="75"/>
    </row>
    <row r="887" spans="1:65" ht="15" customHeight="1" x14ac:dyDescent="0.2">
      <c r="A887" s="38"/>
      <c r="B887" s="38"/>
      <c r="C887" s="75"/>
      <c r="D887" s="75"/>
      <c r="E887" s="75"/>
      <c r="F887" s="75"/>
      <c r="G887" s="75"/>
      <c r="H887" s="75"/>
      <c r="I887" s="75"/>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t="s">
        <v>439</v>
      </c>
      <c r="BG887" s="75"/>
      <c r="BH887" s="75"/>
      <c r="BI887" s="75" t="s">
        <v>439</v>
      </c>
      <c r="BJ887" s="75"/>
      <c r="BK887" s="75"/>
      <c r="BL887" s="75" t="s">
        <v>439</v>
      </c>
      <c r="BM887" s="75"/>
    </row>
    <row r="888" spans="1:65" ht="15" customHeight="1" x14ac:dyDescent="0.2">
      <c r="A888" s="38"/>
      <c r="B888" s="38"/>
      <c r="C888" s="75"/>
      <c r="D888" s="75"/>
      <c r="E888" s="75"/>
      <c r="F888" s="75"/>
      <c r="G888" s="75"/>
      <c r="H888" s="75"/>
      <c r="I888" s="75"/>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t="s">
        <v>439</v>
      </c>
      <c r="BG888" s="75"/>
      <c r="BH888" s="75"/>
      <c r="BI888" s="75" t="s">
        <v>439</v>
      </c>
      <c r="BJ888" s="75"/>
      <c r="BK888" s="75"/>
      <c r="BL888" s="75" t="s">
        <v>439</v>
      </c>
      <c r="BM888" s="75"/>
    </row>
    <row r="889" spans="1:65" ht="15" customHeight="1" x14ac:dyDescent="0.2">
      <c r="A889" s="38"/>
      <c r="B889" s="38"/>
      <c r="C889" s="75"/>
      <c r="D889" s="75"/>
      <c r="E889" s="75"/>
      <c r="F889" s="75"/>
      <c r="G889" s="75"/>
      <c r="H889" s="75"/>
      <c r="I889" s="75"/>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t="s">
        <v>439</v>
      </c>
      <c r="BG889" s="75"/>
      <c r="BH889" s="75"/>
      <c r="BI889" s="75" t="s">
        <v>439</v>
      </c>
      <c r="BJ889" s="75"/>
      <c r="BK889" s="75"/>
      <c r="BL889" s="75" t="s">
        <v>439</v>
      </c>
      <c r="BM889" s="75"/>
    </row>
    <row r="890" spans="1:65" ht="15" customHeight="1" x14ac:dyDescent="0.2">
      <c r="A890" s="38"/>
      <c r="B890" s="38"/>
      <c r="C890" s="75"/>
      <c r="D890" s="75"/>
      <c r="E890" s="75"/>
      <c r="F890" s="75"/>
      <c r="G890" s="75"/>
      <c r="H890" s="75"/>
      <c r="I890" s="75"/>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t="s">
        <v>439</v>
      </c>
      <c r="BG890" s="75"/>
      <c r="BH890" s="75"/>
      <c r="BI890" s="75" t="s">
        <v>439</v>
      </c>
      <c r="BJ890" s="75"/>
      <c r="BK890" s="75"/>
      <c r="BL890" s="75" t="s">
        <v>439</v>
      </c>
      <c r="BM890" s="75"/>
    </row>
    <row r="891" spans="1:65" ht="15" customHeight="1" x14ac:dyDescent="0.2">
      <c r="A891" s="38"/>
      <c r="B891" s="38"/>
      <c r="C891" s="75"/>
      <c r="D891" s="75"/>
      <c r="E891" s="75"/>
      <c r="F891" s="75"/>
      <c r="G891" s="75"/>
      <c r="H891" s="75"/>
      <c r="I891" s="75"/>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t="s">
        <v>439</v>
      </c>
      <c r="BG891" s="75"/>
      <c r="BH891" s="75"/>
      <c r="BI891" s="75" t="s">
        <v>439</v>
      </c>
      <c r="BJ891" s="75"/>
      <c r="BK891" s="75"/>
      <c r="BL891" s="75" t="s">
        <v>439</v>
      </c>
      <c r="BM891" s="75"/>
    </row>
    <row r="892" spans="1:65" ht="15" customHeight="1" x14ac:dyDescent="0.2">
      <c r="A892" s="38"/>
      <c r="B892" s="38"/>
      <c r="C892" s="75"/>
      <c r="D892" s="75"/>
      <c r="E892" s="75"/>
      <c r="F892" s="75"/>
      <c r="G892" s="75"/>
      <c r="H892" s="75"/>
      <c r="I892" s="75"/>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t="s">
        <v>439</v>
      </c>
      <c r="BG892" s="75"/>
      <c r="BH892" s="75"/>
      <c r="BI892" s="75" t="s">
        <v>439</v>
      </c>
      <c r="BJ892" s="75"/>
      <c r="BK892" s="75"/>
      <c r="BL892" s="75" t="s">
        <v>439</v>
      </c>
      <c r="BM892" s="75"/>
    </row>
    <row r="893" spans="1:65" ht="15" customHeight="1" x14ac:dyDescent="0.2">
      <c r="A893" s="38"/>
      <c r="B893" s="38"/>
      <c r="C893" s="75"/>
      <c r="D893" s="75"/>
      <c r="E893" s="75"/>
      <c r="F893" s="75"/>
      <c r="G893" s="75"/>
      <c r="H893" s="75"/>
      <c r="I893" s="75"/>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t="s">
        <v>439</v>
      </c>
      <c r="BG893" s="75"/>
      <c r="BH893" s="75"/>
      <c r="BI893" s="75" t="s">
        <v>439</v>
      </c>
      <c r="BJ893" s="75"/>
      <c r="BK893" s="75"/>
      <c r="BL893" s="75" t="s">
        <v>439</v>
      </c>
      <c r="BM893" s="75"/>
    </row>
    <row r="894" spans="1:65" ht="15" customHeight="1" x14ac:dyDescent="0.2">
      <c r="A894" s="38"/>
      <c r="B894" s="38"/>
      <c r="C894" s="75"/>
      <c r="D894" s="75"/>
      <c r="E894" s="75"/>
      <c r="F894" s="75"/>
      <c r="G894" s="75"/>
      <c r="H894" s="75"/>
      <c r="I894" s="75"/>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t="s">
        <v>439</v>
      </c>
      <c r="BG894" s="75"/>
      <c r="BH894" s="75"/>
      <c r="BI894" s="75" t="s">
        <v>439</v>
      </c>
      <c r="BJ894" s="75"/>
      <c r="BK894" s="75"/>
      <c r="BL894" s="75" t="s">
        <v>439</v>
      </c>
      <c r="BM894" s="75"/>
    </row>
    <row r="895" spans="1:65" ht="15" customHeight="1" x14ac:dyDescent="0.2">
      <c r="A895" s="38"/>
      <c r="B895" s="38"/>
      <c r="C895" s="75"/>
      <c r="D895" s="75"/>
      <c r="E895" s="75"/>
      <c r="F895" s="75"/>
      <c r="G895" s="75"/>
      <c r="H895" s="75"/>
      <c r="I895" s="75"/>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t="s">
        <v>439</v>
      </c>
      <c r="BG895" s="75"/>
      <c r="BH895" s="75"/>
      <c r="BI895" s="75" t="s">
        <v>439</v>
      </c>
      <c r="BJ895" s="75"/>
      <c r="BK895" s="75"/>
      <c r="BL895" s="75" t="s">
        <v>439</v>
      </c>
      <c r="BM895" s="75"/>
    </row>
    <row r="896" spans="1:65" ht="15" customHeight="1" x14ac:dyDescent="0.2">
      <c r="A896" s="38"/>
      <c r="B896" s="38"/>
      <c r="C896" s="75"/>
      <c r="D896" s="75"/>
      <c r="E896" s="75"/>
      <c r="F896" s="75"/>
      <c r="G896" s="75"/>
      <c r="H896" s="75"/>
      <c r="I896" s="75"/>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t="s">
        <v>439</v>
      </c>
      <c r="BG896" s="75"/>
      <c r="BH896" s="75"/>
      <c r="BI896" s="75" t="s">
        <v>439</v>
      </c>
      <c r="BJ896" s="75"/>
      <c r="BK896" s="75"/>
      <c r="BL896" s="75" t="s">
        <v>439</v>
      </c>
      <c r="BM896" s="75"/>
    </row>
    <row r="897" spans="1:65" ht="15" customHeight="1" x14ac:dyDescent="0.2">
      <c r="A897" s="38"/>
      <c r="B897" s="38"/>
      <c r="C897" s="75"/>
      <c r="D897" s="75"/>
      <c r="E897" s="75"/>
      <c r="F897" s="75"/>
      <c r="G897" s="75"/>
      <c r="H897" s="75"/>
      <c r="I897" s="75"/>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t="s">
        <v>439</v>
      </c>
      <c r="BG897" s="75"/>
      <c r="BH897" s="75"/>
      <c r="BI897" s="75" t="s">
        <v>439</v>
      </c>
      <c r="BJ897" s="75"/>
      <c r="BK897" s="75"/>
      <c r="BL897" s="75" t="s">
        <v>439</v>
      </c>
      <c r="BM897" s="75"/>
    </row>
    <row r="898" spans="1:65" ht="15" customHeight="1" x14ac:dyDescent="0.2">
      <c r="A898" s="38"/>
      <c r="B898" s="38"/>
      <c r="C898" s="75"/>
      <c r="D898" s="75"/>
      <c r="E898" s="75"/>
      <c r="F898" s="75"/>
      <c r="G898" s="75"/>
      <c r="H898" s="75"/>
      <c r="I898" s="75"/>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t="s">
        <v>439</v>
      </c>
      <c r="BG898" s="75"/>
      <c r="BH898" s="75"/>
      <c r="BI898" s="75" t="s">
        <v>439</v>
      </c>
      <c r="BJ898" s="75"/>
      <c r="BK898" s="75"/>
      <c r="BL898" s="75" t="s">
        <v>439</v>
      </c>
      <c r="BM898" s="75"/>
    </row>
    <row r="899" spans="1:65" ht="15" customHeight="1" x14ac:dyDescent="0.2">
      <c r="A899" s="38"/>
      <c r="B899" s="38"/>
      <c r="C899" s="75"/>
      <c r="D899" s="75"/>
      <c r="E899" s="75"/>
      <c r="F899" s="75"/>
      <c r="G899" s="75"/>
      <c r="H899" s="75"/>
      <c r="I899" s="75"/>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t="s">
        <v>439</v>
      </c>
      <c r="BG899" s="75"/>
      <c r="BH899" s="75"/>
      <c r="BI899" s="75" t="s">
        <v>439</v>
      </c>
      <c r="BJ899" s="75"/>
      <c r="BK899" s="75"/>
      <c r="BL899" s="75" t="s">
        <v>439</v>
      </c>
      <c r="BM899" s="75"/>
    </row>
    <row r="900" spans="1:65" ht="15" customHeight="1" x14ac:dyDescent="0.2">
      <c r="A900" s="38"/>
      <c r="B900" s="38"/>
      <c r="C900" s="75"/>
      <c r="D900" s="75"/>
      <c r="E900" s="75"/>
      <c r="F900" s="75"/>
      <c r="G900" s="75"/>
      <c r="H900" s="75"/>
      <c r="I900" s="75"/>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t="s">
        <v>439</v>
      </c>
      <c r="BG900" s="75"/>
      <c r="BH900" s="75"/>
      <c r="BI900" s="75" t="s">
        <v>439</v>
      </c>
      <c r="BJ900" s="75"/>
      <c r="BK900" s="75"/>
      <c r="BL900" s="75" t="s">
        <v>439</v>
      </c>
      <c r="BM900" s="75"/>
    </row>
    <row r="901" spans="1:65" ht="15" customHeight="1" x14ac:dyDescent="0.2">
      <c r="A901" s="38"/>
      <c r="B901" s="38"/>
      <c r="C901" s="75"/>
      <c r="D901" s="75"/>
      <c r="E901" s="75"/>
      <c r="F901" s="75"/>
      <c r="G901" s="75"/>
      <c r="H901" s="75"/>
      <c r="I901" s="75"/>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t="s">
        <v>439</v>
      </c>
      <c r="BG901" s="75"/>
      <c r="BH901" s="75"/>
      <c r="BI901" s="75" t="s">
        <v>439</v>
      </c>
      <c r="BJ901" s="75"/>
      <c r="BK901" s="75"/>
      <c r="BL901" s="75" t="s">
        <v>439</v>
      </c>
      <c r="BM901" s="75"/>
    </row>
    <row r="902" spans="1:65" ht="15" customHeight="1" x14ac:dyDescent="0.2">
      <c r="A902" s="38"/>
      <c r="B902" s="38"/>
      <c r="C902" s="75"/>
      <c r="D902" s="75"/>
      <c r="E902" s="75"/>
      <c r="F902" s="75"/>
      <c r="G902" s="75"/>
      <c r="H902" s="75"/>
      <c r="I902" s="75"/>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t="s">
        <v>439</v>
      </c>
      <c r="BG902" s="75"/>
      <c r="BH902" s="75"/>
      <c r="BI902" s="75" t="s">
        <v>439</v>
      </c>
      <c r="BJ902" s="75"/>
      <c r="BK902" s="75"/>
      <c r="BL902" s="75" t="s">
        <v>439</v>
      </c>
      <c r="BM902" s="75"/>
    </row>
    <row r="903" spans="1:65" ht="15" customHeight="1" x14ac:dyDescent="0.2">
      <c r="A903" s="38"/>
      <c r="B903" s="38"/>
      <c r="C903" s="75"/>
      <c r="D903" s="75"/>
      <c r="E903" s="75"/>
      <c r="F903" s="75"/>
      <c r="G903" s="75"/>
      <c r="H903" s="75"/>
      <c r="I903" s="75"/>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t="s">
        <v>439</v>
      </c>
      <c r="BG903" s="75"/>
      <c r="BH903" s="75"/>
      <c r="BI903" s="75" t="s">
        <v>439</v>
      </c>
      <c r="BJ903" s="75"/>
      <c r="BK903" s="75"/>
      <c r="BL903" s="75" t="s">
        <v>439</v>
      </c>
      <c r="BM903" s="75"/>
    </row>
    <row r="904" spans="1:65" ht="15" customHeight="1" x14ac:dyDescent="0.2">
      <c r="A904" s="38"/>
      <c r="B904" s="38"/>
      <c r="C904" s="75"/>
      <c r="D904" s="75"/>
      <c r="E904" s="75"/>
      <c r="F904" s="75"/>
      <c r="G904" s="75"/>
      <c r="H904" s="75"/>
      <c r="I904" s="75"/>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t="s">
        <v>439</v>
      </c>
      <c r="BG904" s="75"/>
      <c r="BH904" s="75"/>
      <c r="BI904" s="75" t="s">
        <v>439</v>
      </c>
      <c r="BJ904" s="75"/>
      <c r="BK904" s="75"/>
      <c r="BL904" s="75" t="s">
        <v>439</v>
      </c>
      <c r="BM904" s="75"/>
    </row>
    <row r="905" spans="1:65" ht="15" customHeight="1" x14ac:dyDescent="0.2">
      <c r="A905" s="38"/>
      <c r="B905" s="38"/>
      <c r="C905" s="75"/>
      <c r="D905" s="75"/>
      <c r="E905" s="75"/>
      <c r="F905" s="75"/>
      <c r="G905" s="75"/>
      <c r="H905" s="75"/>
      <c r="I905" s="75"/>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t="s">
        <v>439</v>
      </c>
      <c r="BG905" s="75"/>
      <c r="BH905" s="75"/>
      <c r="BI905" s="75" t="s">
        <v>439</v>
      </c>
      <c r="BJ905" s="75"/>
      <c r="BK905" s="75"/>
      <c r="BL905" s="75" t="s">
        <v>439</v>
      </c>
      <c r="BM905" s="75"/>
    </row>
    <row r="906" spans="1:65" ht="15" customHeight="1" x14ac:dyDescent="0.2">
      <c r="A906" s="38"/>
      <c r="B906" s="38"/>
      <c r="C906" s="75"/>
      <c r="D906" s="75"/>
      <c r="E906" s="75"/>
      <c r="F906" s="75"/>
      <c r="G906" s="75"/>
      <c r="H906" s="75"/>
      <c r="I906" s="75"/>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t="s">
        <v>439</v>
      </c>
      <c r="BG906" s="75"/>
      <c r="BH906" s="75"/>
      <c r="BI906" s="75" t="s">
        <v>439</v>
      </c>
      <c r="BJ906" s="75"/>
      <c r="BK906" s="75"/>
      <c r="BL906" s="75" t="s">
        <v>439</v>
      </c>
      <c r="BM906" s="75"/>
    </row>
    <row r="907" spans="1:65" ht="15" customHeight="1" x14ac:dyDescent="0.2">
      <c r="A907" s="38"/>
      <c r="B907" s="38"/>
      <c r="C907" s="75"/>
      <c r="D907" s="75"/>
      <c r="E907" s="75"/>
      <c r="F907" s="75"/>
      <c r="G907" s="75"/>
      <c r="H907" s="75"/>
      <c r="I907" s="75"/>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t="s">
        <v>439</v>
      </c>
      <c r="BG907" s="75"/>
      <c r="BH907" s="75"/>
      <c r="BI907" s="75" t="s">
        <v>439</v>
      </c>
      <c r="BJ907" s="75"/>
      <c r="BK907" s="75"/>
      <c r="BL907" s="75" t="s">
        <v>439</v>
      </c>
      <c r="BM907" s="75"/>
    </row>
    <row r="908" spans="1:65" ht="15" customHeight="1" x14ac:dyDescent="0.2">
      <c r="A908" s="38"/>
      <c r="B908" s="38"/>
      <c r="C908" s="75"/>
      <c r="D908" s="75"/>
      <c r="E908" s="75"/>
      <c r="F908" s="75"/>
      <c r="G908" s="75"/>
      <c r="H908" s="75"/>
      <c r="I908" s="75"/>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t="s">
        <v>439</v>
      </c>
      <c r="BG908" s="75"/>
      <c r="BH908" s="75"/>
      <c r="BI908" s="75" t="s">
        <v>439</v>
      </c>
      <c r="BJ908" s="75"/>
      <c r="BK908" s="75"/>
      <c r="BL908" s="75" t="s">
        <v>439</v>
      </c>
      <c r="BM908" s="75"/>
    </row>
    <row r="909" spans="1:65" ht="15" customHeight="1" x14ac:dyDescent="0.2">
      <c r="A909" s="38"/>
      <c r="B909" s="38"/>
      <c r="C909" s="75"/>
      <c r="D909" s="75"/>
      <c r="E909" s="75"/>
      <c r="F909" s="75"/>
      <c r="G909" s="75"/>
      <c r="H909" s="75"/>
      <c r="I909" s="75"/>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t="s">
        <v>439</v>
      </c>
      <c r="BG909" s="75"/>
      <c r="BH909" s="75"/>
      <c r="BI909" s="75" t="s">
        <v>439</v>
      </c>
      <c r="BJ909" s="75"/>
      <c r="BK909" s="75"/>
      <c r="BL909" s="75" t="s">
        <v>439</v>
      </c>
      <c r="BM909" s="75"/>
    </row>
    <row r="910" spans="1:65" ht="15" customHeight="1" x14ac:dyDescent="0.2">
      <c r="A910" s="38"/>
      <c r="B910" s="38"/>
      <c r="C910" s="75"/>
      <c r="D910" s="75"/>
      <c r="E910" s="75"/>
      <c r="F910" s="75"/>
      <c r="G910" s="75"/>
      <c r="H910" s="75"/>
      <c r="I910" s="75"/>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t="s">
        <v>439</v>
      </c>
      <c r="BG910" s="75"/>
      <c r="BH910" s="75"/>
      <c r="BI910" s="75" t="s">
        <v>439</v>
      </c>
      <c r="BJ910" s="75"/>
      <c r="BK910" s="75"/>
      <c r="BL910" s="75" t="s">
        <v>439</v>
      </c>
      <c r="BM910" s="75"/>
    </row>
    <row r="911" spans="1:65" ht="15" customHeight="1" x14ac:dyDescent="0.2">
      <c r="A911" s="38"/>
      <c r="B911" s="38"/>
      <c r="C911" s="75"/>
      <c r="D911" s="75"/>
      <c r="E911" s="75"/>
      <c r="F911" s="75"/>
      <c r="G911" s="75"/>
      <c r="H911" s="75"/>
      <c r="I911" s="75"/>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t="s">
        <v>439</v>
      </c>
      <c r="BG911" s="75"/>
      <c r="BH911" s="75"/>
      <c r="BI911" s="75" t="s">
        <v>439</v>
      </c>
      <c r="BJ911" s="75"/>
      <c r="BK911" s="75"/>
      <c r="BL911" s="75" t="s">
        <v>439</v>
      </c>
      <c r="BM911" s="75"/>
    </row>
    <row r="912" spans="1:65" ht="15" customHeight="1" x14ac:dyDescent="0.2">
      <c r="A912" s="38"/>
      <c r="B912" s="38"/>
      <c r="C912" s="75"/>
      <c r="D912" s="75"/>
      <c r="E912" s="75"/>
      <c r="F912" s="75"/>
      <c r="G912" s="75"/>
      <c r="H912" s="75"/>
      <c r="I912" s="75"/>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t="s">
        <v>439</v>
      </c>
      <c r="BG912" s="75"/>
      <c r="BH912" s="75"/>
      <c r="BI912" s="75" t="s">
        <v>439</v>
      </c>
      <c r="BJ912" s="75"/>
      <c r="BK912" s="75"/>
      <c r="BL912" s="75" t="s">
        <v>439</v>
      </c>
      <c r="BM912" s="75"/>
    </row>
    <row r="913" spans="1:65" ht="15" customHeight="1" x14ac:dyDescent="0.2">
      <c r="A913" s="38"/>
      <c r="B913" s="38"/>
      <c r="C913" s="75"/>
      <c r="D913" s="75"/>
      <c r="E913" s="75"/>
      <c r="F913" s="75"/>
      <c r="G913" s="75"/>
      <c r="H913" s="75"/>
      <c r="I913" s="75"/>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t="s">
        <v>439</v>
      </c>
      <c r="BG913" s="75"/>
      <c r="BH913" s="75"/>
      <c r="BI913" s="75" t="s">
        <v>439</v>
      </c>
      <c r="BJ913" s="75"/>
      <c r="BK913" s="75"/>
      <c r="BL913" s="75" t="s">
        <v>439</v>
      </c>
      <c r="BM913" s="75"/>
    </row>
    <row r="914" spans="1:65" ht="15" customHeight="1" x14ac:dyDescent="0.2">
      <c r="A914" s="38"/>
      <c r="B914" s="38"/>
      <c r="C914" s="75"/>
      <c r="D914" s="75"/>
      <c r="E914" s="75"/>
      <c r="F914" s="75"/>
      <c r="G914" s="75"/>
      <c r="H914" s="75"/>
      <c r="I914" s="75"/>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t="s">
        <v>439</v>
      </c>
      <c r="BG914" s="75"/>
      <c r="BH914" s="75"/>
      <c r="BI914" s="75" t="s">
        <v>439</v>
      </c>
      <c r="BJ914" s="75"/>
      <c r="BK914" s="75"/>
      <c r="BL914" s="75" t="s">
        <v>439</v>
      </c>
      <c r="BM914" s="75"/>
    </row>
    <row r="915" spans="1:65" ht="15" customHeight="1" x14ac:dyDescent="0.2">
      <c r="A915" s="38"/>
      <c r="B915" s="38"/>
      <c r="C915" s="75"/>
      <c r="D915" s="75"/>
      <c r="E915" s="75"/>
      <c r="F915" s="75"/>
      <c r="G915" s="75"/>
      <c r="H915" s="75"/>
      <c r="I915" s="75"/>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t="s">
        <v>439</v>
      </c>
      <c r="BG915" s="75"/>
      <c r="BH915" s="75"/>
      <c r="BI915" s="75" t="s">
        <v>439</v>
      </c>
      <c r="BJ915" s="75"/>
      <c r="BK915" s="75"/>
      <c r="BL915" s="75" t="s">
        <v>439</v>
      </c>
      <c r="BM915" s="75"/>
    </row>
    <row r="916" spans="1:65" ht="15" customHeight="1" x14ac:dyDescent="0.2">
      <c r="A916" s="38"/>
      <c r="B916" s="38"/>
      <c r="C916" s="75"/>
      <c r="D916" s="75"/>
      <c r="E916" s="75"/>
      <c r="F916" s="75"/>
      <c r="G916" s="75"/>
      <c r="H916" s="75"/>
      <c r="I916" s="75"/>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t="s">
        <v>439</v>
      </c>
      <c r="BG916" s="75"/>
      <c r="BH916" s="75"/>
      <c r="BI916" s="75" t="s">
        <v>439</v>
      </c>
      <c r="BJ916" s="75"/>
      <c r="BK916" s="75"/>
      <c r="BL916" s="75" t="s">
        <v>439</v>
      </c>
      <c r="BM916" s="75"/>
    </row>
    <row r="917" spans="1:65" ht="15" customHeight="1" x14ac:dyDescent="0.2">
      <c r="A917" s="38"/>
      <c r="B917" s="38"/>
      <c r="C917" s="75"/>
      <c r="D917" s="75"/>
      <c r="E917" s="75"/>
      <c r="F917" s="75"/>
      <c r="G917" s="75"/>
      <c r="H917" s="75"/>
      <c r="I917" s="75"/>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t="s">
        <v>439</v>
      </c>
      <c r="BG917" s="75"/>
      <c r="BH917" s="75"/>
      <c r="BI917" s="75" t="s">
        <v>439</v>
      </c>
      <c r="BJ917" s="75"/>
      <c r="BK917" s="75"/>
      <c r="BL917" s="75" t="s">
        <v>439</v>
      </c>
      <c r="BM917" s="75"/>
    </row>
    <row r="918" spans="1:65" ht="15" customHeight="1" x14ac:dyDescent="0.2">
      <c r="A918" s="38"/>
      <c r="B918" s="38"/>
      <c r="C918" s="75"/>
      <c r="D918" s="75"/>
      <c r="E918" s="75"/>
      <c r="F918" s="75"/>
      <c r="G918" s="75"/>
      <c r="H918" s="75"/>
      <c r="I918" s="75"/>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t="s">
        <v>439</v>
      </c>
      <c r="BG918" s="75"/>
      <c r="BH918" s="75"/>
      <c r="BI918" s="75" t="s">
        <v>439</v>
      </c>
      <c r="BJ918" s="75"/>
      <c r="BK918" s="75"/>
      <c r="BL918" s="75" t="s">
        <v>439</v>
      </c>
      <c r="BM918" s="75"/>
    </row>
    <row r="919" spans="1:65" ht="15" customHeight="1" x14ac:dyDescent="0.2">
      <c r="A919" s="38"/>
      <c r="B919" s="38"/>
      <c r="C919" s="75"/>
      <c r="D919" s="75"/>
      <c r="E919" s="75"/>
      <c r="F919" s="75"/>
      <c r="G919" s="75"/>
      <c r="H919" s="75"/>
      <c r="I919" s="75"/>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t="s">
        <v>439</v>
      </c>
      <c r="BG919" s="75"/>
      <c r="BH919" s="75"/>
      <c r="BI919" s="75" t="s">
        <v>439</v>
      </c>
      <c r="BJ919" s="75"/>
      <c r="BK919" s="75"/>
      <c r="BL919" s="75" t="s">
        <v>439</v>
      </c>
      <c r="BM919" s="75"/>
    </row>
    <row r="920" spans="1:65" ht="15" customHeight="1" x14ac:dyDescent="0.2">
      <c r="A920" s="38"/>
      <c r="B920" s="38"/>
      <c r="C920" s="75"/>
      <c r="D920" s="75"/>
      <c r="E920" s="75"/>
      <c r="F920" s="75"/>
      <c r="G920" s="75"/>
      <c r="H920" s="75"/>
      <c r="I920" s="75"/>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t="s">
        <v>439</v>
      </c>
      <c r="BG920" s="75"/>
      <c r="BH920" s="75"/>
      <c r="BI920" s="75" t="s">
        <v>439</v>
      </c>
      <c r="BJ920" s="75"/>
      <c r="BK920" s="75"/>
      <c r="BL920" s="75" t="s">
        <v>439</v>
      </c>
      <c r="BM920" s="75"/>
    </row>
    <row r="921" spans="1:65" ht="15" customHeight="1" x14ac:dyDescent="0.2">
      <c r="A921" s="38"/>
      <c r="B921" s="38"/>
      <c r="C921" s="75"/>
      <c r="D921" s="75"/>
      <c r="E921" s="75"/>
      <c r="F921" s="75"/>
      <c r="G921" s="75"/>
      <c r="H921" s="75"/>
      <c r="I921" s="75"/>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t="s">
        <v>439</v>
      </c>
      <c r="BG921" s="75"/>
      <c r="BH921" s="75"/>
      <c r="BI921" s="75" t="s">
        <v>439</v>
      </c>
      <c r="BJ921" s="75"/>
      <c r="BK921" s="75"/>
      <c r="BL921" s="75" t="s">
        <v>439</v>
      </c>
      <c r="BM921" s="75"/>
    </row>
    <row r="922" spans="1:65" ht="15" customHeight="1" x14ac:dyDescent="0.2">
      <c r="A922" s="38"/>
      <c r="B922" s="38"/>
      <c r="C922" s="75"/>
      <c r="D922" s="75"/>
      <c r="E922" s="75"/>
      <c r="F922" s="75"/>
      <c r="G922" s="75"/>
      <c r="H922" s="75"/>
      <c r="I922" s="75"/>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t="s">
        <v>439</v>
      </c>
      <c r="BG922" s="75"/>
      <c r="BH922" s="75"/>
      <c r="BI922" s="75" t="s">
        <v>439</v>
      </c>
      <c r="BJ922" s="75"/>
      <c r="BK922" s="75"/>
      <c r="BL922" s="75" t="s">
        <v>439</v>
      </c>
      <c r="BM922" s="75"/>
    </row>
    <row r="923" spans="1:65" ht="15" customHeight="1" x14ac:dyDescent="0.2">
      <c r="A923" s="38"/>
      <c r="B923" s="38"/>
      <c r="C923" s="75"/>
      <c r="D923" s="75"/>
      <c r="E923" s="75"/>
      <c r="F923" s="75"/>
      <c r="G923" s="75"/>
      <c r="H923" s="75"/>
      <c r="I923" s="75"/>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t="s">
        <v>439</v>
      </c>
      <c r="BG923" s="75"/>
      <c r="BH923" s="75"/>
      <c r="BI923" s="75" t="s">
        <v>439</v>
      </c>
      <c r="BJ923" s="75"/>
      <c r="BK923" s="75"/>
      <c r="BL923" s="75" t="s">
        <v>439</v>
      </c>
      <c r="BM923" s="75"/>
    </row>
    <row r="924" spans="1:65" ht="15" customHeight="1" x14ac:dyDescent="0.2">
      <c r="A924" s="38"/>
      <c r="B924" s="38"/>
      <c r="C924" s="75"/>
      <c r="D924" s="75"/>
      <c r="E924" s="75"/>
      <c r="F924" s="75"/>
      <c r="G924" s="75"/>
      <c r="H924" s="75"/>
      <c r="I924" s="75"/>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t="s">
        <v>439</v>
      </c>
      <c r="BG924" s="75"/>
      <c r="BH924" s="75"/>
      <c r="BI924" s="75" t="s">
        <v>439</v>
      </c>
      <c r="BJ924" s="75"/>
      <c r="BK924" s="75"/>
      <c r="BL924" s="75" t="s">
        <v>439</v>
      </c>
      <c r="BM924" s="75"/>
    </row>
    <row r="925" spans="1:65" ht="15" customHeight="1" x14ac:dyDescent="0.2">
      <c r="A925" s="38"/>
      <c r="B925" s="38"/>
      <c r="C925" s="75"/>
      <c r="D925" s="75"/>
      <c r="E925" s="75"/>
      <c r="F925" s="75"/>
      <c r="G925" s="75"/>
      <c r="H925" s="75"/>
      <c r="I925" s="75"/>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t="s">
        <v>439</v>
      </c>
      <c r="BG925" s="75"/>
      <c r="BH925" s="75"/>
      <c r="BI925" s="75" t="s">
        <v>439</v>
      </c>
      <c r="BJ925" s="75"/>
      <c r="BK925" s="75"/>
      <c r="BL925" s="75" t="s">
        <v>439</v>
      </c>
      <c r="BM925" s="75"/>
    </row>
    <row r="926" spans="1:65" ht="15" customHeight="1" x14ac:dyDescent="0.2">
      <c r="A926" s="38"/>
      <c r="B926" s="38"/>
      <c r="C926" s="75"/>
      <c r="D926" s="75"/>
      <c r="E926" s="75"/>
      <c r="F926" s="75"/>
      <c r="G926" s="75"/>
      <c r="H926" s="75"/>
      <c r="I926" s="75"/>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t="s">
        <v>439</v>
      </c>
      <c r="BG926" s="75"/>
      <c r="BH926" s="75"/>
      <c r="BI926" s="75" t="s">
        <v>439</v>
      </c>
      <c r="BJ926" s="75"/>
      <c r="BK926" s="75"/>
      <c r="BL926" s="75" t="s">
        <v>439</v>
      </c>
      <c r="BM926" s="75"/>
    </row>
    <row r="927" spans="1:65" ht="15" customHeight="1" x14ac:dyDescent="0.2">
      <c r="A927" s="38"/>
      <c r="B927" s="38"/>
      <c r="C927" s="75"/>
      <c r="D927" s="75"/>
      <c r="E927" s="75"/>
      <c r="F927" s="75"/>
      <c r="G927" s="75"/>
      <c r="H927" s="75"/>
      <c r="I927" s="75"/>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t="s">
        <v>439</v>
      </c>
      <c r="BG927" s="75"/>
      <c r="BH927" s="75"/>
      <c r="BI927" s="75" t="s">
        <v>439</v>
      </c>
      <c r="BJ927" s="75"/>
      <c r="BK927" s="75"/>
      <c r="BL927" s="75" t="s">
        <v>439</v>
      </c>
      <c r="BM927" s="75"/>
    </row>
    <row r="928" spans="1:65" ht="15" customHeight="1" x14ac:dyDescent="0.2">
      <c r="A928" s="38"/>
      <c r="B928" s="38"/>
      <c r="C928" s="75"/>
      <c r="D928" s="75"/>
      <c r="E928" s="75"/>
      <c r="F928" s="75"/>
      <c r="G928" s="75"/>
      <c r="H928" s="75"/>
      <c r="I928" s="75"/>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t="s">
        <v>439</v>
      </c>
      <c r="BG928" s="75"/>
      <c r="BH928" s="75"/>
      <c r="BI928" s="75" t="s">
        <v>439</v>
      </c>
      <c r="BJ928" s="75"/>
      <c r="BK928" s="75"/>
      <c r="BL928" s="75" t="s">
        <v>439</v>
      </c>
      <c r="BM928" s="75"/>
    </row>
    <row r="929" spans="1:65" ht="15" customHeight="1" x14ac:dyDescent="0.2">
      <c r="A929" s="38"/>
      <c r="B929" s="38"/>
      <c r="C929" s="75"/>
      <c r="D929" s="75"/>
      <c r="E929" s="75"/>
      <c r="F929" s="75"/>
      <c r="G929" s="75"/>
      <c r="H929" s="75"/>
      <c r="I929" s="75"/>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t="s">
        <v>439</v>
      </c>
      <c r="BG929" s="75"/>
      <c r="BH929" s="75"/>
      <c r="BI929" s="75" t="s">
        <v>439</v>
      </c>
      <c r="BJ929" s="75"/>
      <c r="BK929" s="75"/>
      <c r="BL929" s="75" t="s">
        <v>439</v>
      </c>
      <c r="BM929" s="75"/>
    </row>
    <row r="930" spans="1:65" ht="15" customHeight="1" x14ac:dyDescent="0.2">
      <c r="A930" s="38"/>
      <c r="B930" s="38"/>
      <c r="C930" s="75"/>
      <c r="D930" s="75"/>
      <c r="E930" s="75"/>
      <c r="F930" s="75"/>
      <c r="G930" s="75"/>
      <c r="H930" s="75"/>
      <c r="I930" s="75"/>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t="s">
        <v>439</v>
      </c>
      <c r="BG930" s="75"/>
      <c r="BH930" s="75"/>
      <c r="BI930" s="75" t="s">
        <v>439</v>
      </c>
      <c r="BJ930" s="75"/>
      <c r="BK930" s="75"/>
      <c r="BL930" s="75" t="s">
        <v>439</v>
      </c>
      <c r="BM930" s="75"/>
    </row>
    <row r="931" spans="1:65" ht="15" customHeight="1" x14ac:dyDescent="0.2">
      <c r="A931" s="38"/>
      <c r="B931" s="38"/>
      <c r="C931" s="75"/>
      <c r="D931" s="75"/>
      <c r="E931" s="75"/>
      <c r="F931" s="75"/>
      <c r="G931" s="75"/>
      <c r="H931" s="75"/>
      <c r="I931" s="75"/>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t="s">
        <v>439</v>
      </c>
      <c r="BG931" s="75"/>
      <c r="BH931" s="75"/>
      <c r="BI931" s="75" t="s">
        <v>439</v>
      </c>
      <c r="BJ931" s="75"/>
      <c r="BK931" s="75"/>
      <c r="BL931" s="75" t="s">
        <v>439</v>
      </c>
      <c r="BM931" s="75"/>
    </row>
    <row r="932" spans="1:65" ht="15" customHeight="1" x14ac:dyDescent="0.2">
      <c r="A932" s="38"/>
      <c r="B932" s="38"/>
      <c r="C932" s="75"/>
      <c r="D932" s="75"/>
      <c r="E932" s="75"/>
      <c r="F932" s="75"/>
      <c r="G932" s="75"/>
      <c r="H932" s="75"/>
      <c r="I932" s="75"/>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t="s">
        <v>439</v>
      </c>
      <c r="BG932" s="75"/>
      <c r="BH932" s="75"/>
      <c r="BI932" s="75" t="s">
        <v>439</v>
      </c>
      <c r="BJ932" s="75"/>
      <c r="BK932" s="75"/>
      <c r="BL932" s="75" t="s">
        <v>439</v>
      </c>
      <c r="BM932" s="75"/>
    </row>
    <row r="933" spans="1:65" ht="15" customHeight="1" x14ac:dyDescent="0.2">
      <c r="A933" s="38"/>
      <c r="B933" s="38"/>
      <c r="C933" s="75"/>
      <c r="D933" s="75"/>
      <c r="E933" s="75"/>
      <c r="F933" s="75"/>
      <c r="G933" s="75"/>
      <c r="H933" s="75"/>
      <c r="I933" s="75"/>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t="s">
        <v>439</v>
      </c>
      <c r="BG933" s="75"/>
      <c r="BH933" s="75"/>
      <c r="BI933" s="75" t="s">
        <v>439</v>
      </c>
      <c r="BJ933" s="75"/>
      <c r="BK933" s="75"/>
      <c r="BL933" s="75" t="s">
        <v>439</v>
      </c>
      <c r="BM933" s="75"/>
    </row>
    <row r="934" spans="1:65" ht="15" customHeight="1" x14ac:dyDescent="0.2">
      <c r="A934" s="38"/>
      <c r="B934" s="38"/>
      <c r="C934" s="75"/>
      <c r="D934" s="75"/>
      <c r="E934" s="75"/>
      <c r="F934" s="75"/>
      <c r="G934" s="75"/>
      <c r="H934" s="75"/>
      <c r="I934" s="75"/>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t="s">
        <v>439</v>
      </c>
      <c r="BG934" s="75"/>
      <c r="BH934" s="75"/>
      <c r="BI934" s="75" t="s">
        <v>439</v>
      </c>
      <c r="BJ934" s="75"/>
      <c r="BK934" s="75"/>
      <c r="BL934" s="75" t="s">
        <v>439</v>
      </c>
      <c r="BM934" s="75"/>
    </row>
    <row r="935" spans="1:65" ht="15" customHeight="1" x14ac:dyDescent="0.2">
      <c r="A935" s="38"/>
      <c r="B935" s="38"/>
      <c r="C935" s="75"/>
      <c r="D935" s="75"/>
      <c r="E935" s="75"/>
      <c r="F935" s="75"/>
      <c r="G935" s="75"/>
      <c r="H935" s="75"/>
      <c r="I935" s="75"/>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t="s">
        <v>439</v>
      </c>
      <c r="BG935" s="75"/>
      <c r="BH935" s="75"/>
      <c r="BI935" s="75" t="s">
        <v>439</v>
      </c>
      <c r="BJ935" s="75"/>
      <c r="BK935" s="75"/>
      <c r="BL935" s="75" t="s">
        <v>439</v>
      </c>
      <c r="BM935" s="75"/>
    </row>
    <row r="936" spans="1:65" ht="15" customHeight="1" x14ac:dyDescent="0.2">
      <c r="A936" s="38"/>
      <c r="B936" s="38"/>
      <c r="C936" s="75"/>
      <c r="D936" s="75"/>
      <c r="E936" s="75"/>
      <c r="F936" s="75"/>
      <c r="G936" s="75"/>
      <c r="H936" s="75"/>
      <c r="I936" s="75"/>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t="s">
        <v>439</v>
      </c>
      <c r="BG936" s="75"/>
      <c r="BH936" s="75"/>
      <c r="BI936" s="75" t="s">
        <v>439</v>
      </c>
      <c r="BJ936" s="75"/>
      <c r="BK936" s="75"/>
      <c r="BL936" s="75" t="s">
        <v>439</v>
      </c>
      <c r="BM936" s="75"/>
    </row>
    <row r="937" spans="1:65" ht="15" customHeight="1" x14ac:dyDescent="0.2">
      <c r="A937" s="38"/>
      <c r="B937" s="38"/>
      <c r="C937" s="75"/>
      <c r="D937" s="75"/>
      <c r="E937" s="75"/>
      <c r="F937" s="75"/>
      <c r="G937" s="75"/>
      <c r="H937" s="75"/>
      <c r="I937" s="75"/>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t="s">
        <v>439</v>
      </c>
      <c r="BG937" s="75"/>
      <c r="BH937" s="75"/>
      <c r="BI937" s="75" t="s">
        <v>439</v>
      </c>
      <c r="BJ937" s="75"/>
      <c r="BK937" s="75"/>
      <c r="BL937" s="75" t="s">
        <v>439</v>
      </c>
      <c r="BM937" s="75"/>
    </row>
    <row r="938" spans="1:65" ht="15" customHeight="1" x14ac:dyDescent="0.2">
      <c r="A938" s="38"/>
      <c r="B938" s="38"/>
      <c r="C938" s="75"/>
      <c r="D938" s="75"/>
      <c r="E938" s="75"/>
      <c r="F938" s="75"/>
      <c r="G938" s="75"/>
      <c r="H938" s="75"/>
      <c r="I938" s="75"/>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t="s">
        <v>439</v>
      </c>
      <c r="BG938" s="75"/>
      <c r="BH938" s="75"/>
      <c r="BI938" s="75" t="s">
        <v>439</v>
      </c>
      <c r="BJ938" s="75"/>
      <c r="BK938" s="75"/>
      <c r="BL938" s="75" t="s">
        <v>439</v>
      </c>
      <c r="BM938" s="75"/>
    </row>
    <row r="939" spans="1:65" ht="15" customHeight="1" x14ac:dyDescent="0.2">
      <c r="A939" s="38"/>
      <c r="B939" s="38"/>
      <c r="C939" s="75"/>
      <c r="D939" s="75"/>
      <c r="E939" s="75"/>
      <c r="F939" s="75"/>
      <c r="G939" s="75"/>
      <c r="H939" s="75"/>
      <c r="I939" s="75"/>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t="s">
        <v>439</v>
      </c>
      <c r="BG939" s="75"/>
      <c r="BH939" s="75"/>
      <c r="BI939" s="75" t="s">
        <v>439</v>
      </c>
      <c r="BJ939" s="75"/>
      <c r="BK939" s="75"/>
      <c r="BL939" s="75" t="s">
        <v>439</v>
      </c>
      <c r="BM939" s="75"/>
    </row>
    <row r="940" spans="1:65" ht="15" customHeight="1" x14ac:dyDescent="0.2">
      <c r="A940" s="38"/>
      <c r="B940" s="38"/>
      <c r="C940" s="75"/>
      <c r="D940" s="75"/>
      <c r="E940" s="75"/>
      <c r="F940" s="75"/>
      <c r="G940" s="75"/>
      <c r="H940" s="75"/>
      <c r="I940" s="75"/>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t="s">
        <v>439</v>
      </c>
      <c r="BG940" s="75"/>
      <c r="BH940" s="75"/>
      <c r="BI940" s="75" t="s">
        <v>439</v>
      </c>
      <c r="BJ940" s="75"/>
      <c r="BK940" s="75"/>
      <c r="BL940" s="75" t="s">
        <v>439</v>
      </c>
      <c r="BM940" s="75"/>
    </row>
    <row r="941" spans="1:65" ht="15" customHeight="1" x14ac:dyDescent="0.2">
      <c r="A941" s="38"/>
      <c r="B941" s="38"/>
      <c r="C941" s="75"/>
      <c r="D941" s="75"/>
      <c r="E941" s="75"/>
      <c r="F941" s="75"/>
      <c r="G941" s="75"/>
      <c r="H941" s="75"/>
      <c r="I941" s="75"/>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t="s">
        <v>439</v>
      </c>
      <c r="BG941" s="75"/>
      <c r="BH941" s="75"/>
      <c r="BI941" s="75" t="s">
        <v>439</v>
      </c>
      <c r="BJ941" s="75"/>
      <c r="BK941" s="75"/>
      <c r="BL941" s="75" t="s">
        <v>439</v>
      </c>
      <c r="BM941" s="75"/>
    </row>
    <row r="942" spans="1:65" ht="15" customHeight="1" x14ac:dyDescent="0.2">
      <c r="A942" s="38"/>
      <c r="B942" s="38"/>
      <c r="C942" s="75"/>
      <c r="D942" s="75"/>
      <c r="E942" s="75"/>
      <c r="F942" s="75"/>
      <c r="G942" s="75"/>
      <c r="H942" s="75"/>
      <c r="I942" s="75"/>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t="s">
        <v>439</v>
      </c>
      <c r="BG942" s="75"/>
      <c r="BH942" s="75"/>
      <c r="BI942" s="75" t="s">
        <v>439</v>
      </c>
      <c r="BJ942" s="75"/>
      <c r="BK942" s="75"/>
      <c r="BL942" s="75" t="s">
        <v>439</v>
      </c>
      <c r="BM942" s="75"/>
    </row>
    <row r="943" spans="1:65" ht="15" customHeight="1" x14ac:dyDescent="0.2">
      <c r="A943" s="38"/>
      <c r="B943" s="38"/>
      <c r="C943" s="75"/>
      <c r="D943" s="75"/>
      <c r="E943" s="75"/>
      <c r="F943" s="75"/>
      <c r="G943" s="75"/>
      <c r="H943" s="75"/>
      <c r="I943" s="75"/>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t="s">
        <v>439</v>
      </c>
      <c r="BG943" s="75"/>
      <c r="BH943" s="75"/>
      <c r="BI943" s="75" t="s">
        <v>439</v>
      </c>
      <c r="BJ943" s="75"/>
      <c r="BK943" s="75"/>
      <c r="BL943" s="75" t="s">
        <v>439</v>
      </c>
      <c r="BM943" s="75"/>
    </row>
    <row r="944" spans="1:65" ht="15" customHeight="1" x14ac:dyDescent="0.2">
      <c r="A944" s="38"/>
      <c r="B944" s="38"/>
      <c r="C944" s="75"/>
      <c r="D944" s="75"/>
      <c r="E944" s="75"/>
      <c r="F944" s="75"/>
      <c r="G944" s="75"/>
      <c r="H944" s="75"/>
      <c r="I944" s="75"/>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t="s">
        <v>439</v>
      </c>
      <c r="BG944" s="75"/>
      <c r="BH944" s="75"/>
      <c r="BI944" s="75" t="s">
        <v>439</v>
      </c>
      <c r="BJ944" s="75"/>
      <c r="BK944" s="75"/>
      <c r="BL944" s="75" t="s">
        <v>439</v>
      </c>
      <c r="BM944" s="75"/>
    </row>
    <row r="945" spans="1:65" ht="15" customHeight="1" x14ac:dyDescent="0.2">
      <c r="A945" s="38"/>
      <c r="B945" s="38"/>
      <c r="C945" s="75"/>
      <c r="D945" s="75"/>
      <c r="E945" s="75"/>
      <c r="F945" s="75"/>
      <c r="G945" s="75"/>
      <c r="H945" s="75"/>
      <c r="I945" s="75"/>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t="s">
        <v>439</v>
      </c>
      <c r="BG945" s="75"/>
      <c r="BH945" s="75"/>
      <c r="BI945" s="75" t="s">
        <v>439</v>
      </c>
      <c r="BJ945" s="75"/>
      <c r="BK945" s="75"/>
      <c r="BL945" s="75" t="s">
        <v>439</v>
      </c>
      <c r="BM945" s="75"/>
    </row>
    <row r="946" spans="1:65" ht="15" customHeight="1" x14ac:dyDescent="0.2">
      <c r="A946" s="38"/>
      <c r="B946" s="38"/>
      <c r="C946" s="75"/>
      <c r="D946" s="75"/>
      <c r="E946" s="75"/>
      <c r="F946" s="75"/>
      <c r="G946" s="75"/>
      <c r="H946" s="75"/>
      <c r="I946" s="75"/>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t="s">
        <v>439</v>
      </c>
      <c r="BG946" s="75"/>
      <c r="BH946" s="75"/>
      <c r="BI946" s="75" t="s">
        <v>439</v>
      </c>
      <c r="BJ946" s="75"/>
      <c r="BK946" s="75"/>
      <c r="BL946" s="75" t="s">
        <v>439</v>
      </c>
      <c r="BM946" s="75"/>
    </row>
    <row r="947" spans="1:65" ht="15" customHeight="1" x14ac:dyDescent="0.2">
      <c r="A947" s="38"/>
      <c r="B947" s="38"/>
      <c r="C947" s="75"/>
      <c r="D947" s="75"/>
      <c r="E947" s="75"/>
      <c r="F947" s="75"/>
      <c r="G947" s="75"/>
      <c r="H947" s="75"/>
      <c r="I947" s="75"/>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t="s">
        <v>439</v>
      </c>
      <c r="BG947" s="75"/>
      <c r="BH947" s="75"/>
      <c r="BI947" s="75" t="s">
        <v>439</v>
      </c>
      <c r="BJ947" s="75"/>
      <c r="BK947" s="75"/>
      <c r="BL947" s="75" t="s">
        <v>439</v>
      </c>
      <c r="BM947" s="75"/>
    </row>
    <row r="948" spans="1:65" ht="15" customHeight="1" x14ac:dyDescent="0.2">
      <c r="A948" s="38"/>
      <c r="B948" s="38"/>
      <c r="C948" s="75"/>
      <c r="D948" s="75"/>
      <c r="E948" s="75"/>
      <c r="F948" s="75"/>
      <c r="G948" s="75"/>
      <c r="H948" s="75"/>
      <c r="I948" s="75"/>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t="s">
        <v>439</v>
      </c>
      <c r="BG948" s="75"/>
      <c r="BH948" s="75"/>
      <c r="BI948" s="75" t="s">
        <v>439</v>
      </c>
      <c r="BJ948" s="75"/>
      <c r="BK948" s="75"/>
      <c r="BL948" s="75" t="s">
        <v>439</v>
      </c>
      <c r="BM948" s="75"/>
    </row>
    <row r="949" spans="1:65" ht="15" customHeight="1" x14ac:dyDescent="0.2">
      <c r="A949" s="38"/>
      <c r="B949" s="38"/>
      <c r="C949" s="75"/>
      <c r="D949" s="75"/>
      <c r="E949" s="75"/>
      <c r="F949" s="75"/>
      <c r="G949" s="75"/>
      <c r="H949" s="75"/>
      <c r="I949" s="75"/>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t="s">
        <v>439</v>
      </c>
      <c r="BG949" s="75"/>
      <c r="BH949" s="75"/>
      <c r="BI949" s="75" t="s">
        <v>439</v>
      </c>
      <c r="BJ949" s="75"/>
      <c r="BK949" s="75"/>
      <c r="BL949" s="75" t="s">
        <v>439</v>
      </c>
      <c r="BM949" s="75"/>
    </row>
    <row r="950" spans="1:65" ht="15" customHeight="1" x14ac:dyDescent="0.2">
      <c r="A950" s="38"/>
      <c r="B950" s="38"/>
      <c r="C950" s="75"/>
      <c r="D950" s="75"/>
      <c r="E950" s="75"/>
      <c r="F950" s="75"/>
      <c r="G950" s="75"/>
      <c r="H950" s="75"/>
      <c r="I950" s="75"/>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t="s">
        <v>439</v>
      </c>
      <c r="BG950" s="75"/>
      <c r="BH950" s="75"/>
      <c r="BI950" s="75" t="s">
        <v>439</v>
      </c>
      <c r="BJ950" s="75"/>
      <c r="BK950" s="75"/>
      <c r="BL950" s="75" t="s">
        <v>439</v>
      </c>
      <c r="BM950" s="75"/>
    </row>
    <row r="951" spans="1:65" ht="15" customHeight="1" x14ac:dyDescent="0.2">
      <c r="A951" s="38"/>
      <c r="B951" s="38"/>
      <c r="C951" s="75"/>
      <c r="D951" s="75"/>
      <c r="E951" s="75"/>
      <c r="F951" s="75"/>
      <c r="G951" s="75"/>
      <c r="H951" s="75"/>
      <c r="I951" s="75"/>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t="s">
        <v>439</v>
      </c>
      <c r="BG951" s="75"/>
      <c r="BH951" s="75"/>
      <c r="BI951" s="75" t="s">
        <v>439</v>
      </c>
      <c r="BJ951" s="75"/>
      <c r="BK951" s="75"/>
      <c r="BL951" s="75" t="s">
        <v>439</v>
      </c>
      <c r="BM951" s="75"/>
    </row>
    <row r="952" spans="1:65" ht="15" customHeight="1" x14ac:dyDescent="0.2">
      <c r="A952" s="38"/>
      <c r="B952" s="38"/>
      <c r="C952" s="75"/>
      <c r="D952" s="75"/>
      <c r="E952" s="75"/>
      <c r="F952" s="75"/>
      <c r="G952" s="75"/>
      <c r="H952" s="75"/>
      <c r="I952" s="75"/>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t="s">
        <v>439</v>
      </c>
      <c r="BG952" s="75"/>
      <c r="BH952" s="75"/>
      <c r="BI952" s="75" t="s">
        <v>439</v>
      </c>
      <c r="BJ952" s="75"/>
      <c r="BK952" s="75"/>
      <c r="BL952" s="75" t="s">
        <v>439</v>
      </c>
      <c r="BM952" s="75"/>
    </row>
    <row r="953" spans="1:65" ht="15" customHeight="1" x14ac:dyDescent="0.2">
      <c r="A953" s="38"/>
      <c r="B953" s="38"/>
      <c r="C953" s="75"/>
      <c r="D953" s="75"/>
      <c r="E953" s="75"/>
      <c r="F953" s="75"/>
      <c r="G953" s="75"/>
      <c r="H953" s="75"/>
      <c r="I953" s="75"/>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t="s">
        <v>439</v>
      </c>
      <c r="BG953" s="75"/>
      <c r="BH953" s="75"/>
      <c r="BI953" s="75" t="s">
        <v>439</v>
      </c>
      <c r="BJ953" s="75"/>
      <c r="BK953" s="75"/>
      <c r="BL953" s="75" t="s">
        <v>439</v>
      </c>
      <c r="BM953" s="75"/>
    </row>
    <row r="954" spans="1:65" ht="15" customHeight="1" x14ac:dyDescent="0.2">
      <c r="A954" s="38"/>
      <c r="B954" s="38"/>
      <c r="C954" s="75"/>
      <c r="D954" s="75"/>
      <c r="E954" s="75"/>
      <c r="F954" s="75"/>
      <c r="G954" s="75"/>
      <c r="H954" s="75"/>
      <c r="I954" s="75"/>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t="s">
        <v>439</v>
      </c>
      <c r="BG954" s="75"/>
      <c r="BH954" s="75"/>
      <c r="BI954" s="75" t="s">
        <v>439</v>
      </c>
      <c r="BJ954" s="75"/>
      <c r="BK954" s="75"/>
      <c r="BL954" s="75" t="s">
        <v>439</v>
      </c>
      <c r="BM954" s="75"/>
    </row>
    <row r="955" spans="1:65" ht="15" customHeight="1" x14ac:dyDescent="0.2">
      <c r="A955" s="38"/>
      <c r="B955" s="38"/>
      <c r="C955" s="75"/>
      <c r="D955" s="75"/>
      <c r="E955" s="75"/>
      <c r="F955" s="75"/>
      <c r="G955" s="75"/>
      <c r="H955" s="75"/>
      <c r="I955" s="75"/>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t="s">
        <v>439</v>
      </c>
      <c r="BG955" s="75"/>
      <c r="BH955" s="75"/>
      <c r="BI955" s="75" t="s">
        <v>439</v>
      </c>
      <c r="BJ955" s="75"/>
      <c r="BK955" s="75"/>
      <c r="BL955" s="75" t="s">
        <v>439</v>
      </c>
      <c r="BM955" s="75"/>
    </row>
    <row r="956" spans="1:65" ht="15" customHeight="1" x14ac:dyDescent="0.2">
      <c r="A956" s="38"/>
      <c r="B956" s="38"/>
      <c r="C956" s="75"/>
      <c r="D956" s="75"/>
      <c r="E956" s="75"/>
      <c r="F956" s="75"/>
      <c r="G956" s="75"/>
      <c r="H956" s="75"/>
      <c r="I956" s="75"/>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t="s">
        <v>439</v>
      </c>
      <c r="BG956" s="75"/>
      <c r="BH956" s="75"/>
      <c r="BI956" s="75" t="s">
        <v>439</v>
      </c>
      <c r="BJ956" s="75"/>
      <c r="BK956" s="75"/>
      <c r="BL956" s="75" t="s">
        <v>439</v>
      </c>
      <c r="BM956" s="75"/>
    </row>
    <row r="957" spans="1:65" ht="15" customHeight="1" x14ac:dyDescent="0.2">
      <c r="A957" s="38"/>
      <c r="B957" s="38"/>
      <c r="C957" s="75"/>
      <c r="D957" s="75"/>
      <c r="E957" s="75"/>
      <c r="F957" s="75"/>
      <c r="G957" s="75"/>
      <c r="H957" s="75"/>
      <c r="I957" s="75"/>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t="s">
        <v>439</v>
      </c>
      <c r="BG957" s="75"/>
      <c r="BH957" s="75"/>
      <c r="BI957" s="75" t="s">
        <v>439</v>
      </c>
      <c r="BJ957" s="75"/>
      <c r="BK957" s="75"/>
      <c r="BL957" s="75" t="s">
        <v>439</v>
      </c>
      <c r="BM957" s="75"/>
    </row>
    <row r="958" spans="1:65" ht="15" customHeight="1" x14ac:dyDescent="0.2">
      <c r="A958" s="38"/>
      <c r="B958" s="38"/>
      <c r="C958" s="75"/>
      <c r="D958" s="75"/>
      <c r="E958" s="75"/>
      <c r="F958" s="75"/>
      <c r="G958" s="75"/>
      <c r="H958" s="75"/>
      <c r="I958" s="75"/>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t="s">
        <v>439</v>
      </c>
      <c r="BG958" s="75"/>
      <c r="BH958" s="75"/>
      <c r="BI958" s="75" t="s">
        <v>439</v>
      </c>
      <c r="BJ958" s="75"/>
      <c r="BK958" s="75"/>
      <c r="BL958" s="75" t="s">
        <v>439</v>
      </c>
      <c r="BM958" s="75"/>
    </row>
    <row r="959" spans="1:65" ht="15" customHeight="1" x14ac:dyDescent="0.2">
      <c r="A959" s="38"/>
      <c r="B959" s="38"/>
      <c r="C959" s="75"/>
      <c r="D959" s="75"/>
      <c r="E959" s="75"/>
      <c r="F959" s="75"/>
      <c r="G959" s="75"/>
      <c r="H959" s="75"/>
      <c r="I959" s="75"/>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t="s">
        <v>439</v>
      </c>
      <c r="BG959" s="75"/>
      <c r="BH959" s="75"/>
      <c r="BI959" s="75" t="s">
        <v>439</v>
      </c>
      <c r="BJ959" s="75"/>
      <c r="BK959" s="75"/>
      <c r="BL959" s="75" t="s">
        <v>439</v>
      </c>
      <c r="BM959" s="75"/>
    </row>
    <row r="960" spans="1:65" ht="15" customHeight="1" x14ac:dyDescent="0.2">
      <c r="A960" s="38"/>
      <c r="B960" s="38"/>
      <c r="C960" s="75"/>
      <c r="D960" s="75"/>
      <c r="E960" s="75"/>
      <c r="F960" s="75"/>
      <c r="G960" s="75"/>
      <c r="H960" s="75"/>
      <c r="I960" s="75"/>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t="s">
        <v>439</v>
      </c>
      <c r="BG960" s="75"/>
      <c r="BH960" s="75"/>
      <c r="BI960" s="75" t="s">
        <v>439</v>
      </c>
      <c r="BJ960" s="75"/>
      <c r="BK960" s="75"/>
      <c r="BL960" s="75" t="s">
        <v>439</v>
      </c>
      <c r="BM960" s="75"/>
    </row>
    <row r="961" spans="1:65" ht="15" customHeight="1" x14ac:dyDescent="0.2">
      <c r="A961" s="38"/>
      <c r="B961" s="38"/>
      <c r="C961" s="75"/>
      <c r="D961" s="75"/>
      <c r="E961" s="75"/>
      <c r="F961" s="75"/>
      <c r="G961" s="75"/>
      <c r="H961" s="75"/>
      <c r="I961" s="75"/>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t="s">
        <v>439</v>
      </c>
      <c r="BG961" s="75"/>
      <c r="BH961" s="75"/>
      <c r="BI961" s="75" t="s">
        <v>439</v>
      </c>
      <c r="BJ961" s="75"/>
      <c r="BK961" s="75"/>
      <c r="BL961" s="75" t="s">
        <v>439</v>
      </c>
      <c r="BM961" s="75"/>
    </row>
    <row r="962" spans="1:65" ht="15" customHeight="1" x14ac:dyDescent="0.2">
      <c r="A962" s="38"/>
      <c r="B962" s="38"/>
      <c r="C962" s="75"/>
      <c r="D962" s="75"/>
      <c r="E962" s="75"/>
      <c r="F962" s="75"/>
      <c r="G962" s="75"/>
      <c r="H962" s="75"/>
      <c r="I962" s="75"/>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t="s">
        <v>439</v>
      </c>
      <c r="BG962" s="75"/>
      <c r="BH962" s="75"/>
      <c r="BI962" s="75" t="s">
        <v>439</v>
      </c>
      <c r="BJ962" s="75"/>
      <c r="BK962" s="75"/>
      <c r="BL962" s="75" t="s">
        <v>439</v>
      </c>
      <c r="BM962" s="75"/>
    </row>
    <row r="963" spans="1:65" ht="15" customHeight="1" x14ac:dyDescent="0.2">
      <c r="A963" s="38"/>
      <c r="B963" s="38"/>
      <c r="C963" s="75"/>
      <c r="D963" s="75"/>
      <c r="E963" s="75"/>
      <c r="F963" s="75"/>
      <c r="G963" s="75"/>
      <c r="H963" s="75"/>
      <c r="I963" s="75"/>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t="s">
        <v>439</v>
      </c>
      <c r="BG963" s="75"/>
      <c r="BH963" s="75"/>
      <c r="BI963" s="75" t="s">
        <v>439</v>
      </c>
      <c r="BJ963" s="75"/>
      <c r="BK963" s="75"/>
      <c r="BL963" s="75" t="s">
        <v>439</v>
      </c>
      <c r="BM963" s="75"/>
    </row>
    <row r="964" spans="1:65" ht="15" customHeight="1" x14ac:dyDescent="0.2">
      <c r="A964" s="38"/>
      <c r="B964" s="38"/>
      <c r="C964" s="75"/>
      <c r="D964" s="75"/>
      <c r="E964" s="75"/>
      <c r="F964" s="75"/>
      <c r="G964" s="75"/>
      <c r="H964" s="75"/>
      <c r="I964" s="75"/>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t="s">
        <v>439</v>
      </c>
      <c r="BG964" s="75"/>
      <c r="BH964" s="75"/>
      <c r="BI964" s="75" t="s">
        <v>439</v>
      </c>
      <c r="BJ964" s="75"/>
      <c r="BK964" s="75"/>
      <c r="BL964" s="75" t="s">
        <v>439</v>
      </c>
      <c r="BM964" s="75"/>
    </row>
    <row r="965" spans="1:65" ht="15" customHeight="1" x14ac:dyDescent="0.2">
      <c r="A965" s="38"/>
      <c r="B965" s="38"/>
      <c r="C965" s="75"/>
      <c r="D965" s="75"/>
      <c r="E965" s="75"/>
      <c r="F965" s="75"/>
      <c r="G965" s="75"/>
      <c r="H965" s="75"/>
      <c r="I965" s="75"/>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t="s">
        <v>439</v>
      </c>
      <c r="BG965" s="75"/>
      <c r="BH965" s="75"/>
      <c r="BI965" s="75" t="s">
        <v>439</v>
      </c>
      <c r="BJ965" s="75"/>
      <c r="BK965" s="75"/>
      <c r="BL965" s="75" t="s">
        <v>439</v>
      </c>
      <c r="BM965" s="75"/>
    </row>
    <row r="966" spans="1:65" ht="15" customHeight="1" x14ac:dyDescent="0.2">
      <c r="A966" s="38"/>
      <c r="B966" s="38"/>
      <c r="C966" s="75"/>
      <c r="D966" s="75"/>
      <c r="E966" s="75"/>
      <c r="F966" s="75"/>
      <c r="G966" s="75"/>
      <c r="H966" s="75"/>
      <c r="I966" s="75"/>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t="s">
        <v>439</v>
      </c>
      <c r="BG966" s="75"/>
      <c r="BH966" s="75"/>
      <c r="BI966" s="75" t="s">
        <v>439</v>
      </c>
      <c r="BJ966" s="75"/>
      <c r="BK966" s="75"/>
      <c r="BL966" s="75" t="s">
        <v>439</v>
      </c>
      <c r="BM966" s="75"/>
    </row>
    <row r="967" spans="1:65" ht="15" customHeight="1" x14ac:dyDescent="0.2">
      <c r="A967" s="38"/>
      <c r="B967" s="38"/>
      <c r="C967" s="75"/>
      <c r="D967" s="75"/>
      <c r="E967" s="75"/>
      <c r="F967" s="75"/>
      <c r="G967" s="75"/>
      <c r="H967" s="75"/>
      <c r="I967" s="75"/>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t="s">
        <v>439</v>
      </c>
      <c r="BG967" s="75"/>
      <c r="BH967" s="75"/>
      <c r="BI967" s="75" t="s">
        <v>439</v>
      </c>
      <c r="BJ967" s="75"/>
      <c r="BK967" s="75"/>
      <c r="BL967" s="75" t="s">
        <v>439</v>
      </c>
      <c r="BM967" s="75"/>
    </row>
    <row r="968" spans="1:65" ht="15" customHeight="1" x14ac:dyDescent="0.2">
      <c r="A968" s="38"/>
      <c r="B968" s="38"/>
      <c r="C968" s="75"/>
      <c r="D968" s="75"/>
      <c r="E968" s="75"/>
      <c r="F968" s="75"/>
      <c r="G968" s="75"/>
      <c r="H968" s="75"/>
      <c r="I968" s="75"/>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t="s">
        <v>439</v>
      </c>
      <c r="BG968" s="75"/>
      <c r="BH968" s="75"/>
      <c r="BI968" s="75" t="s">
        <v>439</v>
      </c>
      <c r="BJ968" s="75"/>
      <c r="BK968" s="75"/>
      <c r="BL968" s="75" t="s">
        <v>439</v>
      </c>
      <c r="BM968" s="75"/>
    </row>
    <row r="969" spans="1:65" ht="15" customHeight="1" x14ac:dyDescent="0.2">
      <c r="A969" s="38"/>
      <c r="B969" s="38"/>
      <c r="C969" s="75"/>
      <c r="D969" s="75"/>
      <c r="E969" s="75"/>
      <c r="F969" s="75"/>
      <c r="G969" s="75"/>
      <c r="H969" s="75"/>
      <c r="I969" s="75"/>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t="s">
        <v>439</v>
      </c>
      <c r="BG969" s="75"/>
      <c r="BH969" s="75"/>
      <c r="BI969" s="75" t="s">
        <v>439</v>
      </c>
      <c r="BJ969" s="75"/>
      <c r="BK969" s="75"/>
      <c r="BL969" s="75" t="s">
        <v>439</v>
      </c>
      <c r="BM969" s="75"/>
    </row>
    <row r="970" spans="1:65" ht="15" customHeight="1" x14ac:dyDescent="0.2">
      <c r="A970" s="38"/>
      <c r="B970" s="38"/>
      <c r="C970" s="75"/>
      <c r="D970" s="75"/>
      <c r="E970" s="75"/>
      <c r="F970" s="75"/>
      <c r="G970" s="75"/>
      <c r="H970" s="75"/>
      <c r="I970" s="75"/>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t="s">
        <v>439</v>
      </c>
      <c r="BG970" s="75"/>
      <c r="BH970" s="75"/>
      <c r="BI970" s="75" t="s">
        <v>439</v>
      </c>
      <c r="BJ970" s="75"/>
      <c r="BK970" s="75"/>
      <c r="BL970" s="75" t="s">
        <v>439</v>
      </c>
      <c r="BM970" s="75"/>
    </row>
    <row r="971" spans="1:65" ht="15" customHeight="1" x14ac:dyDescent="0.2">
      <c r="A971" s="38"/>
      <c r="B971" s="38"/>
      <c r="C971" s="75"/>
      <c r="D971" s="75"/>
      <c r="E971" s="75"/>
      <c r="F971" s="75"/>
      <c r="G971" s="75"/>
      <c r="H971" s="75"/>
      <c r="I971" s="75"/>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t="s">
        <v>439</v>
      </c>
      <c r="BG971" s="75"/>
      <c r="BH971" s="75"/>
      <c r="BI971" s="75" t="s">
        <v>439</v>
      </c>
      <c r="BJ971" s="75"/>
      <c r="BK971" s="75"/>
      <c r="BL971" s="75" t="s">
        <v>439</v>
      </c>
      <c r="BM971" s="75"/>
    </row>
    <row r="972" spans="1:65" ht="15" customHeight="1" x14ac:dyDescent="0.2">
      <c r="A972" s="38"/>
      <c r="B972" s="38"/>
      <c r="C972" s="75"/>
      <c r="D972" s="75"/>
      <c r="E972" s="75"/>
      <c r="F972" s="75"/>
      <c r="G972" s="75"/>
      <c r="H972" s="75"/>
      <c r="I972" s="75"/>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t="s">
        <v>439</v>
      </c>
      <c r="BG972" s="75"/>
      <c r="BH972" s="75"/>
      <c r="BI972" s="75" t="s">
        <v>439</v>
      </c>
      <c r="BJ972" s="75"/>
      <c r="BK972" s="75"/>
      <c r="BL972" s="75" t="s">
        <v>439</v>
      </c>
      <c r="BM972" s="75"/>
    </row>
    <row r="973" spans="1:65" ht="15" customHeight="1" x14ac:dyDescent="0.2">
      <c r="A973" s="38"/>
      <c r="B973" s="38"/>
      <c r="C973" s="75"/>
      <c r="D973" s="75"/>
      <c r="E973" s="75"/>
      <c r="F973" s="75"/>
      <c r="G973" s="75"/>
      <c r="H973" s="75"/>
      <c r="I973" s="75"/>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t="s">
        <v>439</v>
      </c>
      <c r="BG973" s="75"/>
      <c r="BH973" s="75"/>
      <c r="BI973" s="75" t="s">
        <v>439</v>
      </c>
      <c r="BJ973" s="75"/>
      <c r="BK973" s="75"/>
      <c r="BL973" s="75" t="s">
        <v>439</v>
      </c>
      <c r="BM973" s="75"/>
    </row>
    <row r="974" spans="1:65" ht="15" customHeight="1" x14ac:dyDescent="0.2">
      <c r="A974" s="38"/>
      <c r="B974" s="38"/>
      <c r="C974" s="75"/>
      <c r="D974" s="75"/>
      <c r="E974" s="75"/>
      <c r="F974" s="75"/>
      <c r="G974" s="75"/>
      <c r="H974" s="75"/>
      <c r="I974" s="75"/>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t="s">
        <v>439</v>
      </c>
      <c r="BG974" s="75"/>
      <c r="BH974" s="75"/>
      <c r="BI974" s="75" t="s">
        <v>439</v>
      </c>
      <c r="BJ974" s="75"/>
      <c r="BK974" s="75"/>
      <c r="BL974" s="75" t="s">
        <v>439</v>
      </c>
      <c r="BM974" s="75"/>
    </row>
    <row r="975" spans="1:65" ht="15" customHeight="1" x14ac:dyDescent="0.2">
      <c r="A975" s="38"/>
      <c r="B975" s="38"/>
      <c r="C975" s="75"/>
      <c r="D975" s="75"/>
      <c r="E975" s="75"/>
      <c r="F975" s="75"/>
      <c r="G975" s="75"/>
      <c r="H975" s="75"/>
      <c r="I975" s="75"/>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t="s">
        <v>439</v>
      </c>
      <c r="BG975" s="75"/>
      <c r="BH975" s="75"/>
      <c r="BI975" s="75" t="s">
        <v>439</v>
      </c>
      <c r="BJ975" s="75"/>
      <c r="BK975" s="75"/>
      <c r="BL975" s="75" t="s">
        <v>439</v>
      </c>
      <c r="BM975" s="75"/>
    </row>
    <row r="976" spans="1:65" ht="15" customHeight="1" x14ac:dyDescent="0.2">
      <c r="A976" s="38"/>
      <c r="B976" s="38"/>
      <c r="C976" s="75"/>
      <c r="D976" s="75"/>
      <c r="E976" s="75"/>
      <c r="F976" s="75"/>
      <c r="G976" s="75"/>
      <c r="H976" s="75"/>
      <c r="I976" s="75"/>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t="s">
        <v>439</v>
      </c>
      <c r="BG976" s="75"/>
      <c r="BH976" s="75"/>
      <c r="BI976" s="75" t="s">
        <v>439</v>
      </c>
      <c r="BJ976" s="75"/>
      <c r="BK976" s="75"/>
      <c r="BL976" s="75" t="s">
        <v>439</v>
      </c>
      <c r="BM976" s="75"/>
    </row>
    <row r="977" spans="1:65" ht="15" customHeight="1" x14ac:dyDescent="0.2">
      <c r="A977" s="38"/>
      <c r="B977" s="38"/>
      <c r="C977" s="75"/>
      <c r="D977" s="75"/>
      <c r="E977" s="75"/>
      <c r="F977" s="75"/>
      <c r="G977" s="75"/>
      <c r="H977" s="75"/>
      <c r="I977" s="75"/>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t="s">
        <v>439</v>
      </c>
      <c r="BG977" s="75"/>
      <c r="BH977" s="75"/>
      <c r="BI977" s="75" t="s">
        <v>439</v>
      </c>
      <c r="BJ977" s="75"/>
      <c r="BK977" s="75"/>
      <c r="BL977" s="75" t="s">
        <v>439</v>
      </c>
      <c r="BM977" s="75"/>
    </row>
    <row r="978" spans="1:65" ht="15" customHeight="1" x14ac:dyDescent="0.2">
      <c r="A978" s="38"/>
      <c r="B978" s="38"/>
      <c r="C978" s="75"/>
      <c r="D978" s="75"/>
      <c r="E978" s="75"/>
      <c r="F978" s="75"/>
      <c r="G978" s="75"/>
      <c r="H978" s="75"/>
      <c r="I978" s="75"/>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t="s">
        <v>439</v>
      </c>
      <c r="BG978" s="75"/>
      <c r="BH978" s="75"/>
      <c r="BI978" s="75" t="s">
        <v>439</v>
      </c>
      <c r="BJ978" s="75"/>
      <c r="BK978" s="75"/>
      <c r="BL978" s="75" t="s">
        <v>439</v>
      </c>
      <c r="BM978" s="75"/>
    </row>
    <row r="979" spans="1:65" ht="15" customHeight="1" x14ac:dyDescent="0.2">
      <c r="A979" s="38"/>
      <c r="B979" s="38"/>
      <c r="C979" s="75"/>
      <c r="D979" s="75"/>
      <c r="E979" s="75"/>
      <c r="F979" s="75"/>
      <c r="G979" s="75"/>
      <c r="H979" s="75"/>
      <c r="I979" s="75"/>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t="s">
        <v>439</v>
      </c>
      <c r="BG979" s="75"/>
      <c r="BH979" s="75"/>
      <c r="BI979" s="75" t="s">
        <v>439</v>
      </c>
      <c r="BJ979" s="75"/>
      <c r="BK979" s="75"/>
      <c r="BL979" s="75" t="s">
        <v>439</v>
      </c>
      <c r="BM979" s="75"/>
    </row>
    <row r="980" spans="1:65" ht="15" customHeight="1" x14ac:dyDescent="0.2">
      <c r="A980" s="38"/>
      <c r="B980" s="38"/>
      <c r="C980" s="75"/>
      <c r="D980" s="75"/>
      <c r="E980" s="75"/>
      <c r="F980" s="75"/>
      <c r="G980" s="75"/>
      <c r="H980" s="75"/>
      <c r="I980" s="75"/>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t="s">
        <v>439</v>
      </c>
      <c r="BG980" s="75"/>
      <c r="BH980" s="75"/>
      <c r="BI980" s="75" t="s">
        <v>439</v>
      </c>
      <c r="BJ980" s="75"/>
      <c r="BK980" s="75"/>
      <c r="BL980" s="75" t="s">
        <v>439</v>
      </c>
      <c r="BM980" s="75"/>
    </row>
    <row r="981" spans="1:65" ht="15" customHeight="1" x14ac:dyDescent="0.2">
      <c r="A981" s="38"/>
      <c r="B981" s="38"/>
      <c r="C981" s="75"/>
      <c r="D981" s="75"/>
      <c r="E981" s="75"/>
      <c r="F981" s="75"/>
      <c r="G981" s="75"/>
      <c r="H981" s="75"/>
      <c r="I981" s="75"/>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t="s">
        <v>439</v>
      </c>
      <c r="BG981" s="75"/>
      <c r="BH981" s="75"/>
      <c r="BI981" s="75" t="s">
        <v>439</v>
      </c>
      <c r="BJ981" s="75"/>
      <c r="BK981" s="75"/>
      <c r="BL981" s="75" t="s">
        <v>439</v>
      </c>
      <c r="BM981" s="75"/>
    </row>
    <row r="982" spans="1:65" ht="15" customHeight="1" x14ac:dyDescent="0.2">
      <c r="A982" s="38"/>
      <c r="B982" s="38"/>
      <c r="C982" s="75"/>
      <c r="D982" s="75"/>
      <c r="E982" s="75"/>
      <c r="F982" s="75"/>
      <c r="G982" s="75"/>
      <c r="H982" s="75"/>
      <c r="I982" s="75"/>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t="s">
        <v>439</v>
      </c>
      <c r="BG982" s="75"/>
      <c r="BH982" s="75"/>
      <c r="BI982" s="75" t="s">
        <v>439</v>
      </c>
      <c r="BJ982" s="75"/>
      <c r="BK982" s="75"/>
      <c r="BL982" s="75" t="s">
        <v>439</v>
      </c>
      <c r="BM982" s="75"/>
    </row>
    <row r="983" spans="1:65" ht="15" customHeight="1" x14ac:dyDescent="0.2">
      <c r="A983" s="38"/>
      <c r="B983" s="38"/>
      <c r="C983" s="75"/>
      <c r="D983" s="75"/>
      <c r="E983" s="75"/>
      <c r="F983" s="75"/>
      <c r="G983" s="75"/>
      <c r="H983" s="75"/>
      <c r="I983" s="75"/>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t="s">
        <v>439</v>
      </c>
      <c r="BG983" s="75"/>
      <c r="BH983" s="75"/>
      <c r="BI983" s="75" t="s">
        <v>439</v>
      </c>
      <c r="BJ983" s="75"/>
      <c r="BK983" s="75"/>
      <c r="BL983" s="75" t="s">
        <v>439</v>
      </c>
      <c r="BM983" s="75"/>
    </row>
    <row r="984" spans="1:65" ht="15" customHeight="1" x14ac:dyDescent="0.2">
      <c r="A984" s="38"/>
      <c r="B984" s="38"/>
      <c r="C984" s="75"/>
      <c r="D984" s="75"/>
      <c r="E984" s="75"/>
      <c r="F984" s="75"/>
      <c r="G984" s="75"/>
      <c r="H984" s="75"/>
      <c r="I984" s="75"/>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t="s">
        <v>439</v>
      </c>
      <c r="BG984" s="75"/>
      <c r="BH984" s="75"/>
      <c r="BI984" s="75" t="s">
        <v>439</v>
      </c>
      <c r="BJ984" s="75"/>
      <c r="BK984" s="75"/>
      <c r="BL984" s="75" t="s">
        <v>439</v>
      </c>
      <c r="BM984" s="75"/>
    </row>
    <row r="985" spans="1:65" ht="15" customHeight="1" x14ac:dyDescent="0.2">
      <c r="A985" s="38"/>
      <c r="B985" s="38"/>
      <c r="C985" s="75"/>
      <c r="D985" s="75"/>
      <c r="E985" s="75"/>
      <c r="F985" s="75"/>
      <c r="G985" s="75"/>
      <c r="H985" s="75"/>
      <c r="I985" s="75"/>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t="s">
        <v>439</v>
      </c>
      <c r="BG985" s="75"/>
      <c r="BH985" s="75"/>
      <c r="BI985" s="75" t="s">
        <v>439</v>
      </c>
      <c r="BJ985" s="75"/>
      <c r="BK985" s="75"/>
      <c r="BL985" s="75" t="s">
        <v>439</v>
      </c>
      <c r="BM985" s="75"/>
    </row>
    <row r="986" spans="1:65" ht="15" customHeight="1" x14ac:dyDescent="0.2">
      <c r="A986" s="38"/>
      <c r="B986" s="38"/>
      <c r="C986" s="75"/>
      <c r="D986" s="75"/>
      <c r="E986" s="75"/>
      <c r="F986" s="75"/>
      <c r="G986" s="75"/>
      <c r="H986" s="75"/>
      <c r="I986" s="75"/>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t="s">
        <v>439</v>
      </c>
      <c r="BG986" s="75"/>
      <c r="BH986" s="75"/>
      <c r="BI986" s="75" t="s">
        <v>439</v>
      </c>
      <c r="BJ986" s="75"/>
      <c r="BK986" s="75"/>
      <c r="BL986" s="75" t="s">
        <v>439</v>
      </c>
      <c r="BM986" s="75"/>
    </row>
    <row r="987" spans="1:65" ht="15" customHeight="1" x14ac:dyDescent="0.2">
      <c r="A987" s="38"/>
      <c r="B987" s="38"/>
      <c r="C987" s="75"/>
      <c r="D987" s="75"/>
      <c r="E987" s="75"/>
      <c r="F987" s="75"/>
      <c r="G987" s="75"/>
      <c r="H987" s="75"/>
      <c r="I987" s="75"/>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t="s">
        <v>439</v>
      </c>
      <c r="BG987" s="75"/>
      <c r="BH987" s="75"/>
      <c r="BI987" s="75" t="s">
        <v>439</v>
      </c>
      <c r="BJ987" s="75"/>
      <c r="BK987" s="75"/>
      <c r="BL987" s="75" t="s">
        <v>439</v>
      </c>
      <c r="BM987" s="75"/>
    </row>
    <row r="988" spans="1:65" ht="15" customHeight="1" x14ac:dyDescent="0.2">
      <c r="A988" s="38"/>
      <c r="B988" s="38"/>
      <c r="C988" s="75"/>
      <c r="D988" s="75"/>
      <c r="E988" s="75"/>
      <c r="F988" s="75"/>
      <c r="G988" s="75"/>
      <c r="H988" s="75"/>
      <c r="I988" s="75"/>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t="s">
        <v>439</v>
      </c>
      <c r="BG988" s="75"/>
      <c r="BH988" s="75"/>
      <c r="BI988" s="75" t="s">
        <v>439</v>
      </c>
      <c r="BJ988" s="75"/>
      <c r="BK988" s="75"/>
      <c r="BL988" s="75" t="s">
        <v>439</v>
      </c>
      <c r="BM988" s="75"/>
    </row>
    <row r="989" spans="1:65" ht="15" customHeight="1" x14ac:dyDescent="0.2">
      <c r="A989" s="38"/>
      <c r="B989" s="38"/>
      <c r="C989" s="75"/>
      <c r="D989" s="75"/>
      <c r="E989" s="75"/>
      <c r="F989" s="75"/>
      <c r="G989" s="75"/>
      <c r="H989" s="75"/>
      <c r="I989" s="75"/>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t="s">
        <v>439</v>
      </c>
      <c r="BG989" s="75"/>
      <c r="BH989" s="75"/>
      <c r="BI989" s="75" t="s">
        <v>439</v>
      </c>
      <c r="BJ989" s="75"/>
      <c r="BK989" s="75"/>
      <c r="BL989" s="75" t="s">
        <v>439</v>
      </c>
      <c r="BM989" s="75"/>
    </row>
    <row r="990" spans="1:65" ht="15" customHeight="1" x14ac:dyDescent="0.2">
      <c r="A990" s="38"/>
      <c r="B990" s="38"/>
      <c r="C990" s="75"/>
      <c r="D990" s="75"/>
      <c r="E990" s="75"/>
      <c r="F990" s="75"/>
      <c r="G990" s="75"/>
      <c r="H990" s="75"/>
      <c r="I990" s="75"/>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t="s">
        <v>439</v>
      </c>
      <c r="BG990" s="75"/>
      <c r="BH990" s="75"/>
      <c r="BI990" s="75" t="s">
        <v>439</v>
      </c>
      <c r="BJ990" s="75"/>
      <c r="BK990" s="75"/>
      <c r="BL990" s="75" t="s">
        <v>439</v>
      </c>
      <c r="BM990" s="75"/>
    </row>
    <row r="991" spans="1:65" ht="15" customHeight="1" x14ac:dyDescent="0.2">
      <c r="A991" s="38"/>
      <c r="B991" s="38"/>
      <c r="C991" s="75"/>
      <c r="D991" s="75"/>
      <c r="E991" s="75"/>
      <c r="F991" s="75"/>
      <c r="G991" s="75"/>
      <c r="H991" s="75"/>
      <c r="I991" s="75"/>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t="s">
        <v>439</v>
      </c>
      <c r="BG991" s="75"/>
      <c r="BH991" s="75"/>
      <c r="BI991" s="75" t="s">
        <v>439</v>
      </c>
      <c r="BJ991" s="75"/>
      <c r="BK991" s="75"/>
      <c r="BL991" s="75" t="s">
        <v>439</v>
      </c>
      <c r="BM991" s="75"/>
    </row>
    <row r="992" spans="1:65" ht="15" customHeight="1" x14ac:dyDescent="0.2">
      <c r="A992" s="38"/>
      <c r="B992" s="38"/>
      <c r="C992" s="75"/>
      <c r="D992" s="75"/>
      <c r="E992" s="75"/>
      <c r="F992" s="75"/>
      <c r="G992" s="75"/>
      <c r="H992" s="75"/>
      <c r="I992" s="75"/>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t="s">
        <v>439</v>
      </c>
      <c r="BG992" s="75"/>
      <c r="BH992" s="75"/>
      <c r="BI992" s="75" t="s">
        <v>439</v>
      </c>
      <c r="BJ992" s="75"/>
      <c r="BK992" s="75"/>
      <c r="BL992" s="75" t="s">
        <v>439</v>
      </c>
      <c r="BM992" s="75"/>
    </row>
    <row r="993" spans="1:65" ht="15" customHeight="1" x14ac:dyDescent="0.2">
      <c r="A993" s="38"/>
      <c r="B993" s="38"/>
      <c r="C993" s="75"/>
      <c r="D993" s="75"/>
      <c r="E993" s="75"/>
      <c r="F993" s="75"/>
      <c r="G993" s="75"/>
      <c r="H993" s="75"/>
      <c r="I993" s="75"/>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t="s">
        <v>439</v>
      </c>
      <c r="BG993" s="75"/>
      <c r="BH993" s="75"/>
      <c r="BI993" s="75" t="s">
        <v>439</v>
      </c>
      <c r="BJ993" s="75"/>
      <c r="BK993" s="75"/>
      <c r="BL993" s="75" t="s">
        <v>439</v>
      </c>
      <c r="BM993" s="75"/>
    </row>
    <row r="994" spans="1:65" ht="15" customHeight="1" x14ac:dyDescent="0.2">
      <c r="A994" s="38"/>
      <c r="B994" s="38"/>
      <c r="C994" s="75"/>
      <c r="D994" s="75"/>
      <c r="E994" s="75"/>
      <c r="F994" s="75"/>
      <c r="G994" s="75"/>
      <c r="H994" s="75"/>
      <c r="I994" s="75"/>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t="s">
        <v>439</v>
      </c>
      <c r="BG994" s="75"/>
      <c r="BH994" s="75"/>
      <c r="BI994" s="75" t="s">
        <v>439</v>
      </c>
      <c r="BJ994" s="75"/>
      <c r="BK994" s="75"/>
      <c r="BL994" s="75" t="s">
        <v>439</v>
      </c>
      <c r="BM994" s="75"/>
    </row>
    <row r="995" spans="1:65" ht="15" customHeight="1" x14ac:dyDescent="0.2">
      <c r="A995" s="38"/>
      <c r="B995" s="38"/>
      <c r="C995" s="75"/>
      <c r="D995" s="75"/>
      <c r="E995" s="75"/>
      <c r="F995" s="75"/>
      <c r="G995" s="75"/>
      <c r="H995" s="75"/>
      <c r="I995" s="75"/>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t="s">
        <v>439</v>
      </c>
      <c r="BG995" s="75"/>
      <c r="BH995" s="75"/>
      <c r="BI995" s="75" t="s">
        <v>439</v>
      </c>
      <c r="BJ995" s="75"/>
      <c r="BK995" s="75"/>
      <c r="BL995" s="75" t="s">
        <v>439</v>
      </c>
      <c r="BM995" s="75"/>
    </row>
    <row r="996" spans="1:65" ht="15" customHeight="1" x14ac:dyDescent="0.2">
      <c r="A996" s="38"/>
      <c r="B996" s="38"/>
      <c r="C996" s="75"/>
      <c r="D996" s="75"/>
      <c r="E996" s="75"/>
      <c r="F996" s="75"/>
      <c r="G996" s="75"/>
      <c r="H996" s="75"/>
      <c r="I996" s="75"/>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t="s">
        <v>439</v>
      </c>
      <c r="BG996" s="75"/>
      <c r="BH996" s="75"/>
      <c r="BI996" s="75" t="s">
        <v>439</v>
      </c>
      <c r="BJ996" s="75"/>
      <c r="BK996" s="75"/>
      <c r="BL996" s="75" t="s">
        <v>439</v>
      </c>
      <c r="BM996" s="75"/>
    </row>
    <row r="997" spans="1:65" ht="15" customHeight="1" x14ac:dyDescent="0.2">
      <c r="A997" s="38"/>
      <c r="B997" s="38"/>
      <c r="C997" s="75"/>
      <c r="D997" s="75"/>
      <c r="E997" s="75"/>
      <c r="F997" s="75"/>
      <c r="G997" s="75"/>
      <c r="H997" s="75"/>
      <c r="I997" s="75"/>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t="s">
        <v>439</v>
      </c>
      <c r="BG997" s="75"/>
      <c r="BH997" s="75"/>
      <c r="BI997" s="75" t="s">
        <v>439</v>
      </c>
      <c r="BJ997" s="75"/>
      <c r="BK997" s="75"/>
      <c r="BL997" s="75" t="s">
        <v>439</v>
      </c>
      <c r="BM997" s="75"/>
    </row>
    <row r="998" spans="1:65" ht="15" customHeight="1" x14ac:dyDescent="0.2">
      <c r="A998" s="38"/>
      <c r="B998" s="38"/>
      <c r="C998" s="75"/>
      <c r="D998" s="75"/>
      <c r="E998" s="75"/>
      <c r="F998" s="75"/>
      <c r="G998" s="75"/>
      <c r="H998" s="75"/>
      <c r="I998" s="75"/>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t="s">
        <v>439</v>
      </c>
      <c r="BG998" s="75"/>
      <c r="BH998" s="75"/>
      <c r="BI998" s="75" t="s">
        <v>439</v>
      </c>
      <c r="BJ998" s="75"/>
      <c r="BK998" s="75"/>
      <c r="BL998" s="75" t="s">
        <v>439</v>
      </c>
      <c r="BM998" s="75"/>
    </row>
    <row r="999" spans="1:65" ht="15" customHeight="1" x14ac:dyDescent="0.2">
      <c r="A999" s="38"/>
      <c r="B999" s="38"/>
      <c r="C999" s="75"/>
      <c r="D999" s="75"/>
      <c r="E999" s="75"/>
      <c r="F999" s="75"/>
      <c r="G999" s="75"/>
      <c r="H999" s="75"/>
      <c r="I999" s="75"/>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t="s">
        <v>439</v>
      </c>
      <c r="BG999" s="75"/>
      <c r="BH999" s="75"/>
      <c r="BI999" s="75" t="s">
        <v>439</v>
      </c>
      <c r="BJ999" s="75"/>
      <c r="BK999" s="75"/>
      <c r="BL999" s="75" t="s">
        <v>439</v>
      </c>
      <c r="BM999" s="75"/>
    </row>
    <row r="1000" spans="1:65" ht="15" customHeight="1" x14ac:dyDescent="0.2">
      <c r="A1000" s="38"/>
      <c r="B1000" s="38"/>
      <c r="C1000" s="75"/>
      <c r="D1000" s="75"/>
      <c r="E1000" s="75"/>
      <c r="F1000" s="75"/>
      <c r="G1000" s="75"/>
      <c r="H1000" s="75"/>
      <c r="I1000" s="75"/>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t="s">
        <v>439</v>
      </c>
      <c r="BG1000" s="75"/>
      <c r="BH1000" s="75"/>
      <c r="BI1000" s="75" t="s">
        <v>439</v>
      </c>
      <c r="BJ1000" s="75"/>
      <c r="BK1000" s="75"/>
      <c r="BL1000" s="75" t="s">
        <v>439</v>
      </c>
      <c r="BM1000" s="75"/>
    </row>
    <row r="1001" spans="1:65" ht="15" customHeight="1" x14ac:dyDescent="0.2">
      <c r="A1001" s="38"/>
      <c r="B1001" s="38"/>
      <c r="C1001" s="75"/>
      <c r="D1001" s="75"/>
      <c r="E1001" s="75"/>
      <c r="F1001" s="75"/>
      <c r="G1001" s="75"/>
      <c r="H1001" s="75"/>
      <c r="I1001" s="75"/>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t="s">
        <v>439</v>
      </c>
      <c r="BG1001" s="75"/>
      <c r="BH1001" s="75"/>
      <c r="BI1001" s="75" t="s">
        <v>439</v>
      </c>
      <c r="BJ1001" s="75"/>
      <c r="BK1001" s="75"/>
      <c r="BL1001" s="75" t="s">
        <v>439</v>
      </c>
      <c r="BM1001" s="75"/>
    </row>
    <row r="1002" spans="1:65" ht="15" customHeight="1" x14ac:dyDescent="0.2">
      <c r="A1002" s="38"/>
      <c r="B1002" s="38"/>
      <c r="C1002" s="75"/>
      <c r="D1002" s="75"/>
      <c r="E1002" s="75"/>
      <c r="F1002" s="75"/>
      <c r="G1002" s="75"/>
      <c r="H1002" s="75"/>
      <c r="I1002" s="75"/>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t="s">
        <v>439</v>
      </c>
      <c r="BG1002" s="75"/>
      <c r="BH1002" s="75"/>
      <c r="BI1002" s="75" t="s">
        <v>439</v>
      </c>
      <c r="BJ1002" s="75"/>
      <c r="BK1002" s="75"/>
      <c r="BL1002" s="75" t="s">
        <v>439</v>
      </c>
      <c r="BM1002" s="75"/>
    </row>
    <row r="1003" spans="1:65" ht="15" customHeight="1" x14ac:dyDescent="0.2">
      <c r="A1003" s="38"/>
      <c r="B1003" s="38"/>
      <c r="C1003" s="75"/>
      <c r="D1003" s="75"/>
      <c r="E1003" s="75"/>
      <c r="F1003" s="75"/>
      <c r="G1003" s="75"/>
      <c r="H1003" s="75"/>
      <c r="I1003" s="75"/>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t="s">
        <v>439</v>
      </c>
      <c r="BG1003" s="75"/>
      <c r="BH1003" s="75"/>
      <c r="BI1003" s="75" t="s">
        <v>439</v>
      </c>
      <c r="BJ1003" s="75"/>
      <c r="BK1003" s="75"/>
      <c r="BL1003" s="75" t="s">
        <v>439</v>
      </c>
      <c r="BM1003" s="75"/>
    </row>
    <row r="1004" spans="1:65" ht="15" customHeight="1" x14ac:dyDescent="0.2">
      <c r="A1004" s="38"/>
      <c r="B1004" s="38"/>
      <c r="C1004" s="75"/>
      <c r="D1004" s="75"/>
      <c r="E1004" s="75"/>
      <c r="F1004" s="75"/>
      <c r="G1004" s="75"/>
      <c r="H1004" s="75"/>
      <c r="I1004" s="75"/>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t="s">
        <v>439</v>
      </c>
      <c r="BG1004" s="75"/>
      <c r="BH1004" s="75"/>
      <c r="BI1004" s="75" t="s">
        <v>439</v>
      </c>
      <c r="BJ1004" s="75"/>
      <c r="BK1004" s="75"/>
      <c r="BL1004" s="75" t="s">
        <v>439</v>
      </c>
      <c r="BM1004" s="75"/>
    </row>
    <row r="1005" spans="1:65" ht="15" customHeight="1" x14ac:dyDescent="0.2">
      <c r="A1005" s="38"/>
      <c r="B1005" s="38"/>
      <c r="C1005" s="75"/>
      <c r="D1005" s="75"/>
      <c r="E1005" s="75"/>
      <c r="F1005" s="75"/>
      <c r="G1005" s="75"/>
      <c r="H1005" s="75"/>
      <c r="I1005" s="75"/>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t="s">
        <v>439</v>
      </c>
      <c r="BG1005" s="75"/>
      <c r="BH1005" s="75"/>
      <c r="BI1005" s="75" t="s">
        <v>439</v>
      </c>
      <c r="BJ1005" s="75"/>
      <c r="BK1005" s="75"/>
      <c r="BL1005" s="75" t="s">
        <v>439</v>
      </c>
      <c r="BM1005" s="75"/>
    </row>
    <row r="1006" spans="1:65" ht="15" customHeight="1" x14ac:dyDescent="0.2">
      <c r="A1006" s="38"/>
      <c r="B1006" s="38"/>
      <c r="C1006" s="75"/>
      <c r="D1006" s="75"/>
      <c r="E1006" s="75"/>
      <c r="F1006" s="75"/>
      <c r="G1006" s="75"/>
      <c r="H1006" s="75"/>
      <c r="I1006" s="75"/>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t="s">
        <v>439</v>
      </c>
      <c r="BG1006" s="75"/>
      <c r="BH1006" s="75"/>
      <c r="BI1006" s="75" t="s">
        <v>439</v>
      </c>
      <c r="BJ1006" s="75"/>
      <c r="BK1006" s="75"/>
      <c r="BL1006" s="75" t="s">
        <v>439</v>
      </c>
      <c r="BM1006" s="75"/>
    </row>
    <row r="1007" spans="1:65" ht="15" customHeight="1" x14ac:dyDescent="0.2">
      <c r="A1007" s="38"/>
      <c r="B1007" s="38"/>
      <c r="C1007" s="75"/>
      <c r="D1007" s="75"/>
      <c r="E1007" s="75"/>
      <c r="F1007" s="75"/>
      <c r="G1007" s="75"/>
      <c r="H1007" s="75"/>
      <c r="I1007" s="75"/>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t="s">
        <v>439</v>
      </c>
      <c r="BG1007" s="75"/>
      <c r="BH1007" s="75"/>
      <c r="BI1007" s="75" t="s">
        <v>439</v>
      </c>
      <c r="BJ1007" s="75"/>
      <c r="BK1007" s="75"/>
      <c r="BL1007" s="75" t="s">
        <v>439</v>
      </c>
      <c r="BM1007" s="75"/>
    </row>
    <row r="1008" spans="1:65" ht="15" customHeight="1" x14ac:dyDescent="0.2">
      <c r="A1008" s="38"/>
      <c r="B1008" s="38"/>
      <c r="C1008" s="75"/>
      <c r="D1008" s="75"/>
      <c r="E1008" s="75"/>
      <c r="F1008" s="75"/>
      <c r="G1008" s="75"/>
      <c r="H1008" s="75"/>
      <c r="I1008" s="75"/>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t="s">
        <v>439</v>
      </c>
      <c r="BG1008" s="75"/>
      <c r="BH1008" s="75"/>
      <c r="BI1008" s="75" t="s">
        <v>439</v>
      </c>
      <c r="BJ1008" s="75"/>
      <c r="BK1008" s="75"/>
      <c r="BL1008" s="75" t="s">
        <v>439</v>
      </c>
      <c r="BM1008" s="75"/>
    </row>
    <row r="1009" spans="1:65" ht="15" customHeight="1" x14ac:dyDescent="0.2">
      <c r="A1009" s="38"/>
      <c r="B1009" s="38"/>
      <c r="C1009" s="75"/>
      <c r="D1009" s="75"/>
      <c r="E1009" s="75"/>
      <c r="F1009" s="75"/>
      <c r="G1009" s="75"/>
      <c r="H1009" s="75"/>
      <c r="I1009" s="75"/>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t="s">
        <v>439</v>
      </c>
      <c r="BG1009" s="75"/>
      <c r="BH1009" s="75"/>
      <c r="BI1009" s="75" t="s">
        <v>439</v>
      </c>
      <c r="BJ1009" s="75"/>
      <c r="BK1009" s="75"/>
      <c r="BL1009" s="75" t="s">
        <v>439</v>
      </c>
      <c r="BM1009" s="75"/>
    </row>
    <row r="1010" spans="1:65" ht="15" customHeight="1" x14ac:dyDescent="0.2">
      <c r="A1010" s="38"/>
      <c r="B1010" s="38"/>
      <c r="C1010" s="75"/>
      <c r="D1010" s="75"/>
      <c r="E1010" s="75"/>
      <c r="F1010" s="75"/>
      <c r="G1010" s="75"/>
      <c r="H1010" s="75"/>
      <c r="I1010" s="75"/>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t="s">
        <v>439</v>
      </c>
      <c r="BG1010" s="75"/>
      <c r="BH1010" s="75"/>
      <c r="BI1010" s="75" t="s">
        <v>439</v>
      </c>
      <c r="BJ1010" s="75"/>
      <c r="BK1010" s="75"/>
      <c r="BL1010" s="75" t="s">
        <v>439</v>
      </c>
      <c r="BM1010" s="75"/>
    </row>
    <row r="1011" spans="1:65" ht="15" customHeight="1" x14ac:dyDescent="0.2">
      <c r="A1011" s="38"/>
      <c r="B1011" s="38"/>
      <c r="C1011" s="75"/>
      <c r="D1011" s="75"/>
      <c r="E1011" s="75"/>
      <c r="F1011" s="75"/>
      <c r="G1011" s="75"/>
      <c r="H1011" s="75"/>
      <c r="I1011" s="75"/>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t="s">
        <v>439</v>
      </c>
      <c r="BG1011" s="75"/>
      <c r="BH1011" s="75"/>
      <c r="BI1011" s="75" t="s">
        <v>439</v>
      </c>
      <c r="BJ1011" s="75"/>
      <c r="BK1011" s="75"/>
      <c r="BL1011" s="75" t="s">
        <v>439</v>
      </c>
      <c r="BM1011" s="75"/>
    </row>
    <row r="1012" spans="1:65" ht="15" customHeight="1" x14ac:dyDescent="0.2">
      <c r="A1012" s="38"/>
      <c r="B1012" s="38"/>
      <c r="C1012" s="75"/>
      <c r="D1012" s="75"/>
      <c r="E1012" s="75"/>
      <c r="F1012" s="75"/>
      <c r="G1012" s="75"/>
      <c r="H1012" s="75"/>
      <c r="I1012" s="75"/>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t="s">
        <v>439</v>
      </c>
      <c r="BG1012" s="75"/>
      <c r="BH1012" s="75"/>
      <c r="BI1012" s="75" t="s">
        <v>439</v>
      </c>
      <c r="BJ1012" s="75"/>
      <c r="BK1012" s="75"/>
      <c r="BL1012" s="75" t="s">
        <v>439</v>
      </c>
      <c r="BM1012" s="75"/>
    </row>
    <row r="1013" spans="1:65" ht="15" customHeight="1" x14ac:dyDescent="0.2">
      <c r="A1013" s="38"/>
      <c r="B1013" s="38"/>
      <c r="C1013" s="75"/>
      <c r="D1013" s="75"/>
      <c r="E1013" s="75"/>
      <c r="F1013" s="75"/>
      <c r="G1013" s="75"/>
      <c r="H1013" s="75"/>
      <c r="I1013" s="75"/>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t="s">
        <v>439</v>
      </c>
      <c r="BG1013" s="75"/>
      <c r="BH1013" s="75"/>
      <c r="BI1013" s="75" t="s">
        <v>439</v>
      </c>
      <c r="BJ1013" s="75"/>
      <c r="BK1013" s="75"/>
      <c r="BL1013" s="75" t="s">
        <v>439</v>
      </c>
      <c r="BM1013" s="75"/>
    </row>
    <row r="1014" spans="1:65" ht="15" customHeight="1" x14ac:dyDescent="0.2">
      <c r="A1014" s="38"/>
      <c r="B1014" s="38"/>
      <c r="C1014" s="75"/>
      <c r="D1014" s="75"/>
      <c r="E1014" s="75"/>
      <c r="F1014" s="75"/>
      <c r="G1014" s="75"/>
      <c r="H1014" s="75"/>
      <c r="I1014" s="75"/>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t="s">
        <v>439</v>
      </c>
      <c r="BG1014" s="75"/>
      <c r="BH1014" s="75"/>
      <c r="BI1014" s="75" t="s">
        <v>439</v>
      </c>
      <c r="BJ1014" s="75"/>
      <c r="BK1014" s="75"/>
      <c r="BL1014" s="75" t="s">
        <v>439</v>
      </c>
      <c r="BM1014" s="75"/>
    </row>
    <row r="1015" spans="1:65" ht="15" customHeight="1" x14ac:dyDescent="0.2">
      <c r="A1015" s="38"/>
      <c r="B1015" s="38"/>
      <c r="C1015" s="75"/>
      <c r="D1015" s="75"/>
      <c r="E1015" s="75"/>
      <c r="F1015" s="75"/>
      <c r="G1015" s="75"/>
      <c r="H1015" s="75"/>
      <c r="I1015" s="75"/>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t="s">
        <v>439</v>
      </c>
      <c r="BG1015" s="75"/>
      <c r="BH1015" s="75"/>
      <c r="BI1015" s="75" t="s">
        <v>439</v>
      </c>
      <c r="BJ1015" s="75"/>
      <c r="BK1015" s="75"/>
      <c r="BL1015" s="75" t="s">
        <v>439</v>
      </c>
      <c r="BM1015" s="75"/>
    </row>
    <row r="1016" spans="1:65" ht="15" customHeight="1" x14ac:dyDescent="0.2">
      <c r="A1016" s="38"/>
      <c r="B1016" s="38"/>
      <c r="C1016" s="75"/>
      <c r="D1016" s="75"/>
      <c r="E1016" s="75"/>
      <c r="F1016" s="75"/>
      <c r="G1016" s="75"/>
      <c r="H1016" s="75"/>
      <c r="I1016" s="75"/>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t="s">
        <v>439</v>
      </c>
      <c r="BG1016" s="75"/>
      <c r="BH1016" s="75"/>
      <c r="BI1016" s="75" t="s">
        <v>439</v>
      </c>
      <c r="BJ1016" s="75"/>
      <c r="BK1016" s="75"/>
      <c r="BL1016" s="75" t="s">
        <v>439</v>
      </c>
      <c r="BM1016" s="75"/>
    </row>
    <row r="1017" spans="1:65" ht="15" customHeight="1" x14ac:dyDescent="0.2">
      <c r="A1017" s="38"/>
      <c r="B1017" s="38"/>
      <c r="C1017" s="75"/>
      <c r="D1017" s="75"/>
      <c r="E1017" s="75"/>
      <c r="F1017" s="75"/>
      <c r="G1017" s="75"/>
      <c r="H1017" s="75"/>
      <c r="I1017" s="75"/>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t="s">
        <v>439</v>
      </c>
      <c r="BG1017" s="75"/>
      <c r="BH1017" s="75"/>
      <c r="BI1017" s="75" t="s">
        <v>439</v>
      </c>
      <c r="BJ1017" s="75"/>
      <c r="BK1017" s="75"/>
      <c r="BL1017" s="75" t="s">
        <v>439</v>
      </c>
      <c r="BM1017" s="75"/>
    </row>
    <row r="1018" spans="1:65" ht="15" customHeight="1" x14ac:dyDescent="0.2">
      <c r="A1018" s="38"/>
      <c r="B1018" s="38"/>
      <c r="C1018" s="75"/>
      <c r="D1018" s="75"/>
      <c r="E1018" s="75"/>
      <c r="F1018" s="75"/>
      <c r="G1018" s="75"/>
      <c r="H1018" s="75"/>
      <c r="I1018" s="75"/>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t="s">
        <v>439</v>
      </c>
      <c r="BG1018" s="75"/>
      <c r="BH1018" s="75"/>
      <c r="BI1018" s="75" t="s">
        <v>439</v>
      </c>
      <c r="BJ1018" s="75"/>
      <c r="BK1018" s="75"/>
      <c r="BL1018" s="75" t="s">
        <v>439</v>
      </c>
      <c r="BM1018" s="75"/>
    </row>
    <row r="1019" spans="1:65" ht="15" customHeight="1" x14ac:dyDescent="0.2">
      <c r="A1019" s="38"/>
      <c r="B1019" s="38"/>
      <c r="C1019" s="75"/>
      <c r="D1019" s="75"/>
      <c r="E1019" s="75"/>
      <c r="F1019" s="75"/>
      <c r="G1019" s="75"/>
      <c r="H1019" s="75"/>
      <c r="I1019" s="75"/>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t="s">
        <v>439</v>
      </c>
      <c r="BG1019" s="75"/>
      <c r="BH1019" s="75"/>
      <c r="BI1019" s="75" t="s">
        <v>439</v>
      </c>
      <c r="BJ1019" s="75"/>
      <c r="BK1019" s="75"/>
      <c r="BL1019" s="75" t="s">
        <v>439</v>
      </c>
      <c r="BM1019" s="75"/>
    </row>
    <row r="1020" spans="1:65" ht="15" customHeight="1" x14ac:dyDescent="0.2">
      <c r="A1020" s="38"/>
      <c r="B1020" s="38"/>
      <c r="C1020" s="75"/>
      <c r="D1020" s="75"/>
      <c r="E1020" s="75"/>
      <c r="F1020" s="75"/>
      <c r="G1020" s="75"/>
      <c r="H1020" s="75"/>
      <c r="I1020" s="75"/>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t="s">
        <v>439</v>
      </c>
      <c r="BG1020" s="75"/>
      <c r="BH1020" s="75"/>
      <c r="BI1020" s="75" t="s">
        <v>439</v>
      </c>
      <c r="BJ1020" s="75"/>
      <c r="BK1020" s="75"/>
      <c r="BL1020" s="75" t="s">
        <v>439</v>
      </c>
      <c r="BM1020" s="75"/>
    </row>
    <row r="1021" spans="1:65" ht="15" customHeight="1" x14ac:dyDescent="0.2">
      <c r="A1021" s="38"/>
      <c r="B1021" s="38"/>
      <c r="C1021" s="75"/>
      <c r="D1021" s="75"/>
      <c r="E1021" s="75"/>
      <c r="F1021" s="75"/>
      <c r="G1021" s="75"/>
      <c r="H1021" s="75"/>
      <c r="I1021" s="75"/>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t="s">
        <v>439</v>
      </c>
      <c r="BG1021" s="75"/>
      <c r="BH1021" s="75"/>
      <c r="BI1021" s="75" t="s">
        <v>439</v>
      </c>
      <c r="BJ1021" s="75"/>
      <c r="BK1021" s="75"/>
      <c r="BL1021" s="75" t="s">
        <v>439</v>
      </c>
      <c r="BM1021" s="75"/>
    </row>
    <row r="1022" spans="1:65" ht="15" customHeight="1" x14ac:dyDescent="0.2">
      <c r="A1022" s="38"/>
      <c r="B1022" s="38"/>
      <c r="C1022" s="75"/>
      <c r="D1022" s="75"/>
      <c r="E1022" s="75"/>
      <c r="F1022" s="75"/>
      <c r="G1022" s="75"/>
      <c r="H1022" s="75"/>
      <c r="I1022" s="75"/>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t="s">
        <v>439</v>
      </c>
      <c r="BG1022" s="75"/>
      <c r="BH1022" s="75"/>
      <c r="BI1022" s="75" t="s">
        <v>439</v>
      </c>
      <c r="BJ1022" s="75"/>
      <c r="BK1022" s="75"/>
      <c r="BL1022" s="75" t="s">
        <v>439</v>
      </c>
      <c r="BM1022" s="75"/>
    </row>
    <row r="1023" spans="1:65" ht="15" customHeight="1" x14ac:dyDescent="0.2">
      <c r="A1023" s="38"/>
      <c r="B1023" s="38"/>
      <c r="C1023" s="75"/>
      <c r="D1023" s="75"/>
      <c r="E1023" s="75"/>
      <c r="F1023" s="75"/>
      <c r="G1023" s="75"/>
      <c r="H1023" s="75"/>
      <c r="I1023" s="75"/>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t="s">
        <v>439</v>
      </c>
      <c r="BG1023" s="75"/>
      <c r="BH1023" s="75"/>
      <c r="BI1023" s="75" t="s">
        <v>439</v>
      </c>
      <c r="BJ1023" s="75"/>
      <c r="BK1023" s="75"/>
      <c r="BL1023" s="75" t="s">
        <v>439</v>
      </c>
      <c r="BM1023" s="75"/>
    </row>
    <row r="1024" spans="1:65" ht="15" customHeight="1" x14ac:dyDescent="0.2">
      <c r="A1024" s="38"/>
      <c r="B1024" s="38"/>
      <c r="C1024" s="75"/>
      <c r="D1024" s="75"/>
      <c r="E1024" s="75"/>
      <c r="F1024" s="75"/>
      <c r="G1024" s="75"/>
      <c r="H1024" s="75"/>
      <c r="I1024" s="75"/>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t="s">
        <v>439</v>
      </c>
      <c r="BG1024" s="75"/>
      <c r="BH1024" s="75"/>
      <c r="BI1024" s="75" t="s">
        <v>439</v>
      </c>
      <c r="BJ1024" s="75"/>
      <c r="BK1024" s="75"/>
      <c r="BL1024" s="75" t="s">
        <v>439</v>
      </c>
      <c r="BM1024" s="75"/>
    </row>
    <row r="1025" spans="1:65" ht="15" customHeight="1" x14ac:dyDescent="0.2">
      <c r="A1025" s="38"/>
      <c r="B1025" s="38"/>
      <c r="C1025" s="75"/>
      <c r="D1025" s="75"/>
      <c r="E1025" s="75"/>
      <c r="F1025" s="75"/>
      <c r="G1025" s="75"/>
      <c r="H1025" s="75"/>
      <c r="I1025" s="75"/>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t="s">
        <v>439</v>
      </c>
      <c r="BG1025" s="75"/>
      <c r="BH1025" s="75"/>
      <c r="BI1025" s="75" t="s">
        <v>439</v>
      </c>
      <c r="BJ1025" s="75"/>
      <c r="BK1025" s="75"/>
      <c r="BL1025" s="75" t="s">
        <v>439</v>
      </c>
      <c r="BM1025" s="75"/>
    </row>
    <row r="1026" spans="1:65" ht="15" customHeight="1" x14ac:dyDescent="0.2">
      <c r="A1026" s="38"/>
      <c r="B1026" s="38"/>
      <c r="C1026" s="75"/>
      <c r="D1026" s="75"/>
      <c r="E1026" s="75"/>
      <c r="F1026" s="75"/>
      <c r="G1026" s="75"/>
      <c r="H1026" s="75"/>
      <c r="I1026" s="75"/>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t="s">
        <v>439</v>
      </c>
      <c r="BG1026" s="75"/>
      <c r="BH1026" s="75"/>
      <c r="BI1026" s="75" t="s">
        <v>439</v>
      </c>
      <c r="BJ1026" s="75"/>
      <c r="BK1026" s="75"/>
      <c r="BL1026" s="75" t="s">
        <v>439</v>
      </c>
      <c r="BM1026" s="75"/>
    </row>
    <row r="1027" spans="1:65" ht="15" customHeight="1" x14ac:dyDescent="0.2">
      <c r="A1027" s="38"/>
      <c r="B1027" s="38"/>
      <c r="C1027" s="75"/>
      <c r="D1027" s="75"/>
      <c r="E1027" s="75"/>
      <c r="F1027" s="75"/>
      <c r="G1027" s="75"/>
      <c r="H1027" s="75"/>
      <c r="I1027" s="75"/>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t="s">
        <v>439</v>
      </c>
      <c r="BG1027" s="75"/>
      <c r="BH1027" s="75"/>
      <c r="BI1027" s="75" t="s">
        <v>439</v>
      </c>
      <c r="BJ1027" s="75"/>
      <c r="BK1027" s="75"/>
      <c r="BL1027" s="75" t="s">
        <v>439</v>
      </c>
      <c r="BM1027" s="75"/>
    </row>
    <row r="1028" spans="1:65" ht="15" customHeight="1" x14ac:dyDescent="0.2">
      <c r="A1028" s="38"/>
      <c r="B1028" s="38"/>
      <c r="C1028" s="75"/>
      <c r="D1028" s="75"/>
      <c r="E1028" s="75"/>
      <c r="F1028" s="75"/>
      <c r="G1028" s="75"/>
      <c r="H1028" s="75"/>
      <c r="I1028" s="75"/>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t="s">
        <v>439</v>
      </c>
      <c r="BG1028" s="75"/>
      <c r="BH1028" s="75"/>
      <c r="BI1028" s="75" t="s">
        <v>439</v>
      </c>
      <c r="BJ1028" s="75"/>
      <c r="BK1028" s="75"/>
      <c r="BL1028" s="75" t="s">
        <v>439</v>
      </c>
      <c r="BM1028" s="75"/>
    </row>
    <row r="1029" spans="1:65" ht="15" customHeight="1" x14ac:dyDescent="0.2">
      <c r="A1029" s="38"/>
      <c r="B1029" s="38"/>
      <c r="C1029" s="75"/>
      <c r="D1029" s="75"/>
      <c r="E1029" s="75"/>
      <c r="F1029" s="75"/>
      <c r="G1029" s="75"/>
      <c r="H1029" s="75"/>
      <c r="I1029" s="75"/>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t="s">
        <v>439</v>
      </c>
      <c r="BG1029" s="75"/>
      <c r="BH1029" s="75"/>
      <c r="BI1029" s="75" t="s">
        <v>439</v>
      </c>
      <c r="BJ1029" s="75"/>
      <c r="BK1029" s="75"/>
      <c r="BL1029" s="75" t="s">
        <v>439</v>
      </c>
      <c r="BM1029" s="75"/>
    </row>
    <row r="1030" spans="1:65" ht="15" customHeight="1" x14ac:dyDescent="0.2">
      <c r="A1030" s="38"/>
      <c r="B1030" s="38"/>
      <c r="C1030" s="75"/>
      <c r="D1030" s="75"/>
      <c r="E1030" s="75"/>
      <c r="F1030" s="75"/>
      <c r="G1030" s="75"/>
      <c r="H1030" s="75"/>
      <c r="I1030" s="75"/>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t="s">
        <v>439</v>
      </c>
      <c r="BG1030" s="75"/>
      <c r="BH1030" s="75"/>
      <c r="BI1030" s="75" t="s">
        <v>439</v>
      </c>
      <c r="BJ1030" s="75"/>
      <c r="BK1030" s="75"/>
      <c r="BL1030" s="75" t="s">
        <v>439</v>
      </c>
      <c r="BM1030" s="75"/>
    </row>
    <row r="1031" spans="1:65" ht="15" customHeight="1" x14ac:dyDescent="0.2">
      <c r="A1031" s="38"/>
      <c r="B1031" s="38"/>
      <c r="C1031" s="75"/>
      <c r="D1031" s="75"/>
      <c r="E1031" s="75"/>
      <c r="F1031" s="75"/>
      <c r="G1031" s="75"/>
      <c r="H1031" s="75"/>
      <c r="I1031" s="75"/>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t="s">
        <v>439</v>
      </c>
      <c r="BG1031" s="75"/>
      <c r="BH1031" s="75"/>
      <c r="BI1031" s="75" t="s">
        <v>439</v>
      </c>
      <c r="BJ1031" s="75"/>
      <c r="BK1031" s="75"/>
      <c r="BL1031" s="75" t="s">
        <v>439</v>
      </c>
      <c r="BM1031" s="75"/>
    </row>
    <row r="1032" spans="1:65" ht="15" customHeight="1" x14ac:dyDescent="0.2">
      <c r="A1032" s="38"/>
      <c r="B1032" s="38"/>
      <c r="C1032" s="75"/>
      <c r="D1032" s="75"/>
      <c r="E1032" s="75"/>
      <c r="F1032" s="75"/>
      <c r="G1032" s="75"/>
      <c r="H1032" s="75"/>
      <c r="I1032" s="75"/>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t="s">
        <v>439</v>
      </c>
      <c r="BG1032" s="75"/>
      <c r="BH1032" s="75"/>
      <c r="BI1032" s="75" t="s">
        <v>439</v>
      </c>
      <c r="BJ1032" s="75"/>
      <c r="BK1032" s="75"/>
      <c r="BL1032" s="75" t="s">
        <v>439</v>
      </c>
      <c r="BM1032" s="75"/>
    </row>
    <row r="1033" spans="1:65" ht="15" customHeight="1" x14ac:dyDescent="0.2">
      <c r="A1033" s="38"/>
      <c r="B1033" s="38"/>
      <c r="C1033" s="75"/>
      <c r="D1033" s="75"/>
      <c r="E1033" s="75"/>
      <c r="F1033" s="75"/>
      <c r="G1033" s="75"/>
      <c r="H1033" s="75"/>
      <c r="I1033" s="75"/>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t="s">
        <v>439</v>
      </c>
      <c r="BG1033" s="75"/>
      <c r="BH1033" s="75"/>
      <c r="BI1033" s="75" t="s">
        <v>439</v>
      </c>
      <c r="BJ1033" s="75"/>
      <c r="BK1033" s="75"/>
      <c r="BL1033" s="75" t="s">
        <v>439</v>
      </c>
      <c r="BM1033" s="75"/>
    </row>
    <row r="1034" spans="1:65" ht="15" customHeight="1" x14ac:dyDescent="0.2">
      <c r="A1034" s="38"/>
      <c r="B1034" s="38"/>
      <c r="C1034" s="75"/>
      <c r="D1034" s="75"/>
      <c r="E1034" s="75"/>
      <c r="F1034" s="75"/>
      <c r="G1034" s="75"/>
      <c r="H1034" s="75"/>
      <c r="I1034" s="75"/>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t="s">
        <v>439</v>
      </c>
      <c r="BG1034" s="75"/>
      <c r="BH1034" s="75"/>
      <c r="BI1034" s="75" t="s">
        <v>439</v>
      </c>
      <c r="BJ1034" s="75"/>
      <c r="BK1034" s="75"/>
      <c r="BL1034" s="75" t="s">
        <v>439</v>
      </c>
      <c r="BM1034" s="75"/>
    </row>
    <row r="1035" spans="1:65" ht="15" customHeight="1" x14ac:dyDescent="0.2">
      <c r="A1035" s="38"/>
      <c r="B1035" s="38"/>
      <c r="C1035" s="75"/>
      <c r="D1035" s="75"/>
      <c r="E1035" s="75"/>
      <c r="F1035" s="75"/>
      <c r="G1035" s="75"/>
      <c r="H1035" s="75"/>
      <c r="I1035" s="75"/>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t="s">
        <v>439</v>
      </c>
      <c r="BG1035" s="75"/>
      <c r="BH1035" s="75"/>
      <c r="BI1035" s="75" t="s">
        <v>439</v>
      </c>
      <c r="BJ1035" s="75"/>
      <c r="BK1035" s="75"/>
      <c r="BL1035" s="75" t="s">
        <v>439</v>
      </c>
      <c r="BM1035" s="75"/>
    </row>
    <row r="1036" spans="1:65" ht="15" customHeight="1" x14ac:dyDescent="0.2">
      <c r="A1036" s="38"/>
      <c r="B1036" s="38"/>
      <c r="C1036" s="75"/>
      <c r="D1036" s="75"/>
      <c r="E1036" s="75"/>
      <c r="F1036" s="75"/>
      <c r="G1036" s="75"/>
      <c r="H1036" s="75"/>
      <c r="I1036" s="75"/>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t="s">
        <v>439</v>
      </c>
      <c r="BG1036" s="75"/>
      <c r="BH1036" s="75"/>
      <c r="BI1036" s="75" t="s">
        <v>439</v>
      </c>
      <c r="BJ1036" s="75"/>
      <c r="BK1036" s="75"/>
      <c r="BL1036" s="75" t="s">
        <v>439</v>
      </c>
      <c r="BM1036" s="75"/>
    </row>
    <row r="1037" spans="1:65" ht="15" customHeight="1" x14ac:dyDescent="0.2">
      <c r="A1037" s="38"/>
      <c r="B1037" s="38"/>
      <c r="C1037" s="75"/>
      <c r="D1037" s="75"/>
      <c r="E1037" s="75"/>
      <c r="F1037" s="75"/>
      <c r="G1037" s="75"/>
      <c r="H1037" s="75"/>
      <c r="I1037" s="75"/>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t="s">
        <v>439</v>
      </c>
      <c r="BG1037" s="75"/>
      <c r="BH1037" s="75"/>
      <c r="BI1037" s="75" t="s">
        <v>439</v>
      </c>
      <c r="BJ1037" s="75"/>
      <c r="BK1037" s="75"/>
      <c r="BL1037" s="75" t="s">
        <v>439</v>
      </c>
      <c r="BM1037" s="75"/>
    </row>
    <row r="1038" spans="1:65" ht="15" customHeight="1" x14ac:dyDescent="0.2">
      <c r="A1038" s="38"/>
      <c r="B1038" s="38"/>
      <c r="C1038" s="75"/>
      <c r="D1038" s="75"/>
      <c r="E1038" s="75"/>
      <c r="F1038" s="75"/>
      <c r="G1038" s="75"/>
      <c r="H1038" s="75"/>
      <c r="I1038" s="75"/>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t="s">
        <v>439</v>
      </c>
      <c r="BG1038" s="75"/>
      <c r="BH1038" s="75"/>
      <c r="BI1038" s="75" t="s">
        <v>439</v>
      </c>
      <c r="BJ1038" s="75"/>
      <c r="BK1038" s="75"/>
      <c r="BL1038" s="75" t="s">
        <v>439</v>
      </c>
      <c r="BM1038" s="75"/>
    </row>
    <row r="1039" spans="1:65" ht="15" customHeight="1" x14ac:dyDescent="0.2">
      <c r="A1039" s="38"/>
      <c r="B1039" s="38"/>
      <c r="C1039" s="75"/>
      <c r="D1039" s="75"/>
      <c r="E1039" s="75"/>
      <c r="F1039" s="75"/>
      <c r="G1039" s="75"/>
      <c r="H1039" s="75"/>
      <c r="I1039" s="75"/>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t="s">
        <v>439</v>
      </c>
      <c r="BG1039" s="75"/>
      <c r="BH1039" s="75"/>
      <c r="BI1039" s="75" t="s">
        <v>439</v>
      </c>
      <c r="BJ1039" s="75"/>
      <c r="BK1039" s="75"/>
      <c r="BL1039" s="75" t="s">
        <v>439</v>
      </c>
      <c r="BM1039" s="75"/>
    </row>
    <row r="1040" spans="1:65" ht="15" customHeight="1" x14ac:dyDescent="0.2">
      <c r="A1040" s="38"/>
      <c r="B1040" s="38"/>
      <c r="C1040" s="75"/>
      <c r="D1040" s="75"/>
      <c r="E1040" s="75"/>
      <c r="F1040" s="75"/>
      <c r="G1040" s="75"/>
      <c r="H1040" s="75"/>
      <c r="I1040" s="75"/>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t="s">
        <v>439</v>
      </c>
      <c r="BG1040" s="75"/>
      <c r="BH1040" s="75"/>
      <c r="BI1040" s="75" t="s">
        <v>439</v>
      </c>
      <c r="BJ1040" s="75"/>
      <c r="BK1040" s="75"/>
      <c r="BL1040" s="75" t="s">
        <v>439</v>
      </c>
      <c r="BM1040" s="75"/>
    </row>
    <row r="1041" spans="1:65" ht="15" customHeight="1" x14ac:dyDescent="0.2">
      <c r="A1041" s="38"/>
      <c r="B1041" s="38"/>
      <c r="C1041" s="75"/>
      <c r="D1041" s="75"/>
      <c r="E1041" s="75"/>
      <c r="F1041" s="75"/>
      <c r="G1041" s="75"/>
      <c r="H1041" s="75"/>
      <c r="I1041" s="75"/>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t="s">
        <v>439</v>
      </c>
      <c r="BG1041" s="75"/>
      <c r="BH1041" s="75"/>
      <c r="BI1041" s="75" t="s">
        <v>439</v>
      </c>
      <c r="BJ1041" s="75"/>
      <c r="BK1041" s="75"/>
      <c r="BL1041" s="75" t="s">
        <v>439</v>
      </c>
      <c r="BM1041" s="75"/>
    </row>
    <row r="1042" spans="1:65" ht="15" customHeight="1" x14ac:dyDescent="0.2">
      <c r="A1042" s="38"/>
      <c r="B1042" s="38"/>
      <c r="C1042" s="75"/>
      <c r="D1042" s="75"/>
      <c r="E1042" s="75"/>
      <c r="F1042" s="75"/>
      <c r="G1042" s="75"/>
      <c r="H1042" s="75"/>
      <c r="I1042" s="75"/>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t="s">
        <v>439</v>
      </c>
      <c r="BG1042" s="75"/>
      <c r="BH1042" s="75"/>
      <c r="BI1042" s="75" t="s">
        <v>439</v>
      </c>
      <c r="BJ1042" s="75"/>
      <c r="BK1042" s="75"/>
      <c r="BL1042" s="75" t="s">
        <v>439</v>
      </c>
      <c r="BM1042" s="75"/>
    </row>
    <row r="1043" spans="1:65" ht="15" customHeight="1" x14ac:dyDescent="0.2">
      <c r="A1043" s="38"/>
      <c r="B1043" s="38"/>
      <c r="C1043" s="75"/>
      <c r="D1043" s="75"/>
      <c r="E1043" s="75"/>
      <c r="F1043" s="75"/>
      <c r="G1043" s="75"/>
      <c r="H1043" s="75"/>
      <c r="I1043" s="75"/>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t="s">
        <v>439</v>
      </c>
      <c r="BG1043" s="75"/>
      <c r="BH1043" s="75"/>
      <c r="BI1043" s="75" t="s">
        <v>439</v>
      </c>
      <c r="BJ1043" s="75"/>
      <c r="BK1043" s="75"/>
      <c r="BL1043" s="75" t="s">
        <v>439</v>
      </c>
      <c r="BM1043" s="75"/>
    </row>
    <row r="1044" spans="1:65" ht="15" customHeight="1" x14ac:dyDescent="0.2">
      <c r="A1044" s="38"/>
      <c r="B1044" s="38"/>
      <c r="C1044" s="75"/>
      <c r="D1044" s="75"/>
      <c r="E1044" s="75"/>
      <c r="F1044" s="75"/>
      <c r="G1044" s="75"/>
      <c r="H1044" s="75"/>
      <c r="I1044" s="75"/>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t="s">
        <v>439</v>
      </c>
      <c r="BG1044" s="75"/>
      <c r="BH1044" s="75"/>
      <c r="BI1044" s="75" t="s">
        <v>439</v>
      </c>
      <c r="BJ1044" s="75"/>
      <c r="BK1044" s="75"/>
      <c r="BL1044" s="75" t="s">
        <v>439</v>
      </c>
      <c r="BM1044" s="75"/>
    </row>
    <row r="1045" spans="1:65" ht="15" customHeight="1" x14ac:dyDescent="0.2">
      <c r="A1045" s="38"/>
      <c r="B1045" s="38"/>
      <c r="C1045" s="75"/>
      <c r="D1045" s="75"/>
      <c r="E1045" s="75"/>
      <c r="F1045" s="75"/>
      <c r="G1045" s="75"/>
      <c r="H1045" s="75"/>
      <c r="I1045" s="75"/>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t="s">
        <v>439</v>
      </c>
      <c r="BG1045" s="75"/>
      <c r="BH1045" s="75"/>
      <c r="BI1045" s="75" t="s">
        <v>439</v>
      </c>
      <c r="BJ1045" s="75"/>
      <c r="BK1045" s="75"/>
      <c r="BL1045" s="75" t="s">
        <v>439</v>
      </c>
      <c r="BM1045" s="75"/>
    </row>
    <row r="1046" spans="1:65" ht="15" customHeight="1" x14ac:dyDescent="0.2">
      <c r="A1046" s="38"/>
      <c r="B1046" s="38"/>
      <c r="C1046" s="75"/>
      <c r="D1046" s="75"/>
      <c r="E1046" s="75"/>
      <c r="F1046" s="75"/>
      <c r="G1046" s="75"/>
      <c r="H1046" s="75"/>
      <c r="I1046" s="75"/>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t="s">
        <v>439</v>
      </c>
      <c r="BG1046" s="75"/>
      <c r="BH1046" s="75"/>
      <c r="BI1046" s="75" t="s">
        <v>439</v>
      </c>
      <c r="BJ1046" s="75"/>
      <c r="BK1046" s="75"/>
      <c r="BL1046" s="75" t="s">
        <v>439</v>
      </c>
      <c r="BM1046" s="75"/>
    </row>
    <row r="1047" spans="1:65" ht="15" customHeight="1" x14ac:dyDescent="0.2">
      <c r="A1047" s="38"/>
      <c r="B1047" s="38"/>
      <c r="C1047" s="75"/>
      <c r="D1047" s="75"/>
      <c r="E1047" s="75"/>
      <c r="F1047" s="75"/>
      <c r="G1047" s="75"/>
      <c r="H1047" s="75"/>
      <c r="I1047" s="75"/>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t="s">
        <v>439</v>
      </c>
      <c r="BG1047" s="75"/>
      <c r="BH1047" s="75"/>
      <c r="BI1047" s="75" t="s">
        <v>439</v>
      </c>
      <c r="BJ1047" s="75"/>
      <c r="BK1047" s="75"/>
      <c r="BL1047" s="75" t="s">
        <v>439</v>
      </c>
      <c r="BM1047" s="75"/>
    </row>
    <row r="1048" spans="1:65" ht="15" customHeight="1" x14ac:dyDescent="0.2">
      <c r="A1048" s="38"/>
      <c r="B1048" s="38"/>
      <c r="C1048" s="75"/>
      <c r="D1048" s="75"/>
      <c r="E1048" s="75"/>
      <c r="F1048" s="75"/>
      <c r="G1048" s="75"/>
      <c r="H1048" s="75"/>
      <c r="I1048" s="75"/>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t="s">
        <v>439</v>
      </c>
      <c r="BG1048" s="75"/>
      <c r="BH1048" s="75"/>
      <c r="BI1048" s="75" t="s">
        <v>439</v>
      </c>
      <c r="BJ1048" s="75"/>
      <c r="BK1048" s="75"/>
      <c r="BL1048" s="75" t="s">
        <v>439</v>
      </c>
      <c r="BM1048" s="75"/>
    </row>
    <row r="1049" spans="1:65" ht="15" customHeight="1" x14ac:dyDescent="0.2">
      <c r="A1049" s="38"/>
      <c r="B1049" s="38"/>
      <c r="C1049" s="75"/>
      <c r="D1049" s="75"/>
      <c r="E1049" s="75"/>
      <c r="F1049" s="75"/>
      <c r="G1049" s="75"/>
      <c r="H1049" s="75"/>
      <c r="I1049" s="75"/>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t="s">
        <v>439</v>
      </c>
      <c r="BG1049" s="75"/>
      <c r="BH1049" s="75"/>
      <c r="BI1049" s="75" t="s">
        <v>439</v>
      </c>
      <c r="BJ1049" s="75"/>
      <c r="BK1049" s="75"/>
      <c r="BL1049" s="75" t="s">
        <v>439</v>
      </c>
      <c r="BM1049" s="75"/>
    </row>
    <row r="1050" spans="1:65" ht="15" customHeight="1" x14ac:dyDescent="0.2">
      <c r="A1050" s="38"/>
      <c r="B1050" s="38"/>
      <c r="C1050" s="75"/>
      <c r="D1050" s="75"/>
      <c r="E1050" s="75"/>
      <c r="F1050" s="75"/>
      <c r="G1050" s="75"/>
      <c r="H1050" s="75"/>
      <c r="I1050" s="75"/>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t="s">
        <v>439</v>
      </c>
      <c r="BG1050" s="75"/>
      <c r="BH1050" s="75"/>
      <c r="BI1050" s="75" t="s">
        <v>439</v>
      </c>
      <c r="BJ1050" s="75"/>
      <c r="BK1050" s="75"/>
      <c r="BL1050" s="75" t="s">
        <v>439</v>
      </c>
      <c r="BM1050" s="75"/>
    </row>
    <row r="1051" spans="1:65" ht="15" customHeight="1" x14ac:dyDescent="0.2">
      <c r="A1051" s="38"/>
      <c r="B1051" s="38"/>
      <c r="C1051" s="75"/>
      <c r="D1051" s="75"/>
      <c r="E1051" s="75"/>
      <c r="F1051" s="75"/>
      <c r="G1051" s="75"/>
      <c r="H1051" s="75"/>
      <c r="I1051" s="75"/>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t="s">
        <v>439</v>
      </c>
      <c r="BG1051" s="75"/>
      <c r="BH1051" s="75"/>
      <c r="BI1051" s="75" t="s">
        <v>439</v>
      </c>
      <c r="BJ1051" s="75"/>
      <c r="BK1051" s="75"/>
      <c r="BL1051" s="75" t="s">
        <v>439</v>
      </c>
      <c r="BM1051" s="75"/>
    </row>
    <row r="1052" spans="1:65" ht="15" customHeight="1" x14ac:dyDescent="0.2">
      <c r="A1052" s="38"/>
      <c r="B1052" s="38"/>
      <c r="C1052" s="75"/>
      <c r="D1052" s="75"/>
      <c r="E1052" s="75"/>
      <c r="F1052" s="75"/>
      <c r="G1052" s="75"/>
      <c r="H1052" s="75"/>
      <c r="I1052" s="75"/>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t="s">
        <v>439</v>
      </c>
      <c r="BG1052" s="75"/>
      <c r="BH1052" s="75"/>
      <c r="BI1052" s="75" t="s">
        <v>439</v>
      </c>
      <c r="BJ1052" s="75"/>
      <c r="BK1052" s="75"/>
      <c r="BL1052" s="75" t="s">
        <v>439</v>
      </c>
      <c r="BM1052" s="75"/>
    </row>
    <row r="1053" spans="1:65" ht="15" customHeight="1" x14ac:dyDescent="0.2">
      <c r="A1053" s="38"/>
      <c r="B1053" s="38"/>
      <c r="C1053" s="75"/>
      <c r="D1053" s="75"/>
      <c r="E1053" s="75"/>
      <c r="F1053" s="75"/>
      <c r="G1053" s="75"/>
      <c r="H1053" s="75"/>
      <c r="I1053" s="75"/>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t="s">
        <v>439</v>
      </c>
      <c r="BG1053" s="75"/>
      <c r="BH1053" s="75"/>
      <c r="BI1053" s="75" t="s">
        <v>439</v>
      </c>
      <c r="BJ1053" s="75"/>
      <c r="BK1053" s="75"/>
      <c r="BL1053" s="75" t="s">
        <v>439</v>
      </c>
      <c r="BM1053" s="75"/>
    </row>
    <row r="1054" spans="1:65" ht="15" customHeight="1" x14ac:dyDescent="0.2">
      <c r="A1054" s="38"/>
      <c r="B1054" s="38"/>
      <c r="C1054" s="75"/>
      <c r="D1054" s="75"/>
      <c r="E1054" s="75"/>
      <c r="F1054" s="75"/>
      <c r="G1054" s="75"/>
      <c r="H1054" s="75"/>
      <c r="I1054" s="75"/>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t="s">
        <v>439</v>
      </c>
      <c r="BG1054" s="75"/>
      <c r="BH1054" s="75"/>
      <c r="BI1054" s="75" t="s">
        <v>439</v>
      </c>
      <c r="BJ1054" s="75"/>
      <c r="BK1054" s="75"/>
      <c r="BL1054" s="75" t="s">
        <v>439</v>
      </c>
      <c r="BM1054" s="75"/>
    </row>
    <row r="1055" spans="1:65" ht="15" customHeight="1" x14ac:dyDescent="0.2">
      <c r="A1055" s="38"/>
      <c r="B1055" s="38"/>
      <c r="C1055" s="75"/>
      <c r="D1055" s="75"/>
      <c r="E1055" s="75"/>
      <c r="F1055" s="75"/>
      <c r="G1055" s="75"/>
      <c r="H1055" s="75"/>
      <c r="I1055" s="75"/>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t="s">
        <v>439</v>
      </c>
      <c r="BG1055" s="75"/>
      <c r="BH1055" s="75"/>
      <c r="BI1055" s="75" t="s">
        <v>439</v>
      </c>
      <c r="BJ1055" s="75"/>
      <c r="BK1055" s="75"/>
      <c r="BL1055" s="75" t="s">
        <v>439</v>
      </c>
      <c r="BM1055" s="75"/>
    </row>
    <row r="1056" spans="1:65" ht="15" customHeight="1" x14ac:dyDescent="0.2">
      <c r="A1056" s="38"/>
      <c r="B1056" s="38"/>
      <c r="C1056" s="75"/>
      <c r="D1056" s="75"/>
      <c r="E1056" s="75"/>
      <c r="F1056" s="75"/>
      <c r="G1056" s="75"/>
      <c r="H1056" s="75"/>
      <c r="I1056" s="75"/>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t="s">
        <v>439</v>
      </c>
      <c r="BG1056" s="75"/>
      <c r="BH1056" s="75"/>
      <c r="BI1056" s="75" t="s">
        <v>439</v>
      </c>
      <c r="BJ1056" s="75"/>
      <c r="BK1056" s="75"/>
      <c r="BL1056" s="75" t="s">
        <v>439</v>
      </c>
      <c r="BM1056" s="75"/>
    </row>
    <row r="1057" spans="1:65" ht="15" customHeight="1" x14ac:dyDescent="0.2">
      <c r="A1057" s="38"/>
      <c r="B1057" s="38"/>
      <c r="C1057" s="75"/>
      <c r="D1057" s="75"/>
      <c r="E1057" s="75"/>
      <c r="F1057" s="75"/>
      <c r="G1057" s="75"/>
      <c r="H1057" s="75"/>
      <c r="I1057" s="75"/>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t="s">
        <v>439</v>
      </c>
      <c r="BG1057" s="75"/>
      <c r="BH1057" s="75"/>
      <c r="BI1057" s="75" t="s">
        <v>439</v>
      </c>
      <c r="BJ1057" s="75"/>
      <c r="BK1057" s="75"/>
      <c r="BL1057" s="75" t="s">
        <v>439</v>
      </c>
      <c r="BM1057" s="75"/>
    </row>
    <row r="1058" spans="1:65" ht="15" customHeight="1" x14ac:dyDescent="0.2">
      <c r="A1058" s="38"/>
      <c r="B1058" s="38"/>
      <c r="C1058" s="75"/>
      <c r="D1058" s="75"/>
      <c r="E1058" s="75"/>
      <c r="F1058" s="75"/>
      <c r="G1058" s="75"/>
      <c r="H1058" s="75"/>
      <c r="I1058" s="75"/>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t="s">
        <v>439</v>
      </c>
      <c r="BG1058" s="75"/>
      <c r="BH1058" s="75"/>
      <c r="BI1058" s="75" t="s">
        <v>439</v>
      </c>
      <c r="BJ1058" s="75"/>
      <c r="BK1058" s="75"/>
      <c r="BL1058" s="75" t="s">
        <v>439</v>
      </c>
      <c r="BM1058" s="75"/>
    </row>
    <row r="1059" spans="1:65" ht="15" customHeight="1" x14ac:dyDescent="0.2">
      <c r="A1059" s="38"/>
      <c r="B1059" s="38"/>
      <c r="C1059" s="75"/>
      <c r="D1059" s="75"/>
      <c r="E1059" s="75"/>
      <c r="F1059" s="75"/>
      <c r="G1059" s="75"/>
      <c r="H1059" s="75"/>
      <c r="I1059" s="75"/>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t="s">
        <v>439</v>
      </c>
      <c r="BG1059" s="75"/>
      <c r="BH1059" s="75"/>
      <c r="BI1059" s="75" t="s">
        <v>439</v>
      </c>
      <c r="BJ1059" s="75"/>
      <c r="BK1059" s="75"/>
      <c r="BL1059" s="75" t="s">
        <v>439</v>
      </c>
      <c r="BM1059" s="75"/>
    </row>
    <row r="1060" spans="1:65" ht="15" customHeight="1" x14ac:dyDescent="0.2">
      <c r="A1060" s="38"/>
      <c r="B1060" s="38"/>
      <c r="C1060" s="75"/>
      <c r="D1060" s="75"/>
      <c r="E1060" s="75"/>
      <c r="F1060" s="75"/>
      <c r="G1060" s="75"/>
      <c r="H1060" s="75"/>
      <c r="I1060" s="75"/>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t="s">
        <v>439</v>
      </c>
      <c r="BG1060" s="75"/>
      <c r="BH1060" s="75"/>
      <c r="BI1060" s="75" t="s">
        <v>439</v>
      </c>
      <c r="BJ1060" s="75"/>
      <c r="BK1060" s="75"/>
      <c r="BL1060" s="75" t="s">
        <v>439</v>
      </c>
      <c r="BM1060" s="75"/>
    </row>
    <row r="1061" spans="1:65" ht="15" customHeight="1" x14ac:dyDescent="0.2">
      <c r="A1061" s="38"/>
      <c r="B1061" s="38"/>
      <c r="C1061" s="75"/>
      <c r="D1061" s="75"/>
      <c r="E1061" s="75"/>
      <c r="F1061" s="75"/>
      <c r="G1061" s="75"/>
      <c r="H1061" s="75"/>
      <c r="I1061" s="75"/>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t="s">
        <v>439</v>
      </c>
      <c r="BG1061" s="75"/>
      <c r="BH1061" s="75"/>
      <c r="BI1061" s="75" t="s">
        <v>439</v>
      </c>
      <c r="BJ1061" s="75"/>
      <c r="BK1061" s="75"/>
      <c r="BL1061" s="75" t="s">
        <v>439</v>
      </c>
      <c r="BM1061" s="75"/>
    </row>
    <row r="1062" spans="1:65" ht="15" customHeight="1" x14ac:dyDescent="0.2">
      <c r="A1062" s="38"/>
      <c r="B1062" s="38"/>
      <c r="C1062" s="75"/>
      <c r="D1062" s="75"/>
      <c r="E1062" s="75"/>
      <c r="F1062" s="75"/>
      <c r="G1062" s="75"/>
      <c r="H1062" s="75"/>
      <c r="I1062" s="75"/>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t="s">
        <v>439</v>
      </c>
      <c r="BG1062" s="75"/>
      <c r="BH1062" s="75"/>
      <c r="BI1062" s="75" t="s">
        <v>439</v>
      </c>
      <c r="BJ1062" s="75"/>
      <c r="BK1062" s="75"/>
      <c r="BL1062" s="75" t="s">
        <v>439</v>
      </c>
      <c r="BM1062" s="75"/>
    </row>
    <row r="1063" spans="1:65" ht="15" customHeight="1" x14ac:dyDescent="0.2">
      <c r="A1063" s="38"/>
      <c r="B1063" s="38"/>
      <c r="C1063" s="75"/>
      <c r="D1063" s="75"/>
      <c r="E1063" s="75"/>
      <c r="F1063" s="75"/>
      <c r="G1063" s="75"/>
      <c r="H1063" s="75"/>
      <c r="I1063" s="75"/>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t="s">
        <v>439</v>
      </c>
      <c r="BG1063" s="75"/>
      <c r="BH1063" s="75"/>
      <c r="BI1063" s="75" t="s">
        <v>439</v>
      </c>
      <c r="BJ1063" s="75"/>
      <c r="BK1063" s="75"/>
      <c r="BL1063" s="75" t="s">
        <v>439</v>
      </c>
      <c r="BM1063" s="75"/>
    </row>
    <row r="1064" spans="1:65" ht="15" customHeight="1" x14ac:dyDescent="0.2">
      <c r="A1064" s="38"/>
      <c r="B1064" s="38"/>
      <c r="C1064" s="75"/>
      <c r="D1064" s="75"/>
      <c r="E1064" s="75"/>
      <c r="F1064" s="75"/>
      <c r="G1064" s="75"/>
      <c r="H1064" s="75"/>
      <c r="I1064" s="75"/>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t="s">
        <v>439</v>
      </c>
      <c r="BG1064" s="75"/>
      <c r="BH1064" s="75"/>
      <c r="BI1064" s="75" t="s">
        <v>439</v>
      </c>
      <c r="BJ1064" s="75"/>
      <c r="BK1064" s="75"/>
      <c r="BL1064" s="75" t="s">
        <v>439</v>
      </c>
      <c r="BM1064" s="75"/>
    </row>
    <row r="1065" spans="1:65" ht="15" customHeight="1" x14ac:dyDescent="0.2">
      <c r="A1065" s="38"/>
      <c r="B1065" s="38"/>
      <c r="C1065" s="75"/>
      <c r="D1065" s="75"/>
      <c r="E1065" s="75"/>
      <c r="F1065" s="75"/>
      <c r="G1065" s="75"/>
      <c r="H1065" s="75"/>
      <c r="I1065" s="75"/>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t="s">
        <v>439</v>
      </c>
      <c r="BG1065" s="75"/>
      <c r="BH1065" s="75"/>
      <c r="BI1065" s="75" t="s">
        <v>439</v>
      </c>
      <c r="BJ1065" s="75"/>
      <c r="BK1065" s="75"/>
      <c r="BL1065" s="75" t="s">
        <v>439</v>
      </c>
      <c r="BM1065" s="75"/>
    </row>
    <row r="1066" spans="1:65" ht="15" customHeight="1" x14ac:dyDescent="0.2">
      <c r="A1066" s="38"/>
      <c r="B1066" s="38"/>
      <c r="C1066" s="75"/>
      <c r="D1066" s="75"/>
      <c r="E1066" s="75"/>
      <c r="F1066" s="75"/>
      <c r="G1066" s="75"/>
      <c r="H1066" s="75"/>
      <c r="I1066" s="75"/>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t="s">
        <v>439</v>
      </c>
      <c r="BG1066" s="75"/>
      <c r="BH1066" s="75"/>
      <c r="BI1066" s="75" t="s">
        <v>439</v>
      </c>
      <c r="BJ1066" s="75"/>
      <c r="BK1066" s="75"/>
      <c r="BL1066" s="75" t="s">
        <v>439</v>
      </c>
      <c r="BM1066" s="75"/>
    </row>
    <row r="1067" spans="1:65" ht="15" customHeight="1" x14ac:dyDescent="0.2">
      <c r="A1067" s="38"/>
      <c r="B1067" s="38"/>
      <c r="C1067" s="75"/>
      <c r="D1067" s="75"/>
      <c r="E1067" s="75"/>
      <c r="F1067" s="75"/>
      <c r="G1067" s="75"/>
      <c r="H1067" s="75"/>
      <c r="I1067" s="75"/>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t="s">
        <v>439</v>
      </c>
      <c r="BG1067" s="75"/>
      <c r="BH1067" s="75"/>
      <c r="BI1067" s="75" t="s">
        <v>439</v>
      </c>
      <c r="BJ1067" s="75"/>
      <c r="BK1067" s="75"/>
      <c r="BL1067" s="75" t="s">
        <v>439</v>
      </c>
      <c r="BM1067" s="75"/>
    </row>
    <row r="1068" spans="1:65" ht="15" customHeight="1" x14ac:dyDescent="0.2">
      <c r="A1068" s="38"/>
      <c r="B1068" s="38"/>
      <c r="C1068" s="75"/>
      <c r="D1068" s="75"/>
      <c r="E1068" s="75"/>
      <c r="F1068" s="75"/>
      <c r="G1068" s="75"/>
      <c r="H1068" s="75"/>
      <c r="I1068" s="75"/>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t="s">
        <v>439</v>
      </c>
      <c r="BG1068" s="75"/>
      <c r="BH1068" s="75"/>
      <c r="BI1068" s="75" t="s">
        <v>439</v>
      </c>
      <c r="BJ1068" s="75"/>
      <c r="BK1068" s="75"/>
      <c r="BL1068" s="75" t="s">
        <v>439</v>
      </c>
      <c r="BM1068" s="75"/>
    </row>
    <row r="1069" spans="1:65" ht="15" customHeight="1" x14ac:dyDescent="0.2">
      <c r="A1069" s="38"/>
      <c r="B1069" s="38"/>
      <c r="C1069" s="75"/>
      <c r="D1069" s="75"/>
      <c r="E1069" s="75"/>
      <c r="F1069" s="75"/>
      <c r="G1069" s="75"/>
      <c r="H1069" s="75"/>
      <c r="I1069" s="75"/>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t="s">
        <v>439</v>
      </c>
      <c r="BG1069" s="75"/>
      <c r="BH1069" s="75"/>
      <c r="BI1069" s="75" t="s">
        <v>439</v>
      </c>
      <c r="BJ1069" s="75"/>
      <c r="BK1069" s="75"/>
      <c r="BL1069" s="75" t="s">
        <v>439</v>
      </c>
      <c r="BM1069" s="75"/>
    </row>
    <row r="1070" spans="1:65" ht="15" customHeight="1" x14ac:dyDescent="0.2">
      <c r="A1070" s="38"/>
      <c r="B1070" s="38"/>
      <c r="C1070" s="75"/>
      <c r="D1070" s="75"/>
      <c r="E1070" s="75"/>
      <c r="F1070" s="75"/>
      <c r="G1070" s="75"/>
      <c r="H1070" s="75"/>
      <c r="I1070" s="75"/>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t="s">
        <v>439</v>
      </c>
      <c r="BG1070" s="75"/>
      <c r="BH1070" s="75"/>
      <c r="BI1070" s="75" t="s">
        <v>439</v>
      </c>
      <c r="BJ1070" s="75"/>
      <c r="BK1070" s="75"/>
      <c r="BL1070" s="75" t="s">
        <v>439</v>
      </c>
      <c r="BM1070" s="75"/>
    </row>
    <row r="1071" spans="1:65" ht="15" customHeight="1" x14ac:dyDescent="0.2">
      <c r="A1071" s="38"/>
      <c r="B1071" s="38"/>
      <c r="C1071" s="75"/>
      <c r="D1071" s="75"/>
      <c r="E1071" s="75"/>
      <c r="F1071" s="75"/>
      <c r="G1071" s="75"/>
      <c r="H1071" s="75"/>
      <c r="I1071" s="75"/>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t="s">
        <v>439</v>
      </c>
      <c r="BG1071" s="75"/>
      <c r="BH1071" s="75"/>
      <c r="BI1071" s="75" t="s">
        <v>439</v>
      </c>
      <c r="BJ1071" s="75"/>
      <c r="BK1071" s="75"/>
      <c r="BL1071" s="75" t="s">
        <v>439</v>
      </c>
      <c r="BM1071" s="75"/>
    </row>
    <row r="1072" spans="1:65" ht="15" customHeight="1" x14ac:dyDescent="0.2">
      <c r="A1072" s="38"/>
      <c r="B1072" s="38"/>
      <c r="C1072" s="75"/>
      <c r="D1072" s="75"/>
      <c r="E1072" s="75"/>
      <c r="F1072" s="75"/>
      <c r="G1072" s="75"/>
      <c r="H1072" s="75"/>
      <c r="I1072" s="75"/>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t="s">
        <v>439</v>
      </c>
      <c r="BG1072" s="75"/>
      <c r="BH1072" s="75"/>
      <c r="BI1072" s="75" t="s">
        <v>439</v>
      </c>
      <c r="BJ1072" s="75"/>
      <c r="BK1072" s="75"/>
      <c r="BL1072" s="75" t="s">
        <v>439</v>
      </c>
      <c r="BM1072" s="75"/>
    </row>
    <row r="1073" spans="1:65" ht="15" customHeight="1" x14ac:dyDescent="0.2">
      <c r="A1073" s="38"/>
      <c r="B1073" s="38"/>
      <c r="C1073" s="75"/>
      <c r="D1073" s="75"/>
      <c r="E1073" s="75"/>
      <c r="F1073" s="75"/>
      <c r="G1073" s="75"/>
      <c r="H1073" s="75"/>
      <c r="I1073" s="75"/>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t="s">
        <v>439</v>
      </c>
      <c r="BG1073" s="75"/>
      <c r="BH1073" s="75"/>
      <c r="BI1073" s="75" t="s">
        <v>439</v>
      </c>
      <c r="BJ1073" s="75"/>
      <c r="BK1073" s="75"/>
      <c r="BL1073" s="75" t="s">
        <v>439</v>
      </c>
      <c r="BM1073" s="75"/>
    </row>
    <row r="1074" spans="1:65" ht="15" customHeight="1" x14ac:dyDescent="0.2">
      <c r="A1074" s="38"/>
      <c r="B1074" s="38"/>
      <c r="C1074" s="75"/>
      <c r="D1074" s="75"/>
      <c r="E1074" s="75"/>
      <c r="F1074" s="75"/>
      <c r="G1074" s="75"/>
      <c r="H1074" s="75"/>
      <c r="I1074" s="75"/>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t="s">
        <v>439</v>
      </c>
      <c r="BG1074" s="75"/>
      <c r="BH1074" s="75"/>
      <c r="BI1074" s="75" t="s">
        <v>439</v>
      </c>
      <c r="BJ1074" s="75"/>
      <c r="BK1074" s="75"/>
      <c r="BL1074" s="75" t="s">
        <v>439</v>
      </c>
      <c r="BM1074" s="75"/>
    </row>
    <row r="1075" spans="1:65" ht="15" customHeight="1" x14ac:dyDescent="0.2">
      <c r="A1075" s="38"/>
      <c r="B1075" s="38"/>
      <c r="C1075" s="75"/>
      <c r="D1075" s="75"/>
      <c r="E1075" s="75"/>
      <c r="F1075" s="75"/>
      <c r="G1075" s="75"/>
      <c r="H1075" s="75"/>
      <c r="I1075" s="75"/>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t="s">
        <v>439</v>
      </c>
      <c r="BG1075" s="75"/>
      <c r="BH1075" s="75"/>
      <c r="BI1075" s="75" t="s">
        <v>439</v>
      </c>
      <c r="BJ1075" s="75"/>
      <c r="BK1075" s="75"/>
      <c r="BL1075" s="75" t="s">
        <v>439</v>
      </c>
      <c r="BM1075" s="75"/>
    </row>
    <row r="1076" spans="1:65" ht="15" customHeight="1" x14ac:dyDescent="0.2">
      <c r="A1076" s="38"/>
      <c r="B1076" s="38"/>
      <c r="C1076" s="75"/>
      <c r="D1076" s="75"/>
      <c r="E1076" s="75"/>
      <c r="F1076" s="75"/>
      <c r="G1076" s="75"/>
      <c r="H1076" s="75"/>
      <c r="I1076" s="75"/>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t="s">
        <v>439</v>
      </c>
      <c r="BG1076" s="75"/>
      <c r="BH1076" s="75"/>
      <c r="BI1076" s="75" t="s">
        <v>439</v>
      </c>
      <c r="BJ1076" s="75"/>
      <c r="BK1076" s="75"/>
      <c r="BL1076" s="75" t="s">
        <v>439</v>
      </c>
      <c r="BM1076" s="75"/>
    </row>
    <row r="1077" spans="1:65" ht="15" customHeight="1" x14ac:dyDescent="0.2">
      <c r="A1077" s="38"/>
      <c r="B1077" s="38"/>
      <c r="C1077" s="75"/>
      <c r="D1077" s="75"/>
      <c r="E1077" s="75"/>
      <c r="F1077" s="75"/>
      <c r="G1077" s="75"/>
      <c r="H1077" s="75"/>
      <c r="I1077" s="75"/>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t="s">
        <v>439</v>
      </c>
      <c r="BG1077" s="75"/>
      <c r="BH1077" s="75"/>
      <c r="BI1077" s="75" t="s">
        <v>439</v>
      </c>
      <c r="BJ1077" s="75"/>
      <c r="BK1077" s="75"/>
      <c r="BL1077" s="75" t="s">
        <v>439</v>
      </c>
      <c r="BM1077" s="75"/>
    </row>
    <row r="1078" spans="1:65" ht="15" customHeight="1" x14ac:dyDescent="0.2">
      <c r="A1078" s="38"/>
      <c r="B1078" s="38"/>
      <c r="C1078" s="75"/>
      <c r="D1078" s="75"/>
      <c r="E1078" s="75"/>
      <c r="F1078" s="75"/>
      <c r="G1078" s="75"/>
      <c r="H1078" s="75"/>
      <c r="I1078" s="75"/>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t="s">
        <v>439</v>
      </c>
      <c r="BG1078" s="75"/>
      <c r="BH1078" s="75"/>
      <c r="BI1078" s="75" t="s">
        <v>439</v>
      </c>
      <c r="BJ1078" s="75"/>
      <c r="BK1078" s="75"/>
      <c r="BL1078" s="75" t="s">
        <v>439</v>
      </c>
      <c r="BM1078" s="75"/>
    </row>
    <row r="1079" spans="1:65" ht="15" customHeight="1" x14ac:dyDescent="0.2">
      <c r="A1079" s="38"/>
      <c r="B1079" s="38"/>
      <c r="C1079" s="75"/>
      <c r="D1079" s="75"/>
      <c r="E1079" s="75"/>
      <c r="F1079" s="75"/>
      <c r="G1079" s="75"/>
      <c r="H1079" s="75"/>
      <c r="I1079" s="75"/>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t="s">
        <v>439</v>
      </c>
      <c r="BG1079" s="75"/>
      <c r="BH1079" s="75"/>
      <c r="BI1079" s="75" t="s">
        <v>439</v>
      </c>
      <c r="BJ1079" s="75"/>
      <c r="BK1079" s="75"/>
      <c r="BL1079" s="75" t="s">
        <v>439</v>
      </c>
      <c r="BM1079" s="75"/>
    </row>
    <row r="1080" spans="1:65" ht="15" customHeight="1" x14ac:dyDescent="0.2">
      <c r="A1080" s="38"/>
      <c r="B1080" s="38"/>
      <c r="C1080" s="75"/>
      <c r="D1080" s="75"/>
      <c r="E1080" s="75"/>
      <c r="F1080" s="75"/>
      <c r="G1080" s="75"/>
      <c r="H1080" s="75"/>
      <c r="I1080" s="75"/>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t="s">
        <v>439</v>
      </c>
      <c r="BG1080" s="75"/>
      <c r="BH1080" s="75"/>
      <c r="BI1080" s="75" t="s">
        <v>439</v>
      </c>
      <c r="BJ1080" s="75"/>
      <c r="BK1080" s="75"/>
      <c r="BL1080" s="75" t="s">
        <v>439</v>
      </c>
      <c r="BM1080" s="75"/>
    </row>
    <row r="1081" spans="1:65" ht="15" customHeight="1" x14ac:dyDescent="0.2">
      <c r="A1081" s="38"/>
      <c r="B1081" s="38"/>
      <c r="C1081" s="75"/>
      <c r="D1081" s="75"/>
      <c r="E1081" s="75"/>
      <c r="F1081" s="75"/>
      <c r="G1081" s="75"/>
      <c r="H1081" s="75"/>
      <c r="I1081" s="75"/>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t="s">
        <v>439</v>
      </c>
      <c r="BG1081" s="75"/>
      <c r="BH1081" s="75"/>
      <c r="BI1081" s="75" t="s">
        <v>439</v>
      </c>
      <c r="BJ1081" s="75"/>
      <c r="BK1081" s="75"/>
      <c r="BL1081" s="75" t="s">
        <v>439</v>
      </c>
      <c r="BM1081" s="75"/>
    </row>
    <row r="1082" spans="1:65" ht="15" customHeight="1" x14ac:dyDescent="0.2">
      <c r="A1082" s="38"/>
      <c r="B1082" s="38"/>
      <c r="C1082" s="75"/>
      <c r="D1082" s="75"/>
      <c r="E1082" s="75"/>
      <c r="F1082" s="75"/>
      <c r="G1082" s="75"/>
      <c r="H1082" s="75"/>
      <c r="I1082" s="75"/>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t="s">
        <v>439</v>
      </c>
      <c r="BG1082" s="75"/>
      <c r="BH1082" s="75"/>
      <c r="BI1082" s="75" t="s">
        <v>439</v>
      </c>
      <c r="BJ1082" s="75"/>
      <c r="BK1082" s="75"/>
      <c r="BL1082" s="75" t="s">
        <v>439</v>
      </c>
      <c r="BM1082" s="75"/>
    </row>
    <row r="1083" spans="1:65" ht="15" customHeight="1" x14ac:dyDescent="0.2">
      <c r="A1083" s="38"/>
      <c r="B1083" s="38"/>
      <c r="C1083" s="75"/>
      <c r="D1083" s="75"/>
      <c r="E1083" s="75"/>
      <c r="F1083" s="75"/>
      <c r="G1083" s="75"/>
      <c r="H1083" s="75"/>
      <c r="I1083" s="75"/>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t="s">
        <v>439</v>
      </c>
      <c r="BG1083" s="75"/>
      <c r="BH1083" s="75"/>
      <c r="BI1083" s="75" t="s">
        <v>439</v>
      </c>
      <c r="BJ1083" s="75"/>
      <c r="BK1083" s="75"/>
      <c r="BL1083" s="75" t="s">
        <v>439</v>
      </c>
      <c r="BM1083" s="75"/>
    </row>
    <row r="1084" spans="1:65" ht="15" customHeight="1" x14ac:dyDescent="0.2">
      <c r="A1084" s="38"/>
      <c r="B1084" s="38"/>
      <c r="C1084" s="75"/>
      <c r="D1084" s="75"/>
      <c r="E1084" s="75"/>
      <c r="F1084" s="75"/>
      <c r="G1084" s="75"/>
      <c r="H1084" s="75"/>
      <c r="I1084" s="75"/>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t="s">
        <v>439</v>
      </c>
      <c r="BG1084" s="75"/>
      <c r="BH1084" s="75"/>
      <c r="BI1084" s="75" t="s">
        <v>439</v>
      </c>
      <c r="BJ1084" s="75"/>
      <c r="BK1084" s="75"/>
      <c r="BL1084" s="75" t="s">
        <v>439</v>
      </c>
      <c r="BM1084" s="75"/>
    </row>
    <row r="1085" spans="1:65" ht="15" customHeight="1" x14ac:dyDescent="0.2">
      <c r="A1085" s="38"/>
      <c r="B1085" s="38"/>
      <c r="C1085" s="75"/>
      <c r="D1085" s="75"/>
      <c r="E1085" s="75"/>
      <c r="F1085" s="75"/>
      <c r="G1085" s="75"/>
      <c r="H1085" s="75"/>
      <c r="I1085" s="75"/>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t="s">
        <v>439</v>
      </c>
      <c r="BG1085" s="75"/>
      <c r="BH1085" s="75"/>
      <c r="BI1085" s="75" t="s">
        <v>439</v>
      </c>
      <c r="BJ1085" s="75"/>
      <c r="BK1085" s="75"/>
      <c r="BL1085" s="75" t="s">
        <v>439</v>
      </c>
      <c r="BM1085" s="75"/>
    </row>
    <row r="1086" spans="1:65" ht="15" customHeight="1" x14ac:dyDescent="0.2">
      <c r="A1086" s="38"/>
      <c r="B1086" s="38"/>
      <c r="C1086" s="75"/>
      <c r="D1086" s="75"/>
      <c r="E1086" s="75"/>
      <c r="F1086" s="75"/>
      <c r="G1086" s="75"/>
      <c r="H1086" s="75"/>
      <c r="I1086" s="75"/>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t="s">
        <v>439</v>
      </c>
      <c r="BG1086" s="75"/>
      <c r="BH1086" s="75"/>
      <c r="BI1086" s="75" t="s">
        <v>439</v>
      </c>
      <c r="BJ1086" s="75"/>
      <c r="BK1086" s="75"/>
      <c r="BL1086" s="75" t="s">
        <v>439</v>
      </c>
      <c r="BM1086" s="75"/>
    </row>
    <row r="1087" spans="1:65" ht="15" customHeight="1" x14ac:dyDescent="0.2">
      <c r="A1087" s="38"/>
      <c r="B1087" s="38"/>
      <c r="C1087" s="75"/>
      <c r="D1087" s="75"/>
      <c r="E1087" s="75"/>
      <c r="F1087" s="75"/>
      <c r="G1087" s="75"/>
      <c r="H1087" s="75"/>
      <c r="I1087" s="75"/>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t="s">
        <v>439</v>
      </c>
      <c r="BG1087" s="75"/>
      <c r="BH1087" s="75"/>
      <c r="BI1087" s="75" t="s">
        <v>439</v>
      </c>
      <c r="BJ1087" s="75"/>
      <c r="BK1087" s="75"/>
      <c r="BL1087" s="75" t="s">
        <v>439</v>
      </c>
      <c r="BM1087" s="75"/>
    </row>
    <row r="1088" spans="1:65" ht="15" customHeight="1" x14ac:dyDescent="0.2">
      <c r="A1088" s="38"/>
      <c r="B1088" s="38"/>
      <c r="C1088" s="75"/>
      <c r="D1088" s="75"/>
      <c r="E1088" s="75"/>
      <c r="F1088" s="75"/>
      <c r="G1088" s="75"/>
      <c r="H1088" s="75"/>
      <c r="I1088" s="75"/>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t="s">
        <v>439</v>
      </c>
      <c r="BG1088" s="75"/>
      <c r="BH1088" s="75"/>
      <c r="BI1088" s="75" t="s">
        <v>439</v>
      </c>
      <c r="BJ1088" s="75"/>
      <c r="BK1088" s="75"/>
      <c r="BL1088" s="75" t="s">
        <v>439</v>
      </c>
      <c r="BM1088" s="75"/>
    </row>
    <row r="1089" spans="1:65" ht="15" customHeight="1" x14ac:dyDescent="0.2">
      <c r="A1089" s="38"/>
      <c r="B1089" s="38"/>
      <c r="C1089" s="75"/>
      <c r="D1089" s="75"/>
      <c r="E1089" s="75"/>
      <c r="F1089" s="75"/>
      <c r="G1089" s="75"/>
      <c r="H1089" s="75"/>
      <c r="I1089" s="75"/>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t="s">
        <v>439</v>
      </c>
      <c r="BG1089" s="75"/>
      <c r="BH1089" s="75"/>
      <c r="BI1089" s="75" t="s">
        <v>439</v>
      </c>
      <c r="BJ1089" s="75"/>
      <c r="BK1089" s="75"/>
      <c r="BL1089" s="75" t="s">
        <v>439</v>
      </c>
      <c r="BM1089" s="75"/>
    </row>
    <row r="1090" spans="1:65" ht="15" customHeight="1" x14ac:dyDescent="0.2">
      <c r="A1090" s="38"/>
      <c r="B1090" s="38"/>
      <c r="C1090" s="75"/>
      <c r="D1090" s="75"/>
      <c r="E1090" s="75"/>
      <c r="F1090" s="75"/>
      <c r="G1090" s="75"/>
      <c r="H1090" s="75"/>
      <c r="I1090" s="75"/>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t="s">
        <v>439</v>
      </c>
      <c r="BG1090" s="75"/>
      <c r="BH1090" s="75"/>
      <c r="BI1090" s="75" t="s">
        <v>439</v>
      </c>
      <c r="BJ1090" s="75"/>
      <c r="BK1090" s="75"/>
      <c r="BL1090" s="75" t="s">
        <v>439</v>
      </c>
      <c r="BM1090" s="75"/>
    </row>
    <row r="1091" spans="1:65" ht="15" customHeight="1" x14ac:dyDescent="0.2">
      <c r="A1091" s="38"/>
      <c r="B1091" s="38"/>
      <c r="C1091" s="75"/>
      <c r="D1091" s="75"/>
      <c r="E1091" s="75"/>
      <c r="F1091" s="75"/>
      <c r="G1091" s="75"/>
      <c r="H1091" s="75"/>
      <c r="I1091" s="75"/>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t="s">
        <v>439</v>
      </c>
      <c r="BG1091" s="75"/>
      <c r="BH1091" s="75"/>
      <c r="BI1091" s="75" t="s">
        <v>439</v>
      </c>
      <c r="BJ1091" s="75"/>
      <c r="BK1091" s="75"/>
      <c r="BL1091" s="75" t="s">
        <v>439</v>
      </c>
      <c r="BM1091" s="75"/>
    </row>
    <row r="1092" spans="1:65" ht="15" customHeight="1" x14ac:dyDescent="0.2">
      <c r="A1092" s="38"/>
      <c r="B1092" s="38"/>
      <c r="C1092" s="75"/>
      <c r="D1092" s="75"/>
      <c r="E1092" s="75"/>
      <c r="F1092" s="75"/>
      <c r="G1092" s="75"/>
      <c r="H1092" s="75"/>
      <c r="I1092" s="75"/>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t="s">
        <v>439</v>
      </c>
      <c r="BG1092" s="75"/>
      <c r="BH1092" s="75"/>
      <c r="BI1092" s="75" t="s">
        <v>439</v>
      </c>
      <c r="BJ1092" s="75"/>
      <c r="BK1092" s="75"/>
      <c r="BL1092" s="75" t="s">
        <v>439</v>
      </c>
      <c r="BM1092" s="75"/>
    </row>
    <row r="1093" spans="1:65" ht="15" customHeight="1" x14ac:dyDescent="0.2">
      <c r="A1093" s="38"/>
      <c r="B1093" s="38"/>
      <c r="C1093" s="75"/>
      <c r="D1093" s="75"/>
      <c r="E1093" s="75"/>
      <c r="F1093" s="75"/>
      <c r="G1093" s="75"/>
      <c r="H1093" s="75"/>
      <c r="I1093" s="75"/>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t="s">
        <v>439</v>
      </c>
      <c r="BG1093" s="75"/>
      <c r="BH1093" s="75"/>
      <c r="BI1093" s="75" t="s">
        <v>439</v>
      </c>
      <c r="BJ1093" s="75"/>
      <c r="BK1093" s="75"/>
      <c r="BL1093" s="75" t="s">
        <v>439</v>
      </c>
      <c r="BM1093" s="75"/>
    </row>
    <row r="1094" spans="1:65" ht="15" customHeight="1" x14ac:dyDescent="0.2">
      <c r="A1094" s="38"/>
      <c r="B1094" s="38"/>
      <c r="C1094" s="75"/>
      <c r="D1094" s="75"/>
      <c r="E1094" s="75"/>
      <c r="F1094" s="75"/>
      <c r="G1094" s="75"/>
      <c r="H1094" s="75"/>
      <c r="I1094" s="75"/>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t="s">
        <v>439</v>
      </c>
      <c r="BG1094" s="75"/>
      <c r="BH1094" s="75"/>
      <c r="BI1094" s="75" t="s">
        <v>439</v>
      </c>
      <c r="BJ1094" s="75"/>
      <c r="BK1094" s="75"/>
      <c r="BL1094" s="75" t="s">
        <v>439</v>
      </c>
      <c r="BM1094" s="75"/>
    </row>
    <row r="1095" spans="1:65" ht="15" customHeight="1" x14ac:dyDescent="0.2">
      <c r="A1095" s="38"/>
      <c r="B1095" s="38"/>
      <c r="C1095" s="75"/>
      <c r="D1095" s="75"/>
      <c r="E1095" s="75"/>
      <c r="F1095" s="75"/>
      <c r="G1095" s="75"/>
      <c r="H1095" s="75"/>
      <c r="I1095" s="75"/>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t="s">
        <v>439</v>
      </c>
      <c r="BG1095" s="75"/>
      <c r="BH1095" s="75"/>
      <c r="BI1095" s="75" t="s">
        <v>439</v>
      </c>
      <c r="BJ1095" s="75"/>
      <c r="BK1095" s="75"/>
      <c r="BL1095" s="75" t="s">
        <v>439</v>
      </c>
      <c r="BM1095" s="75"/>
    </row>
    <row r="1096" spans="1:65" ht="15" customHeight="1" x14ac:dyDescent="0.2">
      <c r="A1096" s="38"/>
      <c r="B1096" s="38"/>
      <c r="C1096" s="75"/>
      <c r="D1096" s="75"/>
      <c r="E1096" s="75"/>
      <c r="F1096" s="75"/>
      <c r="G1096" s="75"/>
      <c r="H1096" s="75"/>
      <c r="I1096" s="75"/>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t="s">
        <v>439</v>
      </c>
      <c r="BG1096" s="75"/>
      <c r="BH1096" s="75"/>
      <c r="BI1096" s="75" t="s">
        <v>439</v>
      </c>
      <c r="BJ1096" s="75"/>
      <c r="BK1096" s="75"/>
      <c r="BL1096" s="75" t="s">
        <v>439</v>
      </c>
      <c r="BM1096" s="75"/>
    </row>
    <row r="1097" spans="1:65" ht="15" customHeight="1" x14ac:dyDescent="0.2">
      <c r="A1097" s="38"/>
      <c r="B1097" s="38"/>
      <c r="C1097" s="75"/>
      <c r="D1097" s="75"/>
      <c r="E1097" s="75"/>
      <c r="F1097" s="75"/>
      <c r="G1097" s="75"/>
      <c r="H1097" s="75"/>
      <c r="I1097" s="75"/>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t="s">
        <v>439</v>
      </c>
      <c r="BG1097" s="75"/>
      <c r="BH1097" s="75"/>
      <c r="BI1097" s="75" t="s">
        <v>439</v>
      </c>
      <c r="BJ1097" s="75"/>
      <c r="BK1097" s="75"/>
      <c r="BL1097" s="75" t="s">
        <v>439</v>
      </c>
      <c r="BM1097" s="75"/>
    </row>
    <row r="1098" spans="1:65" ht="15" customHeight="1" x14ac:dyDescent="0.2">
      <c r="A1098" s="38"/>
      <c r="B1098" s="38"/>
      <c r="C1098" s="75"/>
      <c r="D1098" s="75"/>
      <c r="E1098" s="75"/>
      <c r="F1098" s="75"/>
      <c r="G1098" s="75"/>
      <c r="H1098" s="75"/>
      <c r="I1098" s="75"/>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t="s">
        <v>439</v>
      </c>
      <c r="BG1098" s="75"/>
      <c r="BH1098" s="75"/>
      <c r="BI1098" s="75" t="s">
        <v>439</v>
      </c>
      <c r="BJ1098" s="75"/>
      <c r="BK1098" s="75"/>
      <c r="BL1098" s="75" t="s">
        <v>439</v>
      </c>
      <c r="BM1098" s="75"/>
    </row>
    <row r="1099" spans="1:65" ht="15" customHeight="1" x14ac:dyDescent="0.2">
      <c r="A1099" s="38"/>
      <c r="B1099" s="38"/>
      <c r="C1099" s="75"/>
      <c r="D1099" s="75"/>
      <c r="E1099" s="75"/>
      <c r="F1099" s="75"/>
      <c r="G1099" s="75"/>
      <c r="H1099" s="75"/>
      <c r="I1099" s="75"/>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t="s">
        <v>439</v>
      </c>
      <c r="BG1099" s="75"/>
      <c r="BH1099" s="75"/>
      <c r="BI1099" s="75" t="s">
        <v>439</v>
      </c>
      <c r="BJ1099" s="75"/>
      <c r="BK1099" s="75"/>
      <c r="BL1099" s="75" t="s">
        <v>439</v>
      </c>
      <c r="BM1099" s="75"/>
    </row>
    <row r="1100" spans="1:65" ht="15" customHeight="1" x14ac:dyDescent="0.2">
      <c r="A1100" s="38"/>
      <c r="B1100" s="38"/>
      <c r="C1100" s="75"/>
      <c r="D1100" s="75"/>
      <c r="E1100" s="75"/>
      <c r="F1100" s="75"/>
      <c r="G1100" s="75"/>
      <c r="H1100" s="75"/>
      <c r="I1100" s="75"/>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t="s">
        <v>439</v>
      </c>
      <c r="BG1100" s="75"/>
      <c r="BH1100" s="75"/>
      <c r="BI1100" s="75" t="s">
        <v>439</v>
      </c>
      <c r="BJ1100" s="75"/>
      <c r="BK1100" s="75"/>
      <c r="BL1100" s="75" t="s">
        <v>439</v>
      </c>
      <c r="BM1100" s="75"/>
    </row>
    <row r="1101" spans="1:65" ht="15" customHeight="1" x14ac:dyDescent="0.2">
      <c r="A1101" s="38"/>
      <c r="B1101" s="38"/>
      <c r="C1101" s="75"/>
      <c r="D1101" s="75"/>
      <c r="E1101" s="75"/>
      <c r="F1101" s="75"/>
      <c r="G1101" s="75"/>
      <c r="H1101" s="75"/>
      <c r="I1101" s="75"/>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t="s">
        <v>439</v>
      </c>
      <c r="BG1101" s="75"/>
      <c r="BH1101" s="75"/>
      <c r="BI1101" s="75" t="s">
        <v>439</v>
      </c>
      <c r="BJ1101" s="75"/>
      <c r="BK1101" s="75"/>
      <c r="BL1101" s="75" t="s">
        <v>439</v>
      </c>
      <c r="BM1101" s="75"/>
    </row>
    <row r="1102" spans="1:65" ht="15" customHeight="1" x14ac:dyDescent="0.2">
      <c r="A1102" s="38"/>
      <c r="B1102" s="38"/>
      <c r="C1102" s="75"/>
      <c r="D1102" s="75"/>
      <c r="E1102" s="75"/>
      <c r="F1102" s="75"/>
      <c r="G1102" s="75"/>
      <c r="H1102" s="75"/>
      <c r="I1102" s="75"/>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t="s">
        <v>439</v>
      </c>
      <c r="BG1102" s="75"/>
      <c r="BH1102" s="75"/>
      <c r="BI1102" s="75" t="s">
        <v>439</v>
      </c>
      <c r="BJ1102" s="75"/>
      <c r="BK1102" s="75"/>
      <c r="BL1102" s="75" t="s">
        <v>439</v>
      </c>
      <c r="BM1102" s="75"/>
    </row>
    <row r="1103" spans="1:65" ht="15" customHeight="1" x14ac:dyDescent="0.2">
      <c r="A1103" s="38"/>
      <c r="B1103" s="38"/>
      <c r="C1103" s="75"/>
      <c r="D1103" s="75"/>
      <c r="E1103" s="75"/>
      <c r="F1103" s="75"/>
      <c r="G1103" s="75"/>
      <c r="H1103" s="75"/>
      <c r="I1103" s="75"/>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t="s">
        <v>439</v>
      </c>
      <c r="BG1103" s="75"/>
      <c r="BH1103" s="75"/>
      <c r="BI1103" s="75" t="s">
        <v>439</v>
      </c>
      <c r="BJ1103" s="75"/>
      <c r="BK1103" s="75"/>
      <c r="BL1103" s="75" t="s">
        <v>439</v>
      </c>
      <c r="BM1103" s="75"/>
    </row>
    <row r="1104" spans="1:65" ht="15" customHeight="1" x14ac:dyDescent="0.2">
      <c r="A1104" s="38"/>
      <c r="B1104" s="38"/>
      <c r="C1104" s="75"/>
      <c r="D1104" s="75"/>
      <c r="E1104" s="75"/>
      <c r="F1104" s="75"/>
      <c r="G1104" s="75"/>
      <c r="H1104" s="75"/>
      <c r="I1104" s="75"/>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t="s">
        <v>439</v>
      </c>
      <c r="BG1104" s="75"/>
      <c r="BH1104" s="75"/>
      <c r="BI1104" s="75" t="s">
        <v>439</v>
      </c>
      <c r="BJ1104" s="75"/>
      <c r="BK1104" s="75"/>
      <c r="BL1104" s="75" t="s">
        <v>439</v>
      </c>
      <c r="BM1104" s="75"/>
    </row>
    <row r="1105" spans="1:65" ht="15" customHeight="1" x14ac:dyDescent="0.2">
      <c r="A1105" s="38"/>
      <c r="B1105" s="38"/>
      <c r="C1105" s="75"/>
      <c r="D1105" s="75"/>
      <c r="E1105" s="75"/>
      <c r="F1105" s="75"/>
      <c r="G1105" s="75"/>
      <c r="H1105" s="75"/>
      <c r="I1105" s="75"/>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t="s">
        <v>439</v>
      </c>
      <c r="BG1105" s="75"/>
      <c r="BH1105" s="75"/>
      <c r="BI1105" s="75" t="s">
        <v>439</v>
      </c>
      <c r="BJ1105" s="75"/>
      <c r="BK1105" s="75"/>
      <c r="BL1105" s="75" t="s">
        <v>439</v>
      </c>
      <c r="BM1105" s="75"/>
    </row>
    <row r="1106" spans="1:65" ht="15" customHeight="1" x14ac:dyDescent="0.2">
      <c r="A1106" s="38"/>
      <c r="B1106" s="38"/>
      <c r="C1106" s="75"/>
      <c r="D1106" s="75"/>
      <c r="E1106" s="75"/>
      <c r="F1106" s="75"/>
      <c r="G1106" s="75"/>
      <c r="H1106" s="75"/>
      <c r="I1106" s="75"/>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t="s">
        <v>439</v>
      </c>
      <c r="BG1106" s="75"/>
      <c r="BH1106" s="75"/>
      <c r="BI1106" s="75" t="s">
        <v>439</v>
      </c>
      <c r="BJ1106" s="75"/>
      <c r="BK1106" s="75"/>
      <c r="BL1106" s="75" t="s">
        <v>439</v>
      </c>
      <c r="BM1106" s="75"/>
    </row>
    <row r="1107" spans="1:65" ht="15" customHeight="1" x14ac:dyDescent="0.2">
      <c r="A1107" s="38"/>
      <c r="B1107" s="38"/>
      <c r="C1107" s="75"/>
      <c r="D1107" s="75"/>
      <c r="E1107" s="75"/>
      <c r="F1107" s="75"/>
      <c r="G1107" s="75"/>
      <c r="H1107" s="75"/>
      <c r="I1107" s="75"/>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t="s">
        <v>439</v>
      </c>
      <c r="BG1107" s="75"/>
      <c r="BH1107" s="75"/>
      <c r="BI1107" s="75" t="s">
        <v>439</v>
      </c>
      <c r="BJ1107" s="75"/>
      <c r="BK1107" s="75"/>
      <c r="BL1107" s="75" t="s">
        <v>439</v>
      </c>
      <c r="BM1107" s="75"/>
    </row>
    <row r="1108" spans="1:65" ht="15" customHeight="1" x14ac:dyDescent="0.2">
      <c r="A1108" s="38"/>
      <c r="B1108" s="38"/>
      <c r="C1108" s="75"/>
      <c r="D1108" s="75"/>
      <c r="E1108" s="75"/>
      <c r="F1108" s="75"/>
      <c r="G1108" s="75"/>
      <c r="H1108" s="75"/>
      <c r="I1108" s="75"/>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t="s">
        <v>439</v>
      </c>
      <c r="BG1108" s="75"/>
      <c r="BH1108" s="75"/>
      <c r="BI1108" s="75" t="s">
        <v>439</v>
      </c>
      <c r="BJ1108" s="75"/>
      <c r="BK1108" s="75"/>
      <c r="BL1108" s="75" t="s">
        <v>439</v>
      </c>
      <c r="BM1108" s="75"/>
    </row>
    <row r="1109" spans="1:65" ht="15" customHeight="1" x14ac:dyDescent="0.2">
      <c r="A1109" s="38"/>
      <c r="B1109" s="38"/>
      <c r="C1109" s="75"/>
      <c r="D1109" s="75"/>
      <c r="E1109" s="75"/>
      <c r="F1109" s="75"/>
      <c r="G1109" s="75"/>
      <c r="H1109" s="75"/>
      <c r="I1109" s="75"/>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t="s">
        <v>439</v>
      </c>
      <c r="BG1109" s="75"/>
      <c r="BH1109" s="75"/>
      <c r="BI1109" s="75" t="s">
        <v>439</v>
      </c>
      <c r="BJ1109" s="75"/>
      <c r="BK1109" s="75"/>
      <c r="BL1109" s="75" t="s">
        <v>439</v>
      </c>
      <c r="BM1109" s="75"/>
    </row>
    <row r="1110" spans="1:65" ht="15" customHeight="1" x14ac:dyDescent="0.2">
      <c r="A1110" s="38"/>
      <c r="B1110" s="38"/>
      <c r="C1110" s="75"/>
      <c r="D1110" s="75"/>
      <c r="E1110" s="75"/>
      <c r="F1110" s="75"/>
      <c r="G1110" s="75"/>
      <c r="H1110" s="75"/>
      <c r="I1110" s="75"/>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t="s">
        <v>439</v>
      </c>
      <c r="BG1110" s="75"/>
      <c r="BH1110" s="75"/>
      <c r="BI1110" s="75" t="s">
        <v>439</v>
      </c>
      <c r="BJ1110" s="75"/>
      <c r="BK1110" s="75"/>
      <c r="BL1110" s="75" t="s">
        <v>439</v>
      </c>
      <c r="BM1110" s="75"/>
    </row>
    <row r="1111" spans="1:65" ht="15" customHeight="1" x14ac:dyDescent="0.2">
      <c r="A1111" s="38"/>
      <c r="B1111" s="38"/>
      <c r="C1111" s="75"/>
      <c r="D1111" s="75"/>
      <c r="E1111" s="75"/>
      <c r="F1111" s="75"/>
      <c r="G1111" s="75"/>
      <c r="H1111" s="75"/>
      <c r="I1111" s="75"/>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t="s">
        <v>439</v>
      </c>
      <c r="BG1111" s="75"/>
      <c r="BH1111" s="75"/>
      <c r="BI1111" s="75" t="s">
        <v>439</v>
      </c>
      <c r="BJ1111" s="75"/>
      <c r="BK1111" s="75"/>
      <c r="BL1111" s="75" t="s">
        <v>439</v>
      </c>
      <c r="BM1111" s="75"/>
    </row>
    <row r="1112" spans="1:65" ht="15" customHeight="1" x14ac:dyDescent="0.2">
      <c r="A1112" s="38"/>
      <c r="B1112" s="38"/>
      <c r="C1112" s="75"/>
      <c r="D1112" s="75"/>
      <c r="E1112" s="75"/>
      <c r="F1112" s="75"/>
      <c r="G1112" s="75"/>
      <c r="H1112" s="75"/>
      <c r="I1112" s="75"/>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t="s">
        <v>439</v>
      </c>
      <c r="BG1112" s="75"/>
      <c r="BH1112" s="75"/>
      <c r="BI1112" s="75" t="s">
        <v>439</v>
      </c>
      <c r="BJ1112" s="75"/>
      <c r="BK1112" s="75"/>
      <c r="BL1112" s="75" t="s">
        <v>439</v>
      </c>
      <c r="BM1112" s="75"/>
    </row>
    <row r="1113" spans="1:65" ht="15" customHeight="1" x14ac:dyDescent="0.2">
      <c r="A1113" s="38"/>
      <c r="B1113" s="38"/>
      <c r="C1113" s="75"/>
      <c r="D1113" s="75"/>
      <c r="E1113" s="75"/>
      <c r="F1113" s="75"/>
      <c r="G1113" s="75"/>
      <c r="H1113" s="75"/>
      <c r="I1113" s="75"/>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t="s">
        <v>439</v>
      </c>
      <c r="BG1113" s="75"/>
      <c r="BH1113" s="75"/>
      <c r="BI1113" s="75" t="s">
        <v>439</v>
      </c>
      <c r="BJ1113" s="75"/>
      <c r="BK1113" s="75"/>
      <c r="BL1113" s="75" t="s">
        <v>439</v>
      </c>
      <c r="BM1113" s="75"/>
    </row>
    <row r="1114" spans="1:65" ht="15" customHeight="1" x14ac:dyDescent="0.2">
      <c r="A1114" s="38"/>
      <c r="B1114" s="38"/>
      <c r="C1114" s="75"/>
      <c r="D1114" s="75"/>
      <c r="E1114" s="75"/>
      <c r="F1114" s="75"/>
      <c r="G1114" s="75"/>
      <c r="H1114" s="75"/>
      <c r="I1114" s="75"/>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t="s">
        <v>439</v>
      </c>
      <c r="BG1114" s="75"/>
      <c r="BH1114" s="75"/>
      <c r="BI1114" s="75" t="s">
        <v>439</v>
      </c>
      <c r="BJ1114" s="75"/>
      <c r="BK1114" s="75"/>
      <c r="BL1114" s="75" t="s">
        <v>439</v>
      </c>
      <c r="BM1114" s="75"/>
    </row>
    <row r="1115" spans="1:65" ht="15" customHeight="1" x14ac:dyDescent="0.2">
      <c r="A1115" s="38"/>
      <c r="B1115" s="38"/>
      <c r="C1115" s="75"/>
      <c r="D1115" s="75"/>
      <c r="E1115" s="75"/>
      <c r="F1115" s="75"/>
      <c r="G1115" s="75"/>
      <c r="H1115" s="75"/>
      <c r="I1115" s="75"/>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t="s">
        <v>439</v>
      </c>
      <c r="BG1115" s="75"/>
      <c r="BH1115" s="75"/>
      <c r="BI1115" s="75" t="s">
        <v>439</v>
      </c>
      <c r="BJ1115" s="75"/>
      <c r="BK1115" s="75"/>
      <c r="BL1115" s="75" t="s">
        <v>439</v>
      </c>
      <c r="BM1115" s="75"/>
    </row>
    <row r="1116" spans="1:65" ht="15" customHeight="1" x14ac:dyDescent="0.2">
      <c r="A1116" s="38"/>
      <c r="B1116" s="38"/>
      <c r="C1116" s="75"/>
      <c r="D1116" s="75"/>
      <c r="E1116" s="75"/>
      <c r="F1116" s="75"/>
      <c r="G1116" s="75"/>
      <c r="H1116" s="75"/>
      <c r="I1116" s="75"/>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t="s">
        <v>439</v>
      </c>
      <c r="BG1116" s="75"/>
      <c r="BH1116" s="75"/>
      <c r="BI1116" s="75" t="s">
        <v>439</v>
      </c>
      <c r="BJ1116" s="75"/>
      <c r="BK1116" s="75"/>
      <c r="BL1116" s="75" t="s">
        <v>439</v>
      </c>
      <c r="BM1116" s="75"/>
    </row>
    <row r="1117" spans="1:65" ht="15" customHeight="1" x14ac:dyDescent="0.2">
      <c r="A1117" s="38"/>
      <c r="B1117" s="38"/>
      <c r="C1117" s="75"/>
      <c r="D1117" s="75"/>
      <c r="E1117" s="75"/>
      <c r="F1117" s="75"/>
      <c r="G1117" s="75"/>
      <c r="H1117" s="75"/>
      <c r="I1117" s="75"/>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t="s">
        <v>439</v>
      </c>
      <c r="BG1117" s="75"/>
      <c r="BH1117" s="75"/>
      <c r="BI1117" s="75" t="s">
        <v>439</v>
      </c>
      <c r="BJ1117" s="75"/>
      <c r="BK1117" s="75"/>
      <c r="BL1117" s="75" t="s">
        <v>439</v>
      </c>
      <c r="BM1117" s="75"/>
    </row>
    <row r="1118" spans="1:65" ht="15" customHeight="1" x14ac:dyDescent="0.2">
      <c r="A1118" s="38"/>
      <c r="B1118" s="38"/>
      <c r="C1118" s="75"/>
      <c r="D1118" s="75"/>
      <c r="E1118" s="75"/>
      <c r="F1118" s="75"/>
      <c r="G1118" s="75"/>
      <c r="H1118" s="75"/>
      <c r="I1118" s="75"/>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t="s">
        <v>439</v>
      </c>
      <c r="BG1118" s="75"/>
      <c r="BH1118" s="75"/>
      <c r="BI1118" s="75" t="s">
        <v>439</v>
      </c>
      <c r="BJ1118" s="75"/>
      <c r="BK1118" s="75"/>
      <c r="BL1118" s="75" t="s">
        <v>439</v>
      </c>
      <c r="BM1118" s="75"/>
    </row>
    <row r="1119" spans="1:65" ht="15" customHeight="1" x14ac:dyDescent="0.2">
      <c r="A1119" s="38"/>
      <c r="B1119" s="38"/>
      <c r="C1119" s="75"/>
      <c r="D1119" s="75"/>
      <c r="E1119" s="75"/>
      <c r="F1119" s="75"/>
      <c r="G1119" s="75"/>
      <c r="H1119" s="75"/>
      <c r="I1119" s="75"/>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t="s">
        <v>439</v>
      </c>
      <c r="BG1119" s="75"/>
      <c r="BH1119" s="75"/>
      <c r="BI1119" s="75" t="s">
        <v>439</v>
      </c>
      <c r="BJ1119" s="75"/>
      <c r="BK1119" s="75"/>
      <c r="BL1119" s="75" t="s">
        <v>439</v>
      </c>
      <c r="BM1119" s="75"/>
    </row>
    <row r="1120" spans="1:65" ht="15" customHeight="1" x14ac:dyDescent="0.2">
      <c r="A1120" s="38"/>
      <c r="B1120" s="38"/>
      <c r="C1120" s="75"/>
      <c r="D1120" s="75"/>
      <c r="E1120" s="75"/>
      <c r="F1120" s="75"/>
      <c r="G1120" s="75"/>
      <c r="H1120" s="75"/>
      <c r="I1120" s="75"/>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t="s">
        <v>439</v>
      </c>
      <c r="BG1120" s="75"/>
      <c r="BH1120" s="75"/>
      <c r="BI1120" s="75" t="s">
        <v>439</v>
      </c>
      <c r="BJ1120" s="75"/>
      <c r="BK1120" s="75"/>
      <c r="BL1120" s="75" t="s">
        <v>439</v>
      </c>
      <c r="BM1120" s="75"/>
    </row>
    <row r="1121" spans="1:65" ht="15" customHeight="1" x14ac:dyDescent="0.2">
      <c r="A1121" s="38"/>
      <c r="B1121" s="38"/>
      <c r="C1121" s="75"/>
      <c r="D1121" s="75"/>
      <c r="E1121" s="75"/>
      <c r="F1121" s="75"/>
      <c r="G1121" s="75"/>
      <c r="H1121" s="75"/>
      <c r="I1121" s="75"/>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t="s">
        <v>439</v>
      </c>
      <c r="BG1121" s="75"/>
      <c r="BH1121" s="75"/>
      <c r="BI1121" s="75" t="s">
        <v>439</v>
      </c>
      <c r="BJ1121" s="75"/>
      <c r="BK1121" s="75"/>
      <c r="BL1121" s="75" t="s">
        <v>439</v>
      </c>
      <c r="BM1121" s="75"/>
    </row>
    <row r="1122" spans="1:65" ht="15" customHeight="1" x14ac:dyDescent="0.2">
      <c r="A1122" s="38"/>
      <c r="B1122" s="38"/>
      <c r="C1122" s="75"/>
      <c r="D1122" s="75"/>
      <c r="E1122" s="75"/>
      <c r="F1122" s="75"/>
      <c r="G1122" s="75"/>
      <c r="H1122" s="75"/>
      <c r="I1122" s="75"/>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t="s">
        <v>439</v>
      </c>
      <c r="BG1122" s="75"/>
      <c r="BH1122" s="75"/>
      <c r="BI1122" s="75" t="s">
        <v>439</v>
      </c>
      <c r="BJ1122" s="75"/>
      <c r="BK1122" s="75"/>
      <c r="BL1122" s="75" t="s">
        <v>439</v>
      </c>
      <c r="BM1122" s="75"/>
    </row>
    <row r="1123" spans="1:65" ht="15" customHeight="1" x14ac:dyDescent="0.2">
      <c r="A1123" s="38"/>
      <c r="B1123" s="38"/>
      <c r="C1123" s="75"/>
      <c r="D1123" s="75"/>
      <c r="E1123" s="75"/>
      <c r="F1123" s="75"/>
      <c r="G1123" s="75"/>
      <c r="H1123" s="75"/>
      <c r="I1123" s="75"/>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t="s">
        <v>439</v>
      </c>
      <c r="BG1123" s="75"/>
      <c r="BH1123" s="75"/>
      <c r="BI1123" s="75" t="s">
        <v>439</v>
      </c>
      <c r="BJ1123" s="75"/>
      <c r="BK1123" s="75"/>
      <c r="BL1123" s="75" t="s">
        <v>439</v>
      </c>
      <c r="BM1123" s="75"/>
    </row>
    <row r="1124" spans="1:65" ht="15" customHeight="1" x14ac:dyDescent="0.2">
      <c r="A1124" s="38"/>
      <c r="B1124" s="38"/>
      <c r="C1124" s="75"/>
      <c r="D1124" s="75"/>
      <c r="E1124" s="75"/>
      <c r="F1124" s="75"/>
      <c r="G1124" s="75"/>
      <c r="H1124" s="75"/>
      <c r="I1124" s="75"/>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t="s">
        <v>439</v>
      </c>
      <c r="BG1124" s="75"/>
      <c r="BH1124" s="75"/>
      <c r="BI1124" s="75" t="s">
        <v>439</v>
      </c>
      <c r="BJ1124" s="75"/>
      <c r="BK1124" s="75"/>
      <c r="BL1124" s="75" t="s">
        <v>439</v>
      </c>
      <c r="BM1124" s="75"/>
    </row>
    <row r="1125" spans="1:65" ht="15" customHeight="1" x14ac:dyDescent="0.2">
      <c r="A1125" s="38"/>
      <c r="B1125" s="38"/>
      <c r="C1125" s="75"/>
      <c r="D1125" s="75"/>
      <c r="E1125" s="75"/>
      <c r="F1125" s="75"/>
      <c r="G1125" s="75"/>
      <c r="H1125" s="75"/>
      <c r="I1125" s="75"/>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t="s">
        <v>439</v>
      </c>
      <c r="BG1125" s="75"/>
      <c r="BH1125" s="75"/>
      <c r="BI1125" s="75" t="s">
        <v>439</v>
      </c>
      <c r="BJ1125" s="75"/>
      <c r="BK1125" s="75"/>
      <c r="BL1125" s="75" t="s">
        <v>439</v>
      </c>
      <c r="BM1125" s="75"/>
    </row>
    <row r="1126" spans="1:65" ht="15" customHeight="1" x14ac:dyDescent="0.2">
      <c r="A1126" s="38"/>
      <c r="B1126" s="38"/>
      <c r="C1126" s="75"/>
      <c r="D1126" s="75"/>
      <c r="E1126" s="75"/>
      <c r="F1126" s="75"/>
      <c r="G1126" s="75"/>
      <c r="H1126" s="75"/>
      <c r="I1126" s="75"/>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t="s">
        <v>439</v>
      </c>
      <c r="BG1126" s="75"/>
      <c r="BH1126" s="75"/>
      <c r="BI1126" s="75" t="s">
        <v>439</v>
      </c>
      <c r="BJ1126" s="75"/>
      <c r="BK1126" s="75"/>
      <c r="BL1126" s="75" t="s">
        <v>439</v>
      </c>
      <c r="BM1126" s="75"/>
    </row>
    <row r="1127" spans="1:65" ht="15" customHeight="1" x14ac:dyDescent="0.2">
      <c r="A1127" s="38"/>
      <c r="B1127" s="38"/>
      <c r="C1127" s="75"/>
      <c r="D1127" s="75"/>
      <c r="E1127" s="75"/>
      <c r="F1127" s="75"/>
      <c r="G1127" s="75"/>
      <c r="H1127" s="75"/>
      <c r="I1127" s="75"/>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t="s">
        <v>439</v>
      </c>
      <c r="BG1127" s="75"/>
      <c r="BH1127" s="75"/>
      <c r="BI1127" s="75" t="s">
        <v>439</v>
      </c>
      <c r="BJ1127" s="75"/>
      <c r="BK1127" s="75"/>
      <c r="BL1127" s="75" t="s">
        <v>439</v>
      </c>
      <c r="BM1127" s="75"/>
    </row>
    <row r="1128" spans="1:65" ht="15" customHeight="1" x14ac:dyDescent="0.2">
      <c r="A1128" s="38"/>
      <c r="B1128" s="38"/>
      <c r="C1128" s="75"/>
      <c r="D1128" s="75"/>
      <c r="E1128" s="75"/>
      <c r="F1128" s="75"/>
      <c r="G1128" s="75"/>
      <c r="H1128" s="75"/>
      <c r="I1128" s="75"/>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t="s">
        <v>439</v>
      </c>
      <c r="BG1128" s="75"/>
      <c r="BH1128" s="75"/>
      <c r="BI1128" s="75" t="s">
        <v>439</v>
      </c>
      <c r="BJ1128" s="75"/>
      <c r="BK1128" s="75"/>
      <c r="BL1128" s="75" t="s">
        <v>439</v>
      </c>
      <c r="BM1128" s="75"/>
    </row>
    <row r="1129" spans="1:65" ht="15" customHeight="1" x14ac:dyDescent="0.2">
      <c r="A1129" s="38"/>
      <c r="B1129" s="38"/>
      <c r="C1129" s="75"/>
      <c r="D1129" s="75"/>
      <c r="E1129" s="75"/>
      <c r="F1129" s="75"/>
      <c r="G1129" s="75"/>
      <c r="H1129" s="75"/>
      <c r="I1129" s="75"/>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t="s">
        <v>439</v>
      </c>
      <c r="BG1129" s="75"/>
      <c r="BH1129" s="75"/>
      <c r="BI1129" s="75" t="s">
        <v>439</v>
      </c>
      <c r="BJ1129" s="75"/>
      <c r="BK1129" s="75"/>
      <c r="BL1129" s="75" t="s">
        <v>439</v>
      </c>
      <c r="BM1129" s="75"/>
    </row>
    <row r="1130" spans="1:65" ht="15" customHeight="1" x14ac:dyDescent="0.2">
      <c r="A1130" s="38"/>
      <c r="B1130" s="38"/>
      <c r="C1130" s="75"/>
      <c r="D1130" s="75"/>
      <c r="E1130" s="75"/>
      <c r="F1130" s="75"/>
      <c r="G1130" s="75"/>
      <c r="H1130" s="75"/>
      <c r="I1130" s="75"/>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t="s">
        <v>439</v>
      </c>
      <c r="BG1130" s="75"/>
      <c r="BH1130" s="75"/>
      <c r="BI1130" s="75" t="s">
        <v>439</v>
      </c>
      <c r="BJ1130" s="75"/>
      <c r="BK1130" s="75"/>
      <c r="BL1130" s="75" t="s">
        <v>439</v>
      </c>
      <c r="BM1130" s="75"/>
    </row>
    <row r="1131" spans="1:65" ht="15" customHeight="1" x14ac:dyDescent="0.2">
      <c r="A1131" s="38"/>
      <c r="B1131" s="38"/>
      <c r="C1131" s="75"/>
      <c r="D1131" s="75"/>
      <c r="E1131" s="75"/>
      <c r="F1131" s="75"/>
      <c r="G1131" s="75"/>
      <c r="H1131" s="75"/>
      <c r="I1131" s="75"/>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t="s">
        <v>439</v>
      </c>
      <c r="BG1131" s="75"/>
      <c r="BH1131" s="75"/>
      <c r="BI1131" s="75" t="s">
        <v>439</v>
      </c>
      <c r="BJ1131" s="75"/>
      <c r="BK1131" s="75"/>
      <c r="BL1131" s="75" t="s">
        <v>439</v>
      </c>
      <c r="BM1131" s="75"/>
    </row>
    <row r="1132" spans="1:65" ht="15" customHeight="1" x14ac:dyDescent="0.2">
      <c r="A1132" s="38"/>
      <c r="B1132" s="38"/>
      <c r="C1132" s="75"/>
      <c r="D1132" s="75"/>
      <c r="E1132" s="75"/>
      <c r="F1132" s="75"/>
      <c r="G1132" s="75"/>
      <c r="H1132" s="75"/>
      <c r="I1132" s="75"/>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t="s">
        <v>439</v>
      </c>
      <c r="BG1132" s="75"/>
      <c r="BH1132" s="75"/>
      <c r="BI1132" s="75" t="s">
        <v>439</v>
      </c>
      <c r="BJ1132" s="75"/>
      <c r="BK1132" s="75"/>
      <c r="BL1132" s="75" t="s">
        <v>439</v>
      </c>
      <c r="BM1132" s="75"/>
    </row>
    <row r="1133" spans="1:65" ht="15" customHeight="1" x14ac:dyDescent="0.2">
      <c r="A1133" s="38"/>
      <c r="B1133" s="38"/>
      <c r="C1133" s="75"/>
      <c r="D1133" s="75"/>
      <c r="E1133" s="75"/>
      <c r="F1133" s="75"/>
      <c r="G1133" s="75"/>
      <c r="H1133" s="75"/>
      <c r="I1133" s="75"/>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t="s">
        <v>439</v>
      </c>
      <c r="BG1133" s="75"/>
      <c r="BH1133" s="75"/>
      <c r="BI1133" s="75" t="s">
        <v>439</v>
      </c>
      <c r="BJ1133" s="75"/>
      <c r="BK1133" s="75"/>
      <c r="BL1133" s="75" t="s">
        <v>439</v>
      </c>
      <c r="BM1133" s="75"/>
    </row>
    <row r="1134" spans="1:65" ht="15" customHeight="1" x14ac:dyDescent="0.2">
      <c r="A1134" s="38"/>
      <c r="B1134" s="38"/>
      <c r="C1134" s="75"/>
      <c r="D1134" s="75"/>
      <c r="E1134" s="75"/>
      <c r="F1134" s="75"/>
      <c r="G1134" s="75"/>
      <c r="H1134" s="75"/>
      <c r="I1134" s="75"/>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t="s">
        <v>439</v>
      </c>
      <c r="BG1134" s="75"/>
      <c r="BH1134" s="75"/>
      <c r="BI1134" s="75" t="s">
        <v>439</v>
      </c>
      <c r="BJ1134" s="75"/>
      <c r="BK1134" s="75"/>
      <c r="BL1134" s="75" t="s">
        <v>439</v>
      </c>
      <c r="BM1134" s="75"/>
    </row>
    <row r="1135" spans="1:65" ht="15" customHeight="1" x14ac:dyDescent="0.2">
      <c r="A1135" s="38"/>
      <c r="B1135" s="38"/>
      <c r="C1135" s="75"/>
      <c r="D1135" s="75"/>
      <c r="E1135" s="75"/>
      <c r="F1135" s="75"/>
      <c r="G1135" s="75"/>
      <c r="H1135" s="75"/>
      <c r="I1135" s="75"/>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t="s">
        <v>439</v>
      </c>
      <c r="BG1135" s="75"/>
      <c r="BH1135" s="75"/>
      <c r="BI1135" s="75" t="s">
        <v>439</v>
      </c>
      <c r="BJ1135" s="75"/>
      <c r="BK1135" s="75"/>
      <c r="BL1135" s="75" t="s">
        <v>439</v>
      </c>
      <c r="BM1135" s="75"/>
    </row>
    <row r="1136" spans="1:65" ht="15" customHeight="1" x14ac:dyDescent="0.2">
      <c r="A1136" s="38"/>
      <c r="B1136" s="38"/>
      <c r="C1136" s="75"/>
      <c r="D1136" s="75"/>
      <c r="E1136" s="75"/>
      <c r="F1136" s="75"/>
      <c r="G1136" s="75"/>
      <c r="H1136" s="75"/>
      <c r="I1136" s="75"/>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t="s">
        <v>439</v>
      </c>
      <c r="BG1136" s="75"/>
      <c r="BH1136" s="75"/>
      <c r="BI1136" s="75" t="s">
        <v>439</v>
      </c>
      <c r="BJ1136" s="75"/>
      <c r="BK1136" s="75"/>
      <c r="BL1136" s="75" t="s">
        <v>439</v>
      </c>
      <c r="BM1136" s="75"/>
    </row>
    <row r="1137" spans="1:65" ht="15" customHeight="1" x14ac:dyDescent="0.2">
      <c r="A1137" s="38"/>
      <c r="B1137" s="38"/>
      <c r="C1137" s="75"/>
      <c r="D1137" s="75"/>
      <c r="E1137" s="75"/>
      <c r="F1137" s="75"/>
      <c r="G1137" s="75"/>
      <c r="H1137" s="75"/>
      <c r="I1137" s="75"/>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t="s">
        <v>439</v>
      </c>
      <c r="BG1137" s="75"/>
      <c r="BH1137" s="75"/>
      <c r="BI1137" s="75" t="s">
        <v>439</v>
      </c>
      <c r="BJ1137" s="75"/>
      <c r="BK1137" s="75"/>
      <c r="BL1137" s="75" t="s">
        <v>439</v>
      </c>
      <c r="BM1137" s="75"/>
    </row>
    <row r="1138" spans="1:65" ht="15" customHeight="1" x14ac:dyDescent="0.2">
      <c r="A1138" s="38"/>
      <c r="B1138" s="38"/>
      <c r="C1138" s="75"/>
      <c r="D1138" s="75"/>
      <c r="E1138" s="75"/>
      <c r="F1138" s="75"/>
      <c r="G1138" s="75"/>
      <c r="H1138" s="75"/>
      <c r="I1138" s="75"/>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t="s">
        <v>439</v>
      </c>
      <c r="BG1138" s="75"/>
      <c r="BH1138" s="75"/>
      <c r="BI1138" s="75" t="s">
        <v>439</v>
      </c>
      <c r="BJ1138" s="75"/>
      <c r="BK1138" s="75"/>
      <c r="BL1138" s="75" t="s">
        <v>439</v>
      </c>
      <c r="BM1138" s="75"/>
    </row>
    <row r="1139" spans="1:65" ht="15" customHeight="1" x14ac:dyDescent="0.2">
      <c r="A1139" s="38"/>
      <c r="B1139" s="38"/>
      <c r="C1139" s="75"/>
      <c r="D1139" s="75"/>
      <c r="E1139" s="75"/>
      <c r="F1139" s="75"/>
      <c r="G1139" s="75"/>
      <c r="H1139" s="75"/>
      <c r="I1139" s="75"/>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t="s">
        <v>439</v>
      </c>
      <c r="BG1139" s="75"/>
      <c r="BH1139" s="75"/>
      <c r="BI1139" s="75" t="s">
        <v>439</v>
      </c>
      <c r="BJ1139" s="75"/>
      <c r="BK1139" s="75"/>
      <c r="BL1139" s="75" t="s">
        <v>439</v>
      </c>
      <c r="BM1139" s="75"/>
    </row>
    <row r="1140" spans="1:65" ht="15" customHeight="1" x14ac:dyDescent="0.2">
      <c r="A1140" s="38"/>
      <c r="B1140" s="38"/>
      <c r="C1140" s="75"/>
      <c r="D1140" s="75"/>
      <c r="E1140" s="75"/>
      <c r="F1140" s="75"/>
      <c r="G1140" s="75"/>
      <c r="H1140" s="75"/>
      <c r="I1140" s="75"/>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t="s">
        <v>439</v>
      </c>
      <c r="BG1140" s="75"/>
      <c r="BH1140" s="75"/>
      <c r="BI1140" s="75" t="s">
        <v>439</v>
      </c>
      <c r="BJ1140" s="75"/>
      <c r="BK1140" s="75"/>
      <c r="BL1140" s="75" t="s">
        <v>439</v>
      </c>
      <c r="BM1140" s="75"/>
    </row>
    <row r="1141" spans="1:65" ht="15" customHeight="1" x14ac:dyDescent="0.2">
      <c r="A1141" s="38"/>
      <c r="B1141" s="38"/>
      <c r="C1141" s="75"/>
      <c r="D1141" s="75"/>
      <c r="E1141" s="75"/>
      <c r="F1141" s="75"/>
      <c r="G1141" s="75"/>
      <c r="H1141" s="75"/>
      <c r="I1141" s="75"/>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t="s">
        <v>439</v>
      </c>
      <c r="BG1141" s="75"/>
      <c r="BH1141" s="75"/>
      <c r="BI1141" s="75" t="s">
        <v>439</v>
      </c>
      <c r="BJ1141" s="75"/>
      <c r="BK1141" s="75"/>
      <c r="BL1141" s="75" t="s">
        <v>439</v>
      </c>
      <c r="BM1141" s="75"/>
    </row>
    <row r="1142" spans="1:65" ht="15" customHeight="1" x14ac:dyDescent="0.2">
      <c r="A1142" s="38"/>
      <c r="B1142" s="38"/>
      <c r="C1142" s="75"/>
      <c r="D1142" s="75"/>
      <c r="E1142" s="75"/>
      <c r="F1142" s="75"/>
      <c r="G1142" s="75"/>
      <c r="H1142" s="75"/>
      <c r="I1142" s="75"/>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t="s">
        <v>439</v>
      </c>
      <c r="BG1142" s="75"/>
      <c r="BH1142" s="75"/>
      <c r="BI1142" s="75" t="s">
        <v>439</v>
      </c>
      <c r="BJ1142" s="75"/>
      <c r="BK1142" s="75"/>
      <c r="BL1142" s="75" t="s">
        <v>439</v>
      </c>
      <c r="BM1142" s="75"/>
    </row>
    <row r="1143" spans="1:65" ht="15" customHeight="1" x14ac:dyDescent="0.2">
      <c r="A1143" s="38"/>
      <c r="B1143" s="38"/>
      <c r="C1143" s="75"/>
      <c r="D1143" s="75"/>
      <c r="E1143" s="75"/>
      <c r="F1143" s="75"/>
      <c r="G1143" s="75"/>
      <c r="H1143" s="75"/>
      <c r="I1143" s="75"/>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t="s">
        <v>439</v>
      </c>
      <c r="BG1143" s="75"/>
      <c r="BH1143" s="75"/>
      <c r="BI1143" s="75" t="s">
        <v>439</v>
      </c>
      <c r="BJ1143" s="75"/>
      <c r="BK1143" s="75"/>
      <c r="BL1143" s="75" t="s">
        <v>439</v>
      </c>
      <c r="BM1143" s="75"/>
    </row>
    <row r="1144" spans="1:65" ht="15" customHeight="1" x14ac:dyDescent="0.2">
      <c r="A1144" s="38"/>
      <c r="B1144" s="38"/>
      <c r="C1144" s="75"/>
      <c r="D1144" s="75"/>
      <c r="E1144" s="75"/>
      <c r="F1144" s="75"/>
      <c r="G1144" s="75"/>
      <c r="H1144" s="75"/>
      <c r="I1144" s="75"/>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t="s">
        <v>439</v>
      </c>
      <c r="BG1144" s="75"/>
      <c r="BH1144" s="75"/>
      <c r="BI1144" s="75" t="s">
        <v>439</v>
      </c>
      <c r="BJ1144" s="75"/>
      <c r="BK1144" s="75"/>
      <c r="BL1144" s="75" t="s">
        <v>439</v>
      </c>
      <c r="BM1144" s="75"/>
    </row>
    <row r="1145" spans="1:65" ht="15" customHeight="1" x14ac:dyDescent="0.2">
      <c r="A1145" s="38"/>
      <c r="B1145" s="38"/>
      <c r="C1145" s="75"/>
      <c r="D1145" s="75"/>
      <c r="E1145" s="75"/>
      <c r="F1145" s="75"/>
      <c r="G1145" s="75"/>
      <c r="H1145" s="75"/>
      <c r="I1145" s="75"/>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t="s">
        <v>439</v>
      </c>
      <c r="BG1145" s="75"/>
      <c r="BH1145" s="75"/>
      <c r="BI1145" s="75" t="s">
        <v>439</v>
      </c>
      <c r="BJ1145" s="75"/>
      <c r="BK1145" s="75"/>
      <c r="BL1145" s="75" t="s">
        <v>439</v>
      </c>
      <c r="BM1145" s="75"/>
    </row>
    <row r="1146" spans="1:65" ht="15" customHeight="1" x14ac:dyDescent="0.2">
      <c r="A1146" s="38"/>
      <c r="B1146" s="38"/>
      <c r="C1146" s="75"/>
      <c r="D1146" s="75"/>
      <c r="E1146" s="75"/>
      <c r="F1146" s="75"/>
      <c r="G1146" s="75"/>
      <c r="H1146" s="75"/>
      <c r="I1146" s="75"/>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t="s">
        <v>439</v>
      </c>
      <c r="BG1146" s="75"/>
      <c r="BH1146" s="75"/>
      <c r="BI1146" s="75" t="s">
        <v>439</v>
      </c>
      <c r="BJ1146" s="75"/>
      <c r="BK1146" s="75"/>
      <c r="BL1146" s="75" t="s">
        <v>439</v>
      </c>
      <c r="BM1146" s="75"/>
    </row>
    <row r="1147" spans="1:65" ht="15" customHeight="1" x14ac:dyDescent="0.2">
      <c r="A1147" s="38"/>
      <c r="B1147" s="38"/>
      <c r="C1147" s="75"/>
      <c r="D1147" s="75"/>
      <c r="E1147" s="75"/>
      <c r="F1147" s="75"/>
      <c r="G1147" s="75"/>
      <c r="H1147" s="75"/>
      <c r="I1147" s="75"/>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t="s">
        <v>439</v>
      </c>
      <c r="BG1147" s="75"/>
      <c r="BH1147" s="75"/>
      <c r="BI1147" s="75" t="s">
        <v>439</v>
      </c>
      <c r="BJ1147" s="75"/>
      <c r="BK1147" s="75"/>
      <c r="BL1147" s="75" t="s">
        <v>439</v>
      </c>
      <c r="BM1147" s="75"/>
    </row>
    <row r="1148" spans="1:65" ht="15" customHeight="1" x14ac:dyDescent="0.2">
      <c r="A1148" s="38"/>
      <c r="B1148" s="38"/>
      <c r="C1148" s="75"/>
      <c r="D1148" s="75"/>
      <c r="E1148" s="75"/>
      <c r="F1148" s="75"/>
      <c r="G1148" s="75"/>
      <c r="H1148" s="75"/>
      <c r="I1148" s="75"/>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t="s">
        <v>439</v>
      </c>
      <c r="BG1148" s="75"/>
      <c r="BH1148" s="75"/>
      <c r="BI1148" s="75" t="s">
        <v>439</v>
      </c>
      <c r="BJ1148" s="75"/>
      <c r="BK1148" s="75"/>
      <c r="BL1148" s="75" t="s">
        <v>439</v>
      </c>
      <c r="BM1148" s="75"/>
    </row>
    <row r="1149" spans="1:65" ht="15" customHeight="1" x14ac:dyDescent="0.2">
      <c r="A1149" s="38"/>
      <c r="B1149" s="38"/>
      <c r="C1149" s="75"/>
      <c r="D1149" s="75"/>
      <c r="E1149" s="75"/>
      <c r="F1149" s="75"/>
      <c r="G1149" s="75"/>
      <c r="H1149" s="75"/>
      <c r="I1149" s="75"/>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t="s">
        <v>439</v>
      </c>
      <c r="BG1149" s="75"/>
      <c r="BH1149" s="75"/>
      <c r="BI1149" s="75" t="s">
        <v>439</v>
      </c>
      <c r="BJ1149" s="75"/>
      <c r="BK1149" s="75"/>
      <c r="BL1149" s="75" t="s">
        <v>439</v>
      </c>
      <c r="BM1149" s="75"/>
    </row>
    <row r="1150" spans="1:65" ht="15" customHeight="1" x14ac:dyDescent="0.2">
      <c r="A1150" s="38"/>
      <c r="B1150" s="38"/>
      <c r="C1150" s="75"/>
      <c r="D1150" s="75"/>
      <c r="E1150" s="75"/>
      <c r="F1150" s="75"/>
      <c r="G1150" s="75"/>
      <c r="H1150" s="75"/>
      <c r="I1150" s="75"/>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t="s">
        <v>439</v>
      </c>
      <c r="BG1150" s="75"/>
      <c r="BH1150" s="75"/>
      <c r="BI1150" s="75" t="s">
        <v>439</v>
      </c>
      <c r="BJ1150" s="75"/>
      <c r="BK1150" s="75"/>
      <c r="BL1150" s="75" t="s">
        <v>439</v>
      </c>
      <c r="BM1150" s="75"/>
    </row>
    <row r="1151" spans="1:65" ht="15" customHeight="1" x14ac:dyDescent="0.2">
      <c r="A1151" s="38"/>
      <c r="B1151" s="38"/>
      <c r="C1151" s="75"/>
      <c r="D1151" s="75"/>
      <c r="E1151" s="75"/>
      <c r="F1151" s="75"/>
      <c r="G1151" s="75"/>
      <c r="H1151" s="75"/>
      <c r="I1151" s="75"/>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t="s">
        <v>439</v>
      </c>
      <c r="BG1151" s="75"/>
      <c r="BH1151" s="75"/>
      <c r="BI1151" s="75" t="s">
        <v>439</v>
      </c>
      <c r="BJ1151" s="75"/>
      <c r="BK1151" s="75"/>
      <c r="BL1151" s="75" t="s">
        <v>439</v>
      </c>
      <c r="BM1151" s="75"/>
    </row>
    <row r="1152" spans="1:65" ht="15" customHeight="1" x14ac:dyDescent="0.2">
      <c r="A1152" s="38"/>
      <c r="B1152" s="38"/>
      <c r="C1152" s="75"/>
      <c r="D1152" s="75"/>
      <c r="E1152" s="75"/>
      <c r="F1152" s="75"/>
      <c r="G1152" s="75"/>
      <c r="H1152" s="75"/>
      <c r="I1152" s="75"/>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t="s">
        <v>439</v>
      </c>
      <c r="BG1152" s="75"/>
      <c r="BH1152" s="75"/>
      <c r="BI1152" s="75" t="s">
        <v>439</v>
      </c>
      <c r="BJ1152" s="75"/>
      <c r="BK1152" s="75"/>
      <c r="BL1152" s="75" t="s">
        <v>439</v>
      </c>
      <c r="BM1152" s="75"/>
    </row>
    <row r="1153" spans="1:65" ht="15" customHeight="1" x14ac:dyDescent="0.2">
      <c r="A1153" s="38"/>
      <c r="B1153" s="38"/>
      <c r="C1153" s="75"/>
      <c r="D1153" s="75"/>
      <c r="E1153" s="75"/>
      <c r="F1153" s="75"/>
      <c r="G1153" s="75"/>
      <c r="H1153" s="75"/>
      <c r="I1153" s="75"/>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t="s">
        <v>439</v>
      </c>
      <c r="BG1153" s="75"/>
      <c r="BH1153" s="75"/>
      <c r="BI1153" s="75" t="s">
        <v>439</v>
      </c>
      <c r="BJ1153" s="75"/>
      <c r="BK1153" s="75"/>
      <c r="BL1153" s="75" t="s">
        <v>439</v>
      </c>
      <c r="BM1153" s="75"/>
    </row>
    <row r="1154" spans="1:65" ht="15" customHeight="1" x14ac:dyDescent="0.2">
      <c r="A1154" s="38"/>
      <c r="B1154" s="38"/>
      <c r="C1154" s="75"/>
      <c r="D1154" s="75"/>
      <c r="E1154" s="75"/>
      <c r="F1154" s="75"/>
      <c r="G1154" s="75"/>
      <c r="H1154" s="75"/>
      <c r="I1154" s="75"/>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t="s">
        <v>439</v>
      </c>
      <c r="BG1154" s="75"/>
      <c r="BH1154" s="75"/>
      <c r="BI1154" s="75" t="s">
        <v>439</v>
      </c>
      <c r="BJ1154" s="75"/>
      <c r="BK1154" s="75"/>
      <c r="BL1154" s="75" t="s">
        <v>439</v>
      </c>
      <c r="BM1154" s="75"/>
    </row>
    <row r="1155" spans="1:65" ht="15" customHeight="1" x14ac:dyDescent="0.2">
      <c r="A1155" s="38"/>
      <c r="B1155" s="38"/>
      <c r="C1155" s="75"/>
      <c r="D1155" s="75"/>
      <c r="E1155" s="75"/>
      <c r="F1155" s="75"/>
      <c r="G1155" s="75"/>
      <c r="H1155" s="75"/>
      <c r="I1155" s="75"/>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t="s">
        <v>439</v>
      </c>
      <c r="BG1155" s="75"/>
      <c r="BH1155" s="75"/>
      <c r="BI1155" s="75" t="s">
        <v>439</v>
      </c>
      <c r="BJ1155" s="75"/>
      <c r="BK1155" s="75"/>
      <c r="BL1155" s="75" t="s">
        <v>439</v>
      </c>
      <c r="BM1155" s="75"/>
    </row>
    <row r="1156" spans="1:65" ht="15" customHeight="1" x14ac:dyDescent="0.2">
      <c r="A1156" s="38"/>
      <c r="B1156" s="38"/>
      <c r="C1156" s="75"/>
      <c r="D1156" s="75"/>
      <c r="E1156" s="75"/>
      <c r="F1156" s="75"/>
      <c r="G1156" s="75"/>
      <c r="H1156" s="75"/>
      <c r="I1156" s="75"/>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t="s">
        <v>439</v>
      </c>
      <c r="BG1156" s="75"/>
      <c r="BH1156" s="75"/>
      <c r="BI1156" s="75" t="s">
        <v>439</v>
      </c>
      <c r="BJ1156" s="75"/>
      <c r="BK1156" s="75"/>
      <c r="BL1156" s="75" t="s">
        <v>439</v>
      </c>
      <c r="BM1156" s="75"/>
    </row>
    <row r="1157" spans="1:65" ht="15" customHeight="1" x14ac:dyDescent="0.2">
      <c r="A1157" s="38"/>
      <c r="B1157" s="38"/>
      <c r="C1157" s="75"/>
      <c r="D1157" s="75"/>
      <c r="E1157" s="75"/>
      <c r="F1157" s="75"/>
      <c r="G1157" s="75"/>
      <c r="H1157" s="75"/>
      <c r="I1157" s="75"/>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t="s">
        <v>439</v>
      </c>
      <c r="BG1157" s="75"/>
      <c r="BH1157" s="75"/>
      <c r="BI1157" s="75" t="s">
        <v>439</v>
      </c>
      <c r="BJ1157" s="75"/>
      <c r="BK1157" s="75"/>
      <c r="BL1157" s="75" t="s">
        <v>439</v>
      </c>
      <c r="BM1157" s="75"/>
    </row>
    <row r="1158" spans="1:65" ht="15" customHeight="1" x14ac:dyDescent="0.2">
      <c r="A1158" s="38"/>
      <c r="B1158" s="38"/>
      <c r="C1158" s="75"/>
      <c r="D1158" s="75"/>
      <c r="E1158" s="75"/>
      <c r="F1158" s="75"/>
      <c r="G1158" s="75"/>
      <c r="H1158" s="75"/>
      <c r="I1158" s="75"/>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t="s">
        <v>439</v>
      </c>
      <c r="BG1158" s="75"/>
      <c r="BH1158" s="75"/>
      <c r="BI1158" s="75" t="s">
        <v>439</v>
      </c>
      <c r="BJ1158" s="75"/>
      <c r="BK1158" s="75"/>
      <c r="BL1158" s="75" t="s">
        <v>439</v>
      </c>
      <c r="BM1158" s="75"/>
    </row>
    <row r="1159" spans="1:65" ht="15" customHeight="1" x14ac:dyDescent="0.2">
      <c r="A1159" s="38"/>
      <c r="B1159" s="38"/>
      <c r="C1159" s="75"/>
      <c r="D1159" s="75"/>
      <c r="E1159" s="75"/>
      <c r="F1159" s="75"/>
      <c r="G1159" s="75"/>
      <c r="H1159" s="75"/>
      <c r="I1159" s="75"/>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t="s">
        <v>439</v>
      </c>
      <c r="BG1159" s="75"/>
      <c r="BH1159" s="75"/>
      <c r="BI1159" s="75" t="s">
        <v>439</v>
      </c>
      <c r="BJ1159" s="75"/>
      <c r="BK1159" s="75"/>
      <c r="BL1159" s="75" t="s">
        <v>439</v>
      </c>
      <c r="BM1159" s="75"/>
    </row>
    <row r="1160" spans="1:65" ht="15" customHeight="1" x14ac:dyDescent="0.2">
      <c r="A1160" s="38"/>
      <c r="B1160" s="38"/>
      <c r="C1160" s="75"/>
      <c r="D1160" s="75"/>
      <c r="E1160" s="75"/>
      <c r="F1160" s="75"/>
      <c r="G1160" s="75"/>
      <c r="H1160" s="75"/>
      <c r="I1160" s="75"/>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t="s">
        <v>439</v>
      </c>
      <c r="BG1160" s="75"/>
      <c r="BH1160" s="75"/>
      <c r="BI1160" s="75" t="s">
        <v>439</v>
      </c>
      <c r="BJ1160" s="75"/>
      <c r="BK1160" s="75"/>
      <c r="BL1160" s="75" t="s">
        <v>439</v>
      </c>
      <c r="BM1160" s="75"/>
    </row>
    <row r="1161" spans="1:65" ht="15" customHeight="1" x14ac:dyDescent="0.2">
      <c r="A1161" s="38"/>
      <c r="B1161" s="38"/>
      <c r="C1161" s="75"/>
      <c r="D1161" s="75"/>
      <c r="E1161" s="75"/>
      <c r="F1161" s="75"/>
      <c r="G1161" s="75"/>
      <c r="H1161" s="75"/>
      <c r="I1161" s="75"/>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t="s">
        <v>439</v>
      </c>
      <c r="BG1161" s="75"/>
      <c r="BH1161" s="75"/>
      <c r="BI1161" s="75" t="s">
        <v>439</v>
      </c>
      <c r="BJ1161" s="75"/>
      <c r="BK1161" s="75"/>
      <c r="BL1161" s="75" t="s">
        <v>439</v>
      </c>
      <c r="BM1161" s="75"/>
    </row>
    <row r="1162" spans="1:65" ht="15" customHeight="1" x14ac:dyDescent="0.2">
      <c r="A1162" s="38"/>
      <c r="B1162" s="38"/>
      <c r="C1162" s="75"/>
      <c r="D1162" s="75"/>
      <c r="E1162" s="75"/>
      <c r="F1162" s="75"/>
      <c r="G1162" s="75"/>
      <c r="H1162" s="75"/>
      <c r="I1162" s="75"/>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t="s">
        <v>439</v>
      </c>
      <c r="BG1162" s="75"/>
      <c r="BH1162" s="75"/>
      <c r="BI1162" s="75" t="s">
        <v>439</v>
      </c>
      <c r="BJ1162" s="75"/>
      <c r="BK1162" s="75"/>
      <c r="BL1162" s="75" t="s">
        <v>439</v>
      </c>
      <c r="BM1162" s="75"/>
    </row>
    <row r="1163" spans="1:65" ht="15" customHeight="1" x14ac:dyDescent="0.2">
      <c r="A1163" s="38"/>
      <c r="B1163" s="38"/>
      <c r="C1163" s="75"/>
      <c r="D1163" s="75"/>
      <c r="E1163" s="75"/>
      <c r="F1163" s="75"/>
      <c r="G1163" s="75"/>
      <c r="H1163" s="75"/>
      <c r="I1163" s="75"/>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t="s">
        <v>439</v>
      </c>
      <c r="BG1163" s="75"/>
      <c r="BH1163" s="75"/>
      <c r="BI1163" s="75" t="s">
        <v>439</v>
      </c>
      <c r="BJ1163" s="75"/>
      <c r="BK1163" s="75"/>
      <c r="BL1163" s="75" t="s">
        <v>439</v>
      </c>
      <c r="BM1163" s="75"/>
    </row>
    <row r="1164" spans="1:65" ht="15" customHeight="1" x14ac:dyDescent="0.2">
      <c r="A1164" s="38"/>
      <c r="B1164" s="38"/>
      <c r="C1164" s="75"/>
      <c r="D1164" s="75"/>
      <c r="E1164" s="75"/>
      <c r="F1164" s="75"/>
      <c r="G1164" s="75"/>
      <c r="H1164" s="75"/>
      <c r="I1164" s="75"/>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t="s">
        <v>439</v>
      </c>
      <c r="BG1164" s="75"/>
      <c r="BH1164" s="75"/>
      <c r="BI1164" s="75" t="s">
        <v>439</v>
      </c>
      <c r="BJ1164" s="75"/>
      <c r="BK1164" s="75"/>
      <c r="BL1164" s="75" t="s">
        <v>439</v>
      </c>
      <c r="BM1164" s="75"/>
    </row>
    <row r="1165" spans="1:65" ht="15" customHeight="1" x14ac:dyDescent="0.2">
      <c r="A1165" s="38"/>
      <c r="B1165" s="38"/>
      <c r="C1165" s="75"/>
      <c r="D1165" s="75"/>
      <c r="E1165" s="75"/>
      <c r="F1165" s="75"/>
      <c r="G1165" s="75"/>
      <c r="H1165" s="75"/>
      <c r="I1165" s="75"/>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t="s">
        <v>439</v>
      </c>
      <c r="BG1165" s="75"/>
      <c r="BH1165" s="75"/>
      <c r="BI1165" s="75" t="s">
        <v>439</v>
      </c>
      <c r="BJ1165" s="75"/>
      <c r="BK1165" s="75"/>
      <c r="BL1165" s="75" t="s">
        <v>439</v>
      </c>
      <c r="BM1165" s="75"/>
    </row>
    <row r="1166" spans="1:65" ht="15" customHeight="1" x14ac:dyDescent="0.2">
      <c r="A1166" s="38"/>
      <c r="B1166" s="38"/>
      <c r="C1166" s="75"/>
      <c r="D1166" s="75"/>
      <c r="E1166" s="75"/>
      <c r="F1166" s="75"/>
      <c r="G1166" s="75"/>
      <c r="H1166" s="75"/>
      <c r="I1166" s="75"/>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t="s">
        <v>439</v>
      </c>
      <c r="BG1166" s="75"/>
      <c r="BH1166" s="75"/>
      <c r="BI1166" s="75" t="s">
        <v>439</v>
      </c>
      <c r="BJ1166" s="75"/>
      <c r="BK1166" s="75"/>
      <c r="BL1166" s="75" t="s">
        <v>439</v>
      </c>
      <c r="BM1166" s="75"/>
    </row>
    <row r="1167" spans="1:65" ht="15" customHeight="1" x14ac:dyDescent="0.2">
      <c r="A1167" s="38"/>
      <c r="B1167" s="38"/>
      <c r="C1167" s="75"/>
      <c r="D1167" s="75"/>
      <c r="E1167" s="75"/>
      <c r="F1167" s="75"/>
      <c r="G1167" s="75"/>
      <c r="H1167" s="75"/>
      <c r="I1167" s="75"/>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t="s">
        <v>439</v>
      </c>
      <c r="BG1167" s="75"/>
      <c r="BH1167" s="75"/>
      <c r="BI1167" s="75" t="s">
        <v>439</v>
      </c>
      <c r="BJ1167" s="75"/>
      <c r="BK1167" s="75"/>
      <c r="BL1167" s="75" t="s">
        <v>439</v>
      </c>
      <c r="BM1167" s="75"/>
    </row>
    <row r="1168" spans="1:65" ht="15" customHeight="1" x14ac:dyDescent="0.2">
      <c r="A1168" s="38"/>
      <c r="B1168" s="38"/>
      <c r="C1168" s="75"/>
      <c r="D1168" s="75"/>
      <c r="E1168" s="75"/>
      <c r="F1168" s="75"/>
      <c r="G1168" s="75"/>
      <c r="H1168" s="75"/>
      <c r="I1168" s="75"/>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t="s">
        <v>439</v>
      </c>
      <c r="BG1168" s="75"/>
      <c r="BH1168" s="75"/>
      <c r="BI1168" s="75" t="s">
        <v>439</v>
      </c>
      <c r="BJ1168" s="75"/>
      <c r="BK1168" s="75"/>
      <c r="BL1168" s="75" t="s">
        <v>439</v>
      </c>
      <c r="BM1168" s="75"/>
    </row>
    <row r="1169" spans="1:65" ht="15" customHeight="1" x14ac:dyDescent="0.2">
      <c r="A1169" s="38"/>
      <c r="B1169" s="38"/>
      <c r="C1169" s="75"/>
      <c r="D1169" s="75"/>
      <c r="E1169" s="75"/>
      <c r="F1169" s="75"/>
      <c r="G1169" s="75"/>
      <c r="H1169" s="75"/>
      <c r="I1169" s="75"/>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t="s">
        <v>439</v>
      </c>
      <c r="BG1169" s="75"/>
      <c r="BH1169" s="75"/>
      <c r="BI1169" s="75" t="s">
        <v>439</v>
      </c>
      <c r="BJ1169" s="75"/>
      <c r="BK1169" s="75"/>
      <c r="BL1169" s="75" t="s">
        <v>439</v>
      </c>
      <c r="BM1169" s="75"/>
    </row>
    <row r="1170" spans="1:65" ht="15" customHeight="1" x14ac:dyDescent="0.2">
      <c r="A1170" s="38"/>
      <c r="B1170" s="38"/>
      <c r="C1170" s="75"/>
      <c r="D1170" s="75"/>
      <c r="E1170" s="75"/>
      <c r="F1170" s="75"/>
      <c r="G1170" s="75"/>
      <c r="H1170" s="75"/>
      <c r="I1170" s="75"/>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t="s">
        <v>439</v>
      </c>
      <c r="BG1170" s="75"/>
      <c r="BH1170" s="75"/>
      <c r="BI1170" s="75" t="s">
        <v>439</v>
      </c>
      <c r="BJ1170" s="75"/>
      <c r="BK1170" s="75"/>
      <c r="BL1170" s="75" t="s">
        <v>439</v>
      </c>
      <c r="BM1170" s="75"/>
    </row>
    <row r="1171" spans="1:65" ht="15" customHeight="1" x14ac:dyDescent="0.2">
      <c r="A1171" s="38"/>
      <c r="B1171" s="38"/>
      <c r="C1171" s="75"/>
      <c r="D1171" s="75"/>
      <c r="E1171" s="75"/>
      <c r="F1171" s="75"/>
      <c r="G1171" s="75"/>
      <c r="H1171" s="75"/>
      <c r="I1171" s="75"/>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t="s">
        <v>439</v>
      </c>
      <c r="BG1171" s="75"/>
      <c r="BH1171" s="75"/>
      <c r="BI1171" s="75" t="s">
        <v>439</v>
      </c>
      <c r="BJ1171" s="75"/>
      <c r="BK1171" s="75"/>
      <c r="BL1171" s="75" t="s">
        <v>439</v>
      </c>
      <c r="BM1171" s="75"/>
    </row>
    <row r="1172" spans="1:65" ht="15" customHeight="1" x14ac:dyDescent="0.2">
      <c r="A1172" s="38"/>
      <c r="B1172" s="38"/>
      <c r="C1172" s="75"/>
      <c r="D1172" s="75"/>
      <c r="E1172" s="75"/>
      <c r="F1172" s="75"/>
      <c r="G1172" s="75"/>
      <c r="H1172" s="75"/>
      <c r="I1172" s="75"/>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t="s">
        <v>439</v>
      </c>
      <c r="BG1172" s="75"/>
      <c r="BH1172" s="75"/>
      <c r="BI1172" s="75" t="s">
        <v>439</v>
      </c>
      <c r="BJ1172" s="75"/>
      <c r="BK1172" s="75"/>
      <c r="BL1172" s="75" t="s">
        <v>439</v>
      </c>
      <c r="BM1172" s="75"/>
    </row>
    <row r="1173" spans="1:65" ht="15" customHeight="1" x14ac:dyDescent="0.2">
      <c r="A1173" s="38"/>
      <c r="B1173" s="38"/>
      <c r="C1173" s="75"/>
      <c r="D1173" s="75"/>
      <c r="E1173" s="75"/>
      <c r="F1173" s="75"/>
      <c r="G1173" s="75"/>
      <c r="H1173" s="75"/>
      <c r="I1173" s="75"/>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t="s">
        <v>439</v>
      </c>
      <c r="BG1173" s="75"/>
      <c r="BH1173" s="75"/>
      <c r="BI1173" s="75" t="s">
        <v>439</v>
      </c>
      <c r="BJ1173" s="75"/>
      <c r="BK1173" s="75"/>
      <c r="BL1173" s="75" t="s">
        <v>439</v>
      </c>
      <c r="BM1173" s="75"/>
    </row>
    <row r="1174" spans="1:65" ht="15" customHeight="1" x14ac:dyDescent="0.2">
      <c r="A1174" s="38"/>
      <c r="B1174" s="38"/>
      <c r="C1174" s="75"/>
      <c r="D1174" s="75"/>
      <c r="E1174" s="75"/>
      <c r="F1174" s="75"/>
      <c r="G1174" s="75"/>
      <c r="H1174" s="75"/>
      <c r="I1174" s="75"/>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t="s">
        <v>439</v>
      </c>
      <c r="BG1174" s="75"/>
      <c r="BH1174" s="75"/>
      <c r="BI1174" s="75" t="s">
        <v>439</v>
      </c>
      <c r="BJ1174" s="75"/>
      <c r="BK1174" s="75"/>
      <c r="BL1174" s="75" t="s">
        <v>439</v>
      </c>
      <c r="BM1174" s="75"/>
    </row>
    <row r="1175" spans="1:65" ht="15" customHeight="1" x14ac:dyDescent="0.2">
      <c r="A1175" s="38"/>
      <c r="B1175" s="38"/>
      <c r="C1175" s="75"/>
      <c r="D1175" s="75"/>
      <c r="E1175" s="75"/>
      <c r="F1175" s="75"/>
      <c r="G1175" s="75"/>
      <c r="H1175" s="75"/>
      <c r="I1175" s="75"/>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t="s">
        <v>439</v>
      </c>
      <c r="BG1175" s="75"/>
      <c r="BH1175" s="75"/>
      <c r="BI1175" s="75" t="s">
        <v>439</v>
      </c>
      <c r="BJ1175" s="75"/>
      <c r="BK1175" s="75"/>
      <c r="BL1175" s="75" t="s">
        <v>439</v>
      </c>
      <c r="BM1175" s="75"/>
    </row>
    <row r="1176" spans="1:65" ht="15" customHeight="1" x14ac:dyDescent="0.2">
      <c r="A1176" s="38"/>
      <c r="B1176" s="38"/>
      <c r="C1176" s="75"/>
      <c r="D1176" s="75"/>
      <c r="E1176" s="75"/>
      <c r="F1176" s="75"/>
      <c r="G1176" s="75"/>
      <c r="H1176" s="75"/>
      <c r="I1176" s="75"/>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t="s">
        <v>439</v>
      </c>
      <c r="BG1176" s="75"/>
      <c r="BH1176" s="75"/>
      <c r="BI1176" s="75" t="s">
        <v>439</v>
      </c>
      <c r="BJ1176" s="75"/>
      <c r="BK1176" s="75"/>
      <c r="BL1176" s="75" t="s">
        <v>439</v>
      </c>
      <c r="BM1176" s="75"/>
    </row>
    <row r="1177" spans="1:65" ht="15" customHeight="1" x14ac:dyDescent="0.2">
      <c r="A1177" s="38"/>
      <c r="B1177" s="38"/>
      <c r="C1177" s="75"/>
      <c r="D1177" s="75"/>
      <c r="E1177" s="75"/>
      <c r="F1177" s="75"/>
      <c r="G1177" s="75"/>
      <c r="H1177" s="75"/>
      <c r="I1177" s="75"/>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t="s">
        <v>439</v>
      </c>
      <c r="BG1177" s="75"/>
      <c r="BH1177" s="75"/>
      <c r="BI1177" s="75" t="s">
        <v>439</v>
      </c>
      <c r="BJ1177" s="75"/>
      <c r="BK1177" s="75"/>
      <c r="BL1177" s="75" t="s">
        <v>439</v>
      </c>
      <c r="BM1177" s="75"/>
    </row>
    <row r="1178" spans="1:65" ht="15" customHeight="1" x14ac:dyDescent="0.2">
      <c r="A1178" s="38"/>
      <c r="B1178" s="38"/>
      <c r="C1178" s="75"/>
      <c r="D1178" s="75"/>
      <c r="E1178" s="75"/>
      <c r="F1178" s="75"/>
      <c r="G1178" s="75"/>
      <c r="H1178" s="75"/>
      <c r="I1178" s="75"/>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t="s">
        <v>439</v>
      </c>
      <c r="BG1178" s="75"/>
      <c r="BH1178" s="75"/>
      <c r="BI1178" s="75" t="s">
        <v>439</v>
      </c>
      <c r="BJ1178" s="75"/>
      <c r="BK1178" s="75"/>
      <c r="BL1178" s="75" t="s">
        <v>439</v>
      </c>
      <c r="BM1178" s="75"/>
    </row>
    <row r="1179" spans="1:65" ht="15" customHeight="1" x14ac:dyDescent="0.2">
      <c r="A1179" s="38"/>
      <c r="B1179" s="38"/>
      <c r="C1179" s="75"/>
      <c r="D1179" s="75"/>
      <c r="E1179" s="75"/>
      <c r="F1179" s="75"/>
      <c r="G1179" s="75"/>
      <c r="H1179" s="75"/>
      <c r="I1179" s="75"/>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t="s">
        <v>439</v>
      </c>
      <c r="BG1179" s="75"/>
      <c r="BH1179" s="75"/>
      <c r="BI1179" s="75" t="s">
        <v>439</v>
      </c>
      <c r="BJ1179" s="75"/>
      <c r="BK1179" s="75"/>
      <c r="BL1179" s="75" t="s">
        <v>439</v>
      </c>
      <c r="BM1179" s="75"/>
    </row>
    <row r="1180" spans="1:65" ht="15" customHeight="1" x14ac:dyDescent="0.2">
      <c r="A1180" s="38"/>
      <c r="B1180" s="38"/>
      <c r="C1180" s="75"/>
      <c r="D1180" s="75"/>
      <c r="E1180" s="75"/>
      <c r="F1180" s="75"/>
      <c r="G1180" s="75"/>
      <c r="H1180" s="75"/>
      <c r="I1180" s="75"/>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t="s">
        <v>439</v>
      </c>
      <c r="BG1180" s="75"/>
      <c r="BH1180" s="75"/>
      <c r="BI1180" s="75" t="s">
        <v>439</v>
      </c>
      <c r="BJ1180" s="75"/>
      <c r="BK1180" s="75"/>
      <c r="BL1180" s="75" t="s">
        <v>439</v>
      </c>
      <c r="BM1180" s="75"/>
    </row>
    <row r="1181" spans="1:65" ht="15" customHeight="1" x14ac:dyDescent="0.2">
      <c r="A1181" s="38"/>
      <c r="B1181" s="38"/>
      <c r="C1181" s="75"/>
      <c r="D1181" s="75"/>
      <c r="E1181" s="75"/>
      <c r="F1181" s="75"/>
      <c r="G1181" s="75"/>
      <c r="H1181" s="75"/>
      <c r="I1181" s="75"/>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t="s">
        <v>439</v>
      </c>
      <c r="BG1181" s="75"/>
      <c r="BH1181" s="75"/>
      <c r="BI1181" s="75" t="s">
        <v>439</v>
      </c>
      <c r="BJ1181" s="75"/>
      <c r="BK1181" s="75"/>
      <c r="BL1181" s="75" t="s">
        <v>439</v>
      </c>
      <c r="BM1181" s="75"/>
    </row>
    <row r="1182" spans="1:65" ht="15" customHeight="1" x14ac:dyDescent="0.2">
      <c r="A1182" s="38"/>
      <c r="B1182" s="38"/>
      <c r="C1182" s="75"/>
      <c r="D1182" s="75"/>
      <c r="E1182" s="75"/>
      <c r="F1182" s="75"/>
      <c r="G1182" s="75"/>
      <c r="H1182" s="75"/>
      <c r="I1182" s="75"/>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t="s">
        <v>439</v>
      </c>
      <c r="BG1182" s="75"/>
      <c r="BH1182" s="75"/>
      <c r="BI1182" s="75" t="s">
        <v>439</v>
      </c>
      <c r="BJ1182" s="75"/>
      <c r="BK1182" s="75"/>
      <c r="BL1182" s="75" t="s">
        <v>439</v>
      </c>
      <c r="BM1182" s="75"/>
    </row>
    <row r="1183" spans="1:65" ht="15" customHeight="1" x14ac:dyDescent="0.2">
      <c r="A1183" s="38"/>
      <c r="B1183" s="38"/>
      <c r="C1183" s="75"/>
      <c r="D1183" s="75"/>
      <c r="E1183" s="75"/>
      <c r="F1183" s="75"/>
      <c r="G1183" s="75"/>
      <c r="H1183" s="75"/>
      <c r="I1183" s="75"/>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t="s">
        <v>439</v>
      </c>
      <c r="BG1183" s="75"/>
      <c r="BH1183" s="75"/>
      <c r="BI1183" s="75" t="s">
        <v>439</v>
      </c>
      <c r="BJ1183" s="75"/>
      <c r="BK1183" s="75"/>
      <c r="BL1183" s="75" t="s">
        <v>439</v>
      </c>
      <c r="BM1183" s="75"/>
    </row>
    <row r="1184" spans="1:65" ht="15" customHeight="1" x14ac:dyDescent="0.2">
      <c r="A1184" s="38"/>
      <c r="B1184" s="38"/>
      <c r="C1184" s="75"/>
      <c r="D1184" s="75"/>
      <c r="E1184" s="75"/>
      <c r="F1184" s="75"/>
      <c r="G1184" s="75"/>
      <c r="H1184" s="75"/>
      <c r="I1184" s="75"/>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t="s">
        <v>439</v>
      </c>
      <c r="BG1184" s="75"/>
      <c r="BH1184" s="75"/>
      <c r="BI1184" s="75" t="s">
        <v>439</v>
      </c>
      <c r="BJ1184" s="75"/>
      <c r="BK1184" s="75"/>
      <c r="BL1184" s="75" t="s">
        <v>439</v>
      </c>
      <c r="BM1184" s="75"/>
    </row>
    <row r="1185" spans="1:65" ht="15" customHeight="1" x14ac:dyDescent="0.2">
      <c r="A1185" s="38"/>
      <c r="B1185" s="38"/>
      <c r="C1185" s="75"/>
      <c r="D1185" s="75"/>
      <c r="E1185" s="75"/>
      <c r="F1185" s="75"/>
      <c r="G1185" s="75"/>
      <c r="H1185" s="75"/>
      <c r="I1185" s="75"/>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t="s">
        <v>439</v>
      </c>
      <c r="BG1185" s="75"/>
      <c r="BH1185" s="75"/>
      <c r="BI1185" s="75" t="s">
        <v>439</v>
      </c>
      <c r="BJ1185" s="75"/>
      <c r="BK1185" s="75"/>
      <c r="BL1185" s="75" t="s">
        <v>439</v>
      </c>
      <c r="BM1185" s="75"/>
    </row>
    <row r="1186" spans="1:65" ht="15" customHeight="1" x14ac:dyDescent="0.2">
      <c r="A1186" s="38"/>
      <c r="B1186" s="38"/>
      <c r="C1186" s="75"/>
      <c r="D1186" s="75"/>
      <c r="E1186" s="75"/>
      <c r="F1186" s="75"/>
      <c r="G1186" s="75"/>
      <c r="H1186" s="75"/>
      <c r="I1186" s="75"/>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t="s">
        <v>439</v>
      </c>
      <c r="BG1186" s="75"/>
      <c r="BH1186" s="75"/>
      <c r="BI1186" s="75" t="s">
        <v>439</v>
      </c>
      <c r="BJ1186" s="75"/>
      <c r="BK1186" s="75"/>
      <c r="BL1186" s="75" t="s">
        <v>439</v>
      </c>
      <c r="BM1186" s="75"/>
    </row>
    <row r="1187" spans="1:65" ht="15" customHeight="1" x14ac:dyDescent="0.2">
      <c r="A1187" s="38"/>
      <c r="B1187" s="38"/>
      <c r="C1187" s="75"/>
      <c r="D1187" s="75"/>
      <c r="E1187" s="75"/>
      <c r="F1187" s="75"/>
      <c r="G1187" s="75"/>
      <c r="H1187" s="75"/>
      <c r="I1187" s="75"/>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t="s">
        <v>439</v>
      </c>
      <c r="BG1187" s="75"/>
      <c r="BH1187" s="75"/>
      <c r="BI1187" s="75" t="s">
        <v>439</v>
      </c>
      <c r="BJ1187" s="75"/>
      <c r="BK1187" s="75"/>
      <c r="BL1187" s="75" t="s">
        <v>439</v>
      </c>
      <c r="BM1187" s="75"/>
    </row>
    <row r="1188" spans="1:65" ht="15" customHeight="1" x14ac:dyDescent="0.2">
      <c r="A1188" s="38"/>
      <c r="B1188" s="38"/>
      <c r="C1188" s="75"/>
      <c r="D1188" s="75"/>
      <c r="E1188" s="75"/>
      <c r="F1188" s="75"/>
      <c r="G1188" s="75"/>
      <c r="H1188" s="75"/>
      <c r="I1188" s="75"/>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t="s">
        <v>439</v>
      </c>
      <c r="BG1188" s="75"/>
      <c r="BH1188" s="75"/>
      <c r="BI1188" s="75" t="s">
        <v>439</v>
      </c>
      <c r="BJ1188" s="75"/>
      <c r="BK1188" s="75"/>
      <c r="BL1188" s="75" t="s">
        <v>439</v>
      </c>
      <c r="BM1188" s="75"/>
    </row>
    <row r="1189" spans="1:65" ht="15" customHeight="1" x14ac:dyDescent="0.2">
      <c r="A1189" s="38"/>
      <c r="B1189" s="38"/>
      <c r="C1189" s="75"/>
      <c r="D1189" s="75"/>
      <c r="E1189" s="75"/>
      <c r="F1189" s="75"/>
      <c r="G1189" s="75"/>
      <c r="H1189" s="75"/>
      <c r="I1189" s="75"/>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t="s">
        <v>439</v>
      </c>
      <c r="BG1189" s="75"/>
      <c r="BH1189" s="75"/>
      <c r="BI1189" s="75" t="s">
        <v>439</v>
      </c>
      <c r="BJ1189" s="75"/>
      <c r="BK1189" s="75"/>
      <c r="BL1189" s="75" t="s">
        <v>439</v>
      </c>
      <c r="BM1189" s="75"/>
    </row>
    <row r="1190" spans="1:65" ht="15" customHeight="1" x14ac:dyDescent="0.2">
      <c r="A1190" s="38"/>
      <c r="B1190" s="38"/>
      <c r="C1190" s="75"/>
      <c r="D1190" s="75"/>
      <c r="E1190" s="75"/>
      <c r="F1190" s="75"/>
      <c r="G1190" s="75"/>
      <c r="H1190" s="75"/>
      <c r="I1190" s="75"/>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t="s">
        <v>439</v>
      </c>
      <c r="BG1190" s="75"/>
      <c r="BH1190" s="75"/>
      <c r="BI1190" s="75" t="s">
        <v>439</v>
      </c>
      <c r="BJ1190" s="75"/>
      <c r="BK1190" s="75"/>
      <c r="BL1190" s="75" t="s">
        <v>439</v>
      </c>
      <c r="BM1190" s="75"/>
    </row>
    <row r="1191" spans="1:65" ht="15" customHeight="1" x14ac:dyDescent="0.2">
      <c r="A1191" s="38"/>
      <c r="B1191" s="38"/>
      <c r="C1191" s="75"/>
      <c r="D1191" s="75"/>
      <c r="E1191" s="75"/>
      <c r="F1191" s="75"/>
      <c r="G1191" s="75"/>
      <c r="H1191" s="75"/>
      <c r="I1191" s="75"/>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t="s">
        <v>439</v>
      </c>
      <c r="BG1191" s="75"/>
      <c r="BH1191" s="75"/>
      <c r="BI1191" s="75" t="s">
        <v>439</v>
      </c>
      <c r="BJ1191" s="75"/>
      <c r="BK1191" s="75"/>
      <c r="BL1191" s="75" t="s">
        <v>439</v>
      </c>
      <c r="BM1191" s="75"/>
    </row>
    <row r="1192" spans="1:65" ht="15" customHeight="1" x14ac:dyDescent="0.2">
      <c r="A1192" s="38"/>
      <c r="B1192" s="38"/>
      <c r="C1192" s="75"/>
      <c r="D1192" s="75"/>
      <c r="E1192" s="75"/>
      <c r="F1192" s="75"/>
      <c r="G1192" s="75"/>
      <c r="H1192" s="75"/>
      <c r="I1192" s="75"/>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t="s">
        <v>439</v>
      </c>
      <c r="BG1192" s="75"/>
      <c r="BH1192" s="75"/>
      <c r="BI1192" s="75" t="s">
        <v>439</v>
      </c>
      <c r="BJ1192" s="75"/>
      <c r="BK1192" s="75"/>
      <c r="BL1192" s="75" t="s">
        <v>439</v>
      </c>
      <c r="BM1192" s="75"/>
    </row>
    <row r="1193" spans="1:65" ht="15" customHeight="1" x14ac:dyDescent="0.2">
      <c r="A1193" s="38"/>
      <c r="B1193" s="38"/>
      <c r="C1193" s="75"/>
      <c r="D1193" s="75"/>
      <c r="E1193" s="75"/>
      <c r="F1193" s="75"/>
      <c r="G1193" s="75"/>
      <c r="H1193" s="75"/>
      <c r="I1193" s="75"/>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t="s">
        <v>439</v>
      </c>
      <c r="BG1193" s="75"/>
      <c r="BH1193" s="75"/>
      <c r="BI1193" s="75" t="s">
        <v>439</v>
      </c>
      <c r="BJ1193" s="75"/>
      <c r="BK1193" s="75"/>
      <c r="BL1193" s="75" t="s">
        <v>439</v>
      </c>
      <c r="BM1193" s="75"/>
    </row>
    <row r="1194" spans="1:65" ht="15" customHeight="1" x14ac:dyDescent="0.2">
      <c r="A1194" s="38"/>
      <c r="B1194" s="38"/>
      <c r="C1194" s="75"/>
      <c r="D1194" s="75"/>
      <c r="E1194" s="75"/>
      <c r="F1194" s="75"/>
      <c r="G1194" s="75"/>
      <c r="H1194" s="75"/>
      <c r="I1194" s="75"/>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t="s">
        <v>439</v>
      </c>
      <c r="BG1194" s="75"/>
      <c r="BH1194" s="75"/>
      <c r="BI1194" s="75" t="s">
        <v>439</v>
      </c>
      <c r="BJ1194" s="75"/>
      <c r="BK1194" s="75"/>
      <c r="BL1194" s="75" t="s">
        <v>439</v>
      </c>
      <c r="BM1194" s="75"/>
    </row>
    <row r="1195" spans="1:65" ht="15" customHeight="1" x14ac:dyDescent="0.2">
      <c r="A1195" s="38"/>
      <c r="B1195" s="38"/>
      <c r="C1195" s="75"/>
      <c r="D1195" s="75"/>
      <c r="E1195" s="75"/>
      <c r="F1195" s="75"/>
      <c r="G1195" s="75"/>
      <c r="H1195" s="75"/>
      <c r="I1195" s="75"/>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t="s">
        <v>439</v>
      </c>
      <c r="BG1195" s="75"/>
      <c r="BH1195" s="75"/>
      <c r="BI1195" s="75" t="s">
        <v>439</v>
      </c>
      <c r="BJ1195" s="75"/>
      <c r="BK1195" s="75"/>
      <c r="BL1195" s="75" t="s">
        <v>439</v>
      </c>
      <c r="BM1195" s="75"/>
    </row>
    <row r="1196" spans="1:65" ht="15" customHeight="1" x14ac:dyDescent="0.2">
      <c r="A1196" s="38"/>
      <c r="B1196" s="38"/>
      <c r="C1196" s="75"/>
      <c r="D1196" s="75"/>
      <c r="E1196" s="75"/>
      <c r="F1196" s="75"/>
      <c r="G1196" s="75"/>
      <c r="H1196" s="75"/>
      <c r="I1196" s="75"/>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t="s">
        <v>439</v>
      </c>
      <c r="BG1196" s="75"/>
      <c r="BH1196" s="75"/>
      <c r="BI1196" s="75" t="s">
        <v>439</v>
      </c>
      <c r="BJ1196" s="75"/>
      <c r="BK1196" s="75"/>
      <c r="BL1196" s="75" t="s">
        <v>439</v>
      </c>
      <c r="BM1196" s="75"/>
    </row>
    <row r="1197" spans="1:65" ht="15" customHeight="1" x14ac:dyDescent="0.2">
      <c r="A1197" s="38"/>
      <c r="B1197" s="38"/>
      <c r="C1197" s="75"/>
      <c r="D1197" s="75"/>
      <c r="E1197" s="75"/>
      <c r="F1197" s="75"/>
      <c r="G1197" s="75"/>
      <c r="H1197" s="75"/>
      <c r="I1197" s="75"/>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t="s">
        <v>439</v>
      </c>
      <c r="BG1197" s="75"/>
      <c r="BH1197" s="75"/>
      <c r="BI1197" s="75" t="s">
        <v>439</v>
      </c>
      <c r="BJ1197" s="75"/>
      <c r="BK1197" s="75"/>
      <c r="BL1197" s="75" t="s">
        <v>439</v>
      </c>
      <c r="BM1197" s="75"/>
    </row>
    <row r="1198" spans="1:65" ht="15" customHeight="1" x14ac:dyDescent="0.2">
      <c r="A1198" s="38"/>
      <c r="B1198" s="38"/>
      <c r="C1198" s="75"/>
      <c r="D1198" s="75"/>
      <c r="E1198" s="75"/>
      <c r="F1198" s="75"/>
      <c r="G1198" s="75"/>
      <c r="H1198" s="75"/>
      <c r="I1198" s="75"/>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t="s">
        <v>439</v>
      </c>
      <c r="BG1198" s="75"/>
      <c r="BH1198" s="75"/>
      <c r="BI1198" s="75" t="s">
        <v>439</v>
      </c>
      <c r="BJ1198" s="75"/>
      <c r="BK1198" s="75"/>
      <c r="BL1198" s="75" t="s">
        <v>439</v>
      </c>
      <c r="BM1198" s="75"/>
    </row>
    <row r="1199" spans="1:65" ht="15" customHeight="1" x14ac:dyDescent="0.2">
      <c r="A1199" s="38"/>
      <c r="B1199" s="38"/>
      <c r="C1199" s="75"/>
      <c r="D1199" s="75"/>
      <c r="E1199" s="75"/>
      <c r="F1199" s="75"/>
      <c r="G1199" s="75"/>
      <c r="H1199" s="75"/>
      <c r="I1199" s="75"/>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t="s">
        <v>439</v>
      </c>
      <c r="BG1199" s="75"/>
      <c r="BH1199" s="75"/>
      <c r="BI1199" s="75" t="s">
        <v>439</v>
      </c>
      <c r="BJ1199" s="75"/>
      <c r="BK1199" s="75"/>
      <c r="BL1199" s="75" t="s">
        <v>439</v>
      </c>
      <c r="BM1199" s="75"/>
    </row>
    <row r="1200" spans="1:65" ht="15" customHeight="1" x14ac:dyDescent="0.2">
      <c r="A1200" s="38"/>
      <c r="B1200" s="38"/>
      <c r="C1200" s="75"/>
      <c r="D1200" s="75"/>
      <c r="E1200" s="75"/>
      <c r="F1200" s="75"/>
      <c r="G1200" s="75"/>
      <c r="H1200" s="75"/>
      <c r="I1200" s="75"/>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t="s">
        <v>439</v>
      </c>
      <c r="BG1200" s="75"/>
      <c r="BH1200" s="75"/>
      <c r="BI1200" s="75" t="s">
        <v>439</v>
      </c>
      <c r="BJ1200" s="75"/>
      <c r="BK1200" s="75"/>
      <c r="BL1200" s="75" t="s">
        <v>439</v>
      </c>
      <c r="BM1200" s="75"/>
    </row>
    <row r="1201" spans="1:65" ht="15" customHeight="1" x14ac:dyDescent="0.2">
      <c r="A1201" s="38"/>
      <c r="B1201" s="38"/>
      <c r="C1201" s="75"/>
      <c r="D1201" s="75"/>
      <c r="E1201" s="75"/>
      <c r="F1201" s="75"/>
      <c r="G1201" s="75"/>
      <c r="H1201" s="75"/>
      <c r="I1201" s="75"/>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t="s">
        <v>439</v>
      </c>
      <c r="BG1201" s="75"/>
      <c r="BH1201" s="75"/>
      <c r="BI1201" s="75" t="s">
        <v>439</v>
      </c>
      <c r="BJ1201" s="75"/>
      <c r="BK1201" s="75"/>
      <c r="BL1201" s="75" t="s">
        <v>439</v>
      </c>
      <c r="BM1201" s="75"/>
    </row>
    <row r="1202" spans="1:65" ht="15" customHeight="1" x14ac:dyDescent="0.2">
      <c r="A1202" s="38"/>
      <c r="B1202" s="38"/>
      <c r="C1202" s="75"/>
      <c r="D1202" s="75"/>
      <c r="E1202" s="75"/>
      <c r="F1202" s="75"/>
      <c r="G1202" s="75"/>
      <c r="H1202" s="75"/>
      <c r="I1202" s="75"/>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t="s">
        <v>439</v>
      </c>
      <c r="BG1202" s="75"/>
      <c r="BH1202" s="75"/>
      <c r="BI1202" s="75" t="s">
        <v>439</v>
      </c>
      <c r="BJ1202" s="75"/>
      <c r="BK1202" s="75"/>
      <c r="BL1202" s="75" t="s">
        <v>439</v>
      </c>
      <c r="BM1202" s="75"/>
    </row>
    <row r="1203" spans="1:65" ht="15" customHeight="1" x14ac:dyDescent="0.2">
      <c r="A1203" s="38"/>
      <c r="B1203" s="38"/>
      <c r="C1203" s="75"/>
      <c r="D1203" s="75"/>
      <c r="E1203" s="75"/>
      <c r="F1203" s="75"/>
      <c r="G1203" s="75"/>
      <c r="H1203" s="75"/>
      <c r="I1203" s="75"/>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t="s">
        <v>439</v>
      </c>
      <c r="BG1203" s="75"/>
      <c r="BH1203" s="75"/>
      <c r="BI1203" s="75" t="s">
        <v>439</v>
      </c>
      <c r="BJ1203" s="75"/>
      <c r="BK1203" s="75"/>
      <c r="BL1203" s="75" t="s">
        <v>439</v>
      </c>
      <c r="BM1203" s="75"/>
    </row>
    <row r="1204" spans="1:65" ht="15" customHeight="1" x14ac:dyDescent="0.2">
      <c r="A1204" s="38"/>
      <c r="B1204" s="38"/>
      <c r="C1204" s="75"/>
      <c r="D1204" s="75"/>
      <c r="E1204" s="75"/>
      <c r="F1204" s="75"/>
      <c r="G1204" s="75"/>
      <c r="H1204" s="75"/>
      <c r="I1204" s="75"/>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t="s">
        <v>439</v>
      </c>
      <c r="BG1204" s="75"/>
      <c r="BH1204" s="75"/>
      <c r="BI1204" s="75" t="s">
        <v>439</v>
      </c>
      <c r="BJ1204" s="75"/>
      <c r="BK1204" s="75"/>
      <c r="BL1204" s="75" t="s">
        <v>439</v>
      </c>
      <c r="BM1204" s="75"/>
    </row>
    <row r="1205" spans="1:65" ht="15" customHeight="1" x14ac:dyDescent="0.2">
      <c r="A1205" s="38"/>
      <c r="B1205" s="38"/>
      <c r="C1205" s="75"/>
      <c r="D1205" s="75"/>
      <c r="E1205" s="75"/>
      <c r="F1205" s="75"/>
      <c r="G1205" s="75"/>
      <c r="H1205" s="75"/>
      <c r="I1205" s="75"/>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t="s">
        <v>439</v>
      </c>
      <c r="BG1205" s="75"/>
      <c r="BH1205" s="75"/>
      <c r="BI1205" s="75" t="s">
        <v>439</v>
      </c>
      <c r="BJ1205" s="75"/>
      <c r="BK1205" s="75"/>
      <c r="BL1205" s="75" t="s">
        <v>439</v>
      </c>
      <c r="BM1205" s="75"/>
    </row>
    <row r="1206" spans="1:65" ht="15" customHeight="1" x14ac:dyDescent="0.2">
      <c r="A1206" s="38"/>
      <c r="B1206" s="38"/>
      <c r="C1206" s="75"/>
      <c r="D1206" s="75"/>
      <c r="E1206" s="75"/>
      <c r="F1206" s="75"/>
      <c r="G1206" s="75"/>
      <c r="H1206" s="75"/>
      <c r="I1206" s="75"/>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t="s">
        <v>439</v>
      </c>
      <c r="BG1206" s="75"/>
      <c r="BH1206" s="75"/>
      <c r="BI1206" s="75" t="s">
        <v>439</v>
      </c>
      <c r="BJ1206" s="75"/>
      <c r="BK1206" s="75"/>
      <c r="BL1206" s="75" t="s">
        <v>439</v>
      </c>
      <c r="BM1206" s="75"/>
    </row>
    <row r="1207" spans="1:65" ht="15" customHeight="1" x14ac:dyDescent="0.2">
      <c r="A1207" s="38"/>
      <c r="B1207" s="38"/>
      <c r="C1207" s="75"/>
      <c r="D1207" s="75"/>
      <c r="E1207" s="75"/>
      <c r="F1207" s="75"/>
      <c r="G1207" s="75"/>
      <c r="H1207" s="75"/>
      <c r="I1207" s="75"/>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t="s">
        <v>439</v>
      </c>
      <c r="BG1207" s="75"/>
      <c r="BH1207" s="75"/>
      <c r="BI1207" s="75" t="s">
        <v>439</v>
      </c>
      <c r="BJ1207" s="75"/>
      <c r="BK1207" s="75"/>
      <c r="BL1207" s="75" t="s">
        <v>439</v>
      </c>
      <c r="BM1207" s="75"/>
    </row>
    <row r="1208" spans="1:65" ht="15" customHeight="1" x14ac:dyDescent="0.2">
      <c r="A1208" s="38"/>
      <c r="B1208" s="38"/>
      <c r="C1208" s="75"/>
      <c r="D1208" s="75"/>
      <c r="E1208" s="75"/>
      <c r="F1208" s="75"/>
      <c r="G1208" s="75"/>
      <c r="H1208" s="75"/>
      <c r="I1208" s="75"/>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t="s">
        <v>439</v>
      </c>
      <c r="BG1208" s="75"/>
      <c r="BH1208" s="75"/>
      <c r="BI1208" s="75" t="s">
        <v>439</v>
      </c>
      <c r="BJ1208" s="75"/>
      <c r="BK1208" s="75"/>
      <c r="BL1208" s="75" t="s">
        <v>439</v>
      </c>
      <c r="BM1208" s="75"/>
    </row>
    <row r="1209" spans="1:65" ht="15" customHeight="1" x14ac:dyDescent="0.2">
      <c r="A1209" s="38"/>
      <c r="B1209" s="38"/>
      <c r="C1209" s="75"/>
      <c r="D1209" s="75"/>
      <c r="E1209" s="75"/>
      <c r="F1209" s="75"/>
      <c r="G1209" s="75"/>
      <c r="H1209" s="75"/>
      <c r="I1209" s="75"/>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t="s">
        <v>439</v>
      </c>
      <c r="BG1209" s="75"/>
      <c r="BH1209" s="75"/>
      <c r="BI1209" s="75" t="s">
        <v>439</v>
      </c>
      <c r="BJ1209" s="75"/>
      <c r="BK1209" s="75"/>
      <c r="BL1209" s="75" t="s">
        <v>439</v>
      </c>
      <c r="BM1209" s="75"/>
    </row>
    <row r="1210" spans="1:65" ht="15" customHeight="1" x14ac:dyDescent="0.2">
      <c r="A1210" s="38"/>
      <c r="B1210" s="38"/>
      <c r="C1210" s="75"/>
      <c r="D1210" s="75"/>
      <c r="E1210" s="75"/>
      <c r="F1210" s="75"/>
      <c r="G1210" s="75"/>
      <c r="H1210" s="75"/>
      <c r="I1210" s="75"/>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t="s">
        <v>439</v>
      </c>
      <c r="BG1210" s="75"/>
      <c r="BH1210" s="75"/>
      <c r="BI1210" s="75" t="s">
        <v>439</v>
      </c>
      <c r="BJ1210" s="75"/>
      <c r="BK1210" s="75"/>
      <c r="BL1210" s="75" t="s">
        <v>439</v>
      </c>
      <c r="BM1210" s="75"/>
    </row>
    <row r="1211" spans="1:65" ht="15" customHeight="1" x14ac:dyDescent="0.2">
      <c r="A1211" s="38"/>
      <c r="B1211" s="38"/>
      <c r="C1211" s="75"/>
      <c r="D1211" s="75"/>
      <c r="E1211" s="75"/>
      <c r="F1211" s="75"/>
      <c r="G1211" s="75"/>
      <c r="H1211" s="75"/>
      <c r="I1211" s="75"/>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t="s">
        <v>439</v>
      </c>
      <c r="BG1211" s="75"/>
      <c r="BH1211" s="75"/>
      <c r="BI1211" s="75" t="s">
        <v>439</v>
      </c>
      <c r="BJ1211" s="75"/>
      <c r="BK1211" s="75"/>
      <c r="BL1211" s="75" t="s">
        <v>439</v>
      </c>
      <c r="BM1211" s="75"/>
    </row>
    <row r="1212" spans="1:65" ht="15" customHeight="1" x14ac:dyDescent="0.2">
      <c r="A1212" s="38"/>
      <c r="B1212" s="38"/>
      <c r="C1212" s="75"/>
      <c r="D1212" s="75"/>
      <c r="E1212" s="75"/>
      <c r="F1212" s="75"/>
      <c r="G1212" s="75"/>
      <c r="H1212" s="75"/>
      <c r="I1212" s="75"/>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t="s">
        <v>439</v>
      </c>
      <c r="BG1212" s="75"/>
      <c r="BH1212" s="75"/>
      <c r="BI1212" s="75" t="s">
        <v>439</v>
      </c>
      <c r="BJ1212" s="75"/>
      <c r="BK1212" s="75"/>
      <c r="BL1212" s="75" t="s">
        <v>439</v>
      </c>
      <c r="BM1212" s="75"/>
    </row>
    <row r="1213" spans="1:65" ht="15" customHeight="1" x14ac:dyDescent="0.2">
      <c r="A1213" s="38"/>
      <c r="B1213" s="38"/>
      <c r="C1213" s="75"/>
      <c r="D1213" s="75"/>
      <c r="E1213" s="75"/>
      <c r="F1213" s="75"/>
      <c r="G1213" s="75"/>
      <c r="H1213" s="75"/>
      <c r="I1213" s="75"/>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t="s">
        <v>439</v>
      </c>
      <c r="BG1213" s="75"/>
      <c r="BH1213" s="75"/>
      <c r="BI1213" s="75" t="s">
        <v>439</v>
      </c>
      <c r="BJ1213" s="75"/>
      <c r="BK1213" s="75"/>
      <c r="BL1213" s="75" t="s">
        <v>439</v>
      </c>
      <c r="BM1213" s="75"/>
    </row>
    <row r="1214" spans="1:65" ht="15" customHeight="1" x14ac:dyDescent="0.2">
      <c r="A1214" s="38"/>
      <c r="B1214" s="38"/>
      <c r="C1214" s="75"/>
      <c r="D1214" s="75"/>
      <c r="E1214" s="75"/>
      <c r="F1214" s="75"/>
      <c r="G1214" s="75"/>
      <c r="H1214" s="75"/>
      <c r="I1214" s="75"/>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t="s">
        <v>439</v>
      </c>
      <c r="BG1214" s="75"/>
      <c r="BH1214" s="75"/>
      <c r="BI1214" s="75" t="s">
        <v>439</v>
      </c>
      <c r="BJ1214" s="75"/>
      <c r="BK1214" s="75"/>
      <c r="BL1214" s="75" t="s">
        <v>439</v>
      </c>
      <c r="BM1214" s="75"/>
    </row>
    <row r="1215" spans="1:65" ht="15" customHeight="1" x14ac:dyDescent="0.2">
      <c r="A1215" s="38"/>
      <c r="B1215" s="38"/>
      <c r="C1215" s="75"/>
      <c r="D1215" s="75"/>
      <c r="E1215" s="75"/>
      <c r="F1215" s="75"/>
      <c r="G1215" s="75"/>
      <c r="H1215" s="75"/>
      <c r="I1215" s="75"/>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t="s">
        <v>439</v>
      </c>
      <c r="BG1215" s="75"/>
      <c r="BH1215" s="75"/>
      <c r="BI1215" s="75" t="s">
        <v>439</v>
      </c>
      <c r="BJ1215" s="75"/>
      <c r="BK1215" s="75"/>
      <c r="BL1215" s="75" t="s">
        <v>439</v>
      </c>
      <c r="BM1215" s="75"/>
    </row>
    <row r="1216" spans="1:65" ht="15" customHeight="1" x14ac:dyDescent="0.2">
      <c r="A1216" s="38"/>
      <c r="B1216" s="38"/>
      <c r="C1216" s="75"/>
      <c r="D1216" s="75"/>
      <c r="E1216" s="75"/>
      <c r="F1216" s="75"/>
      <c r="G1216" s="75"/>
      <c r="H1216" s="75"/>
      <c r="I1216" s="75"/>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t="s">
        <v>439</v>
      </c>
      <c r="BG1216" s="75"/>
      <c r="BH1216" s="75"/>
      <c r="BI1216" s="75" t="s">
        <v>439</v>
      </c>
      <c r="BJ1216" s="75"/>
      <c r="BK1216" s="75"/>
      <c r="BL1216" s="75" t="s">
        <v>439</v>
      </c>
      <c r="BM1216" s="75"/>
    </row>
    <row r="1217" spans="1:65" ht="15" customHeight="1" x14ac:dyDescent="0.2">
      <c r="A1217" s="38"/>
      <c r="B1217" s="38"/>
      <c r="C1217" s="75"/>
      <c r="D1217" s="75"/>
      <c r="E1217" s="75"/>
      <c r="F1217" s="75"/>
      <c r="G1217" s="75"/>
      <c r="H1217" s="75"/>
      <c r="I1217" s="75"/>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t="s">
        <v>439</v>
      </c>
      <c r="BG1217" s="75"/>
      <c r="BH1217" s="75"/>
      <c r="BI1217" s="75" t="s">
        <v>439</v>
      </c>
      <c r="BJ1217" s="75"/>
      <c r="BK1217" s="75"/>
      <c r="BL1217" s="75" t="s">
        <v>439</v>
      </c>
      <c r="BM1217" s="75"/>
    </row>
    <row r="1218" spans="1:65" ht="15" customHeight="1" x14ac:dyDescent="0.2">
      <c r="A1218" s="38"/>
      <c r="B1218" s="38"/>
      <c r="C1218" s="75"/>
      <c r="D1218" s="75"/>
      <c r="E1218" s="75"/>
      <c r="F1218" s="75"/>
      <c r="G1218" s="75"/>
      <c r="H1218" s="75"/>
      <c r="I1218" s="75"/>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t="s">
        <v>439</v>
      </c>
      <c r="BG1218" s="75"/>
      <c r="BH1218" s="75"/>
      <c r="BI1218" s="75" t="s">
        <v>439</v>
      </c>
      <c r="BJ1218" s="75"/>
      <c r="BK1218" s="75"/>
      <c r="BL1218" s="75" t="s">
        <v>439</v>
      </c>
      <c r="BM1218" s="75"/>
    </row>
    <row r="1219" spans="1:65" ht="15" customHeight="1" x14ac:dyDescent="0.2">
      <c r="A1219" s="38"/>
      <c r="B1219" s="38"/>
      <c r="C1219" s="75"/>
      <c r="D1219" s="75"/>
      <c r="E1219" s="75"/>
      <c r="F1219" s="75"/>
      <c r="G1219" s="75"/>
      <c r="H1219" s="75"/>
      <c r="I1219" s="75"/>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t="s">
        <v>439</v>
      </c>
      <c r="BG1219" s="75"/>
      <c r="BH1219" s="75"/>
      <c r="BI1219" s="75" t="s">
        <v>439</v>
      </c>
      <c r="BJ1219" s="75"/>
      <c r="BK1219" s="75"/>
      <c r="BL1219" s="75" t="s">
        <v>439</v>
      </c>
      <c r="BM1219" s="75"/>
    </row>
    <row r="1220" spans="1:65" ht="15" customHeight="1" x14ac:dyDescent="0.2">
      <c r="A1220" s="38"/>
      <c r="B1220" s="38"/>
      <c r="C1220" s="75"/>
      <c r="D1220" s="75"/>
      <c r="E1220" s="75"/>
      <c r="F1220" s="75"/>
      <c r="G1220" s="75"/>
      <c r="H1220" s="75"/>
      <c r="I1220" s="75"/>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t="s">
        <v>439</v>
      </c>
      <c r="BG1220" s="75"/>
      <c r="BH1220" s="75"/>
      <c r="BI1220" s="75" t="s">
        <v>439</v>
      </c>
      <c r="BJ1220" s="75"/>
      <c r="BK1220" s="75"/>
      <c r="BL1220" s="75" t="s">
        <v>439</v>
      </c>
      <c r="BM1220" s="75"/>
    </row>
    <row r="1221" spans="1:65" ht="15" customHeight="1" x14ac:dyDescent="0.2">
      <c r="A1221" s="38"/>
      <c r="B1221" s="38"/>
      <c r="C1221" s="75"/>
      <c r="D1221" s="75"/>
      <c r="E1221" s="75"/>
      <c r="F1221" s="75"/>
      <c r="G1221" s="75"/>
      <c r="H1221" s="75"/>
      <c r="I1221" s="75"/>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t="s">
        <v>439</v>
      </c>
      <c r="BG1221" s="75"/>
      <c r="BH1221" s="75"/>
      <c r="BI1221" s="75" t="s">
        <v>439</v>
      </c>
      <c r="BJ1221" s="75"/>
      <c r="BK1221" s="75"/>
      <c r="BL1221" s="75" t="s">
        <v>439</v>
      </c>
      <c r="BM1221" s="75"/>
    </row>
    <row r="1222" spans="1:65" ht="15" customHeight="1" x14ac:dyDescent="0.2">
      <c r="A1222" s="38"/>
      <c r="B1222" s="38"/>
      <c r="C1222" s="75"/>
      <c r="D1222" s="75"/>
      <c r="E1222" s="75"/>
      <c r="F1222" s="75"/>
      <c r="G1222" s="75"/>
      <c r="H1222" s="75"/>
      <c r="I1222" s="75"/>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t="s">
        <v>439</v>
      </c>
      <c r="BG1222" s="75"/>
      <c r="BH1222" s="75"/>
      <c r="BI1222" s="75" t="s">
        <v>439</v>
      </c>
      <c r="BJ1222" s="75"/>
      <c r="BK1222" s="75"/>
      <c r="BL1222" s="75" t="s">
        <v>439</v>
      </c>
      <c r="BM1222" s="75"/>
    </row>
    <row r="1223" spans="1:65" ht="15" customHeight="1" x14ac:dyDescent="0.2">
      <c r="A1223" s="38"/>
      <c r="B1223" s="38"/>
      <c r="C1223" s="75"/>
      <c r="D1223" s="75"/>
      <c r="E1223" s="75"/>
      <c r="F1223" s="75"/>
      <c r="G1223" s="75"/>
      <c r="H1223" s="75"/>
      <c r="I1223" s="75"/>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t="s">
        <v>439</v>
      </c>
      <c r="BG1223" s="75"/>
      <c r="BH1223" s="75"/>
      <c r="BI1223" s="75" t="s">
        <v>439</v>
      </c>
      <c r="BJ1223" s="75"/>
      <c r="BK1223" s="75"/>
      <c r="BL1223" s="75" t="s">
        <v>439</v>
      </c>
      <c r="BM1223" s="75"/>
    </row>
    <row r="1224" spans="1:65" ht="15" customHeight="1" x14ac:dyDescent="0.2">
      <c r="A1224" s="38"/>
      <c r="B1224" s="38"/>
      <c r="C1224" s="75"/>
      <c r="D1224" s="75"/>
      <c r="E1224" s="75"/>
      <c r="F1224" s="75"/>
      <c r="G1224" s="75"/>
      <c r="H1224" s="75"/>
      <c r="I1224" s="75"/>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t="s">
        <v>439</v>
      </c>
      <c r="BG1224" s="75"/>
      <c r="BH1224" s="75"/>
      <c r="BI1224" s="75" t="s">
        <v>439</v>
      </c>
      <c r="BJ1224" s="75"/>
      <c r="BK1224" s="75"/>
      <c r="BL1224" s="75" t="s">
        <v>439</v>
      </c>
      <c r="BM1224" s="75"/>
    </row>
    <row r="1225" spans="1:65" ht="15" customHeight="1" x14ac:dyDescent="0.2">
      <c r="A1225" s="38"/>
      <c r="B1225" s="38"/>
      <c r="C1225" s="75"/>
      <c r="D1225" s="75"/>
      <c r="E1225" s="75"/>
      <c r="F1225" s="75"/>
      <c r="G1225" s="75"/>
      <c r="H1225" s="75"/>
      <c r="I1225" s="75"/>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t="s">
        <v>439</v>
      </c>
      <c r="BG1225" s="75"/>
      <c r="BH1225" s="75"/>
      <c r="BI1225" s="75" t="s">
        <v>439</v>
      </c>
      <c r="BJ1225" s="75"/>
      <c r="BK1225" s="75"/>
      <c r="BL1225" s="75" t="s">
        <v>439</v>
      </c>
      <c r="BM1225" s="75"/>
    </row>
    <row r="1226" spans="1:65" ht="15" customHeight="1" x14ac:dyDescent="0.2">
      <c r="A1226" s="38"/>
      <c r="B1226" s="38"/>
      <c r="C1226" s="75"/>
      <c r="D1226" s="75"/>
      <c r="E1226" s="75"/>
      <c r="F1226" s="75"/>
      <c r="G1226" s="75"/>
      <c r="H1226" s="75"/>
      <c r="I1226" s="75"/>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t="s">
        <v>439</v>
      </c>
      <c r="BG1226" s="75"/>
      <c r="BH1226" s="75"/>
      <c r="BI1226" s="75" t="s">
        <v>439</v>
      </c>
      <c r="BJ1226" s="75"/>
      <c r="BK1226" s="75"/>
      <c r="BL1226" s="75" t="s">
        <v>439</v>
      </c>
      <c r="BM1226" s="75"/>
    </row>
    <row r="1227" spans="1:65" ht="15" customHeight="1" x14ac:dyDescent="0.2">
      <c r="A1227" s="38"/>
      <c r="B1227" s="38"/>
      <c r="C1227" s="75"/>
      <c r="D1227" s="75"/>
      <c r="E1227" s="75"/>
      <c r="F1227" s="75"/>
      <c r="G1227" s="75"/>
      <c r="H1227" s="75"/>
      <c r="I1227" s="75"/>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t="s">
        <v>439</v>
      </c>
      <c r="BG1227" s="75"/>
      <c r="BH1227" s="75"/>
      <c r="BI1227" s="75" t="s">
        <v>439</v>
      </c>
      <c r="BJ1227" s="75"/>
      <c r="BK1227" s="75"/>
      <c r="BL1227" s="75" t="s">
        <v>439</v>
      </c>
      <c r="BM1227" s="75"/>
    </row>
    <row r="1228" spans="1:65" ht="15" customHeight="1" x14ac:dyDescent="0.2">
      <c r="A1228" s="38"/>
      <c r="B1228" s="38"/>
      <c r="C1228" s="75"/>
      <c r="D1228" s="75"/>
      <c r="E1228" s="75"/>
      <c r="F1228" s="75"/>
      <c r="G1228" s="75"/>
      <c r="H1228" s="75"/>
      <c r="I1228" s="75"/>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t="s">
        <v>439</v>
      </c>
      <c r="BG1228" s="75"/>
      <c r="BH1228" s="75"/>
      <c r="BI1228" s="75" t="s">
        <v>439</v>
      </c>
      <c r="BJ1228" s="75"/>
      <c r="BK1228" s="75"/>
      <c r="BL1228" s="75" t="s">
        <v>439</v>
      </c>
      <c r="BM1228" s="75"/>
    </row>
    <row r="1229" spans="1:65" ht="15" customHeight="1" x14ac:dyDescent="0.2">
      <c r="A1229" s="38"/>
      <c r="B1229" s="38"/>
      <c r="C1229" s="75"/>
      <c r="D1229" s="75"/>
      <c r="E1229" s="75"/>
      <c r="F1229" s="75"/>
      <c r="G1229" s="75"/>
      <c r="H1229" s="75"/>
      <c r="I1229" s="75"/>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t="s">
        <v>439</v>
      </c>
      <c r="BG1229" s="75"/>
      <c r="BH1229" s="75"/>
      <c r="BI1229" s="75" t="s">
        <v>439</v>
      </c>
      <c r="BJ1229" s="75"/>
      <c r="BK1229" s="75"/>
      <c r="BL1229" s="75" t="s">
        <v>439</v>
      </c>
      <c r="BM1229" s="75"/>
    </row>
    <row r="1230" spans="1:65" ht="15" customHeight="1" x14ac:dyDescent="0.2">
      <c r="A1230" s="38"/>
      <c r="B1230" s="38"/>
      <c r="C1230" s="75"/>
      <c r="D1230" s="75"/>
      <c r="E1230" s="75"/>
      <c r="F1230" s="75"/>
      <c r="G1230" s="75"/>
      <c r="H1230" s="75"/>
      <c r="I1230" s="75"/>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t="s">
        <v>439</v>
      </c>
      <c r="BG1230" s="75"/>
      <c r="BH1230" s="75"/>
      <c r="BI1230" s="75" t="s">
        <v>439</v>
      </c>
      <c r="BJ1230" s="75"/>
      <c r="BK1230" s="75"/>
      <c r="BL1230" s="75" t="s">
        <v>439</v>
      </c>
      <c r="BM1230" s="75"/>
    </row>
    <row r="1231" spans="1:65" ht="15" customHeight="1" x14ac:dyDescent="0.2">
      <c r="A1231" s="38"/>
      <c r="B1231" s="38"/>
      <c r="C1231" s="75"/>
      <c r="D1231" s="75"/>
      <c r="E1231" s="75"/>
      <c r="F1231" s="75"/>
      <c r="G1231" s="75"/>
      <c r="H1231" s="75"/>
      <c r="I1231" s="75"/>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t="s">
        <v>439</v>
      </c>
      <c r="BG1231" s="75"/>
      <c r="BH1231" s="75"/>
      <c r="BI1231" s="75" t="s">
        <v>439</v>
      </c>
      <c r="BJ1231" s="75"/>
      <c r="BK1231" s="75"/>
      <c r="BL1231" s="75" t="s">
        <v>439</v>
      </c>
      <c r="BM1231" s="75"/>
    </row>
    <row r="1232" spans="1:65" ht="15" customHeight="1" x14ac:dyDescent="0.2">
      <c r="A1232" s="38"/>
      <c r="B1232" s="38"/>
      <c r="C1232" s="75"/>
      <c r="D1232" s="75"/>
      <c r="E1232" s="75"/>
      <c r="F1232" s="75"/>
      <c r="G1232" s="75"/>
      <c r="H1232" s="75"/>
      <c r="I1232" s="75"/>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t="s">
        <v>439</v>
      </c>
      <c r="BG1232" s="75"/>
      <c r="BH1232" s="75"/>
      <c r="BI1232" s="75" t="s">
        <v>439</v>
      </c>
      <c r="BJ1232" s="75"/>
      <c r="BK1232" s="75"/>
      <c r="BL1232" s="75" t="s">
        <v>439</v>
      </c>
      <c r="BM1232" s="75"/>
    </row>
    <row r="1233" spans="1:65" ht="15" customHeight="1" x14ac:dyDescent="0.2">
      <c r="A1233" s="38"/>
      <c r="B1233" s="38"/>
      <c r="C1233" s="75"/>
      <c r="D1233" s="75"/>
      <c r="E1233" s="75"/>
      <c r="F1233" s="75"/>
      <c r="G1233" s="75"/>
      <c r="H1233" s="75"/>
      <c r="I1233" s="75"/>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t="s">
        <v>439</v>
      </c>
      <c r="BG1233" s="75"/>
      <c r="BH1233" s="75"/>
      <c r="BI1233" s="75" t="s">
        <v>439</v>
      </c>
      <c r="BJ1233" s="75"/>
      <c r="BK1233" s="75"/>
      <c r="BL1233" s="75" t="s">
        <v>439</v>
      </c>
      <c r="BM1233" s="75"/>
    </row>
    <row r="1234" spans="1:65" ht="15" customHeight="1" x14ac:dyDescent="0.2">
      <c r="A1234" s="38"/>
      <c r="B1234" s="38"/>
      <c r="C1234" s="75"/>
      <c r="D1234" s="75"/>
      <c r="E1234" s="75"/>
      <c r="F1234" s="75"/>
      <c r="G1234" s="75"/>
      <c r="H1234" s="75"/>
      <c r="I1234" s="75"/>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t="s">
        <v>439</v>
      </c>
      <c r="BG1234" s="75"/>
      <c r="BH1234" s="75"/>
      <c r="BI1234" s="75" t="s">
        <v>439</v>
      </c>
      <c r="BJ1234" s="75"/>
      <c r="BK1234" s="75"/>
      <c r="BL1234" s="75" t="s">
        <v>439</v>
      </c>
      <c r="BM1234" s="75"/>
    </row>
    <row r="1235" spans="1:65" ht="15" customHeight="1" x14ac:dyDescent="0.2">
      <c r="A1235" s="38"/>
      <c r="B1235" s="38"/>
      <c r="C1235" s="75"/>
      <c r="D1235" s="75"/>
      <c r="E1235" s="75"/>
      <c r="F1235" s="75"/>
      <c r="G1235" s="75"/>
      <c r="H1235" s="75"/>
      <c r="I1235" s="75"/>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t="s">
        <v>439</v>
      </c>
      <c r="BG1235" s="75"/>
      <c r="BH1235" s="75"/>
      <c r="BI1235" s="75" t="s">
        <v>439</v>
      </c>
      <c r="BJ1235" s="75"/>
      <c r="BK1235" s="75"/>
      <c r="BL1235" s="75" t="s">
        <v>439</v>
      </c>
      <c r="BM1235" s="75"/>
    </row>
    <row r="1236" spans="1:65" ht="15" customHeight="1" x14ac:dyDescent="0.2">
      <c r="A1236" s="38"/>
      <c r="B1236" s="38"/>
      <c r="C1236" s="75"/>
      <c r="D1236" s="75"/>
      <c r="E1236" s="75"/>
      <c r="F1236" s="75"/>
      <c r="G1236" s="75"/>
      <c r="H1236" s="75"/>
      <c r="I1236" s="75"/>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t="s">
        <v>439</v>
      </c>
      <c r="BG1236" s="75"/>
      <c r="BH1236" s="75"/>
      <c r="BI1236" s="75" t="s">
        <v>439</v>
      </c>
      <c r="BJ1236" s="75"/>
      <c r="BK1236" s="75"/>
      <c r="BL1236" s="75" t="s">
        <v>439</v>
      </c>
      <c r="BM1236" s="75"/>
    </row>
    <row r="1237" spans="1:65" ht="15" customHeight="1" x14ac:dyDescent="0.2">
      <c r="A1237" s="38"/>
      <c r="B1237" s="38"/>
      <c r="C1237" s="75"/>
      <c r="D1237" s="75"/>
      <c r="E1237" s="75"/>
      <c r="F1237" s="75"/>
      <c r="G1237" s="75"/>
      <c r="H1237" s="75"/>
      <c r="I1237" s="75"/>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t="s">
        <v>439</v>
      </c>
      <c r="BG1237" s="75"/>
      <c r="BH1237" s="75"/>
      <c r="BI1237" s="75" t="s">
        <v>439</v>
      </c>
      <c r="BJ1237" s="75"/>
      <c r="BK1237" s="75"/>
      <c r="BL1237" s="75" t="s">
        <v>439</v>
      </c>
      <c r="BM1237" s="75"/>
    </row>
    <row r="1238" spans="1:65" ht="15" customHeight="1" x14ac:dyDescent="0.2">
      <c r="A1238" s="38"/>
      <c r="B1238" s="38"/>
      <c r="C1238" s="75"/>
      <c r="D1238" s="75"/>
      <c r="E1238" s="75"/>
      <c r="F1238" s="75"/>
      <c r="G1238" s="75"/>
      <c r="H1238" s="75"/>
      <c r="I1238" s="75"/>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t="s">
        <v>439</v>
      </c>
      <c r="BG1238" s="75"/>
      <c r="BH1238" s="75"/>
      <c r="BI1238" s="75" t="s">
        <v>439</v>
      </c>
      <c r="BJ1238" s="75"/>
      <c r="BK1238" s="75"/>
      <c r="BL1238" s="75" t="s">
        <v>439</v>
      </c>
      <c r="BM1238" s="75"/>
    </row>
    <row r="1239" spans="1:65" ht="15" customHeight="1" x14ac:dyDescent="0.2">
      <c r="A1239" s="38"/>
      <c r="B1239" s="38"/>
      <c r="C1239" s="75"/>
      <c r="D1239" s="75"/>
      <c r="E1239" s="75"/>
      <c r="F1239" s="75"/>
      <c r="G1239" s="75"/>
      <c r="H1239" s="75"/>
      <c r="I1239" s="75"/>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t="s">
        <v>439</v>
      </c>
      <c r="BG1239" s="75"/>
      <c r="BH1239" s="75"/>
      <c r="BI1239" s="75" t="s">
        <v>439</v>
      </c>
      <c r="BJ1239" s="75"/>
      <c r="BK1239" s="75"/>
      <c r="BL1239" s="75" t="s">
        <v>439</v>
      </c>
      <c r="BM1239" s="75"/>
    </row>
    <row r="1240" spans="1:65" ht="15" customHeight="1" x14ac:dyDescent="0.2">
      <c r="A1240" s="38"/>
      <c r="B1240" s="38"/>
      <c r="C1240" s="75"/>
      <c r="D1240" s="75"/>
      <c r="E1240" s="75"/>
      <c r="F1240" s="75"/>
      <c r="G1240" s="75"/>
      <c r="H1240" s="75"/>
      <c r="I1240" s="75"/>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t="s">
        <v>439</v>
      </c>
      <c r="BG1240" s="75"/>
      <c r="BH1240" s="75"/>
      <c r="BI1240" s="75" t="s">
        <v>439</v>
      </c>
      <c r="BJ1240" s="75"/>
      <c r="BK1240" s="75"/>
      <c r="BL1240" s="75" t="s">
        <v>439</v>
      </c>
      <c r="BM1240" s="75"/>
    </row>
    <row r="1241" spans="1:65" ht="15" customHeight="1" x14ac:dyDescent="0.2">
      <c r="A1241" s="38"/>
      <c r="B1241" s="38"/>
      <c r="C1241" s="75"/>
      <c r="D1241" s="75"/>
      <c r="E1241" s="75"/>
      <c r="F1241" s="75"/>
      <c r="G1241" s="75"/>
      <c r="H1241" s="75"/>
      <c r="I1241" s="75"/>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t="s">
        <v>439</v>
      </c>
      <c r="BG1241" s="75"/>
      <c r="BH1241" s="75"/>
      <c r="BI1241" s="75" t="s">
        <v>439</v>
      </c>
      <c r="BJ1241" s="75"/>
      <c r="BK1241" s="75"/>
      <c r="BL1241" s="75" t="s">
        <v>439</v>
      </c>
      <c r="BM1241" s="75"/>
    </row>
    <row r="1242" spans="1:65" ht="15" customHeight="1" x14ac:dyDescent="0.2">
      <c r="A1242" s="38"/>
      <c r="B1242" s="38"/>
      <c r="C1242" s="75"/>
      <c r="D1242" s="75"/>
      <c r="E1242" s="75"/>
      <c r="F1242" s="75"/>
      <c r="G1242" s="75"/>
      <c r="H1242" s="75"/>
      <c r="I1242" s="75"/>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t="s">
        <v>439</v>
      </c>
      <c r="BG1242" s="75"/>
      <c r="BH1242" s="75"/>
      <c r="BI1242" s="75" t="s">
        <v>439</v>
      </c>
      <c r="BJ1242" s="75"/>
      <c r="BK1242" s="75"/>
      <c r="BL1242" s="75" t="s">
        <v>439</v>
      </c>
      <c r="BM1242" s="75"/>
    </row>
    <row r="1243" spans="1:65" ht="15" customHeight="1" x14ac:dyDescent="0.2">
      <c r="A1243" s="38"/>
      <c r="B1243" s="38"/>
      <c r="C1243" s="75"/>
      <c r="D1243" s="75"/>
      <c r="E1243" s="75"/>
      <c r="F1243" s="75"/>
      <c r="G1243" s="75"/>
      <c r="H1243" s="75"/>
      <c r="I1243" s="75"/>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t="s">
        <v>439</v>
      </c>
      <c r="BG1243" s="75"/>
      <c r="BH1243" s="75"/>
      <c r="BI1243" s="75" t="s">
        <v>439</v>
      </c>
      <c r="BJ1243" s="75"/>
      <c r="BK1243" s="75"/>
      <c r="BL1243" s="75" t="s">
        <v>439</v>
      </c>
      <c r="BM1243" s="75"/>
    </row>
    <row r="1244" spans="1:65" ht="15" customHeight="1" x14ac:dyDescent="0.2">
      <c r="A1244" s="38"/>
      <c r="B1244" s="38"/>
      <c r="C1244" s="75"/>
      <c r="D1244" s="75"/>
      <c r="E1244" s="75"/>
      <c r="F1244" s="75"/>
      <c r="G1244" s="75"/>
      <c r="H1244" s="75"/>
      <c r="I1244" s="75"/>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t="s">
        <v>439</v>
      </c>
      <c r="BG1244" s="75"/>
      <c r="BH1244" s="75"/>
      <c r="BI1244" s="75" t="s">
        <v>439</v>
      </c>
      <c r="BJ1244" s="75"/>
      <c r="BK1244" s="75"/>
      <c r="BL1244" s="75" t="s">
        <v>439</v>
      </c>
      <c r="BM1244" s="75"/>
    </row>
    <row r="1245" spans="1:65" ht="15" customHeight="1" x14ac:dyDescent="0.2">
      <c r="A1245" s="38"/>
      <c r="B1245" s="38"/>
      <c r="C1245" s="75"/>
      <c r="D1245" s="75"/>
      <c r="E1245" s="75"/>
      <c r="F1245" s="75"/>
      <c r="G1245" s="75"/>
      <c r="H1245" s="75"/>
      <c r="I1245" s="75"/>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t="s">
        <v>439</v>
      </c>
      <c r="BG1245" s="75"/>
      <c r="BH1245" s="75"/>
      <c r="BI1245" s="75" t="s">
        <v>439</v>
      </c>
      <c r="BJ1245" s="75"/>
      <c r="BK1245" s="75"/>
      <c r="BL1245" s="75" t="s">
        <v>439</v>
      </c>
      <c r="BM1245" s="75"/>
    </row>
    <row r="1246" spans="1:65" ht="15" customHeight="1" x14ac:dyDescent="0.2">
      <c r="A1246" s="38"/>
      <c r="B1246" s="38"/>
      <c r="C1246" s="75"/>
      <c r="D1246" s="75"/>
      <c r="E1246" s="75"/>
      <c r="F1246" s="75"/>
      <c r="G1246" s="75"/>
      <c r="H1246" s="75"/>
      <c r="I1246" s="75"/>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t="s">
        <v>439</v>
      </c>
      <c r="BG1246" s="75"/>
      <c r="BH1246" s="75"/>
      <c r="BI1246" s="75" t="s">
        <v>439</v>
      </c>
      <c r="BJ1246" s="75"/>
      <c r="BK1246" s="75"/>
      <c r="BL1246" s="75" t="s">
        <v>439</v>
      </c>
      <c r="BM1246" s="75"/>
    </row>
    <row r="1247" spans="1:65" ht="15" customHeight="1" x14ac:dyDescent="0.2">
      <c r="A1247" s="38"/>
      <c r="B1247" s="38"/>
      <c r="C1247" s="75"/>
      <c r="D1247" s="75"/>
      <c r="E1247" s="75"/>
      <c r="F1247" s="75"/>
      <c r="G1247" s="75"/>
      <c r="H1247" s="75"/>
      <c r="I1247" s="75"/>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t="s">
        <v>439</v>
      </c>
      <c r="BG1247" s="75"/>
      <c r="BH1247" s="75"/>
      <c r="BI1247" s="75" t="s">
        <v>439</v>
      </c>
      <c r="BJ1247" s="75"/>
      <c r="BK1247" s="75"/>
      <c r="BL1247" s="75" t="s">
        <v>439</v>
      </c>
      <c r="BM1247" s="75"/>
    </row>
    <row r="1248" spans="1:65" ht="15" customHeight="1" x14ac:dyDescent="0.2">
      <c r="A1248" s="38"/>
      <c r="B1248" s="38"/>
      <c r="C1248" s="75"/>
      <c r="D1248" s="75"/>
      <c r="E1248" s="75"/>
      <c r="F1248" s="75"/>
      <c r="G1248" s="75"/>
      <c r="H1248" s="75"/>
      <c r="I1248" s="75"/>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t="s">
        <v>439</v>
      </c>
      <c r="BG1248" s="75"/>
      <c r="BH1248" s="75"/>
      <c r="BI1248" s="75" t="s">
        <v>439</v>
      </c>
      <c r="BJ1248" s="75"/>
      <c r="BK1248" s="75"/>
      <c r="BL1248" s="75" t="s">
        <v>439</v>
      </c>
      <c r="BM1248" s="75"/>
    </row>
    <row r="1249" spans="1:65" ht="15" customHeight="1" x14ac:dyDescent="0.2">
      <c r="A1249" s="38"/>
      <c r="B1249" s="38"/>
      <c r="C1249" s="75"/>
      <c r="D1249" s="75"/>
      <c r="E1249" s="75"/>
      <c r="F1249" s="75"/>
      <c r="G1249" s="75"/>
      <c r="H1249" s="75"/>
      <c r="I1249" s="75"/>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t="s">
        <v>439</v>
      </c>
      <c r="BG1249" s="75"/>
      <c r="BH1249" s="75"/>
      <c r="BI1249" s="75" t="s">
        <v>439</v>
      </c>
      <c r="BJ1249" s="75"/>
      <c r="BK1249" s="75"/>
      <c r="BL1249" s="75" t="s">
        <v>439</v>
      </c>
      <c r="BM1249" s="75"/>
    </row>
    <row r="1250" spans="1:65" ht="15" customHeight="1" x14ac:dyDescent="0.2">
      <c r="A1250" s="38"/>
      <c r="B1250" s="38"/>
      <c r="C1250" s="75"/>
      <c r="D1250" s="75"/>
      <c r="E1250" s="75"/>
      <c r="F1250" s="75"/>
      <c r="G1250" s="75"/>
      <c r="H1250" s="75"/>
      <c r="I1250" s="75"/>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t="s">
        <v>439</v>
      </c>
      <c r="BG1250" s="75"/>
      <c r="BH1250" s="75"/>
      <c r="BI1250" s="75" t="s">
        <v>439</v>
      </c>
      <c r="BJ1250" s="75"/>
      <c r="BK1250" s="75"/>
      <c r="BL1250" s="75" t="s">
        <v>439</v>
      </c>
      <c r="BM1250" s="75"/>
    </row>
    <row r="1251" spans="1:65" ht="15" customHeight="1" x14ac:dyDescent="0.2">
      <c r="A1251" s="38"/>
      <c r="B1251" s="38"/>
      <c r="C1251" s="75"/>
      <c r="D1251" s="75"/>
      <c r="E1251" s="75"/>
      <c r="F1251" s="75"/>
      <c r="G1251" s="75"/>
      <c r="H1251" s="75"/>
      <c r="I1251" s="75"/>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t="s">
        <v>439</v>
      </c>
      <c r="BG1251" s="75"/>
      <c r="BH1251" s="75"/>
      <c r="BI1251" s="75" t="s">
        <v>439</v>
      </c>
      <c r="BJ1251" s="75"/>
      <c r="BK1251" s="75"/>
      <c r="BL1251" s="75" t="s">
        <v>439</v>
      </c>
      <c r="BM1251" s="75"/>
    </row>
    <row r="1252" spans="1:65" ht="15" customHeight="1" x14ac:dyDescent="0.2">
      <c r="A1252" s="38"/>
      <c r="B1252" s="38"/>
      <c r="C1252" s="75"/>
      <c r="D1252" s="75"/>
      <c r="E1252" s="75"/>
      <c r="F1252" s="75"/>
      <c r="G1252" s="75"/>
      <c r="H1252" s="75"/>
      <c r="I1252" s="75"/>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t="s">
        <v>439</v>
      </c>
      <c r="BG1252" s="75"/>
      <c r="BH1252" s="75"/>
      <c r="BI1252" s="75" t="s">
        <v>439</v>
      </c>
      <c r="BJ1252" s="75"/>
      <c r="BK1252" s="75"/>
      <c r="BL1252" s="75" t="s">
        <v>439</v>
      </c>
      <c r="BM1252" s="75"/>
    </row>
    <row r="1253" spans="1:65" ht="15" customHeight="1" x14ac:dyDescent="0.2">
      <c r="A1253" s="38"/>
      <c r="B1253" s="38"/>
      <c r="C1253" s="75"/>
      <c r="D1253" s="75"/>
      <c r="E1253" s="75"/>
      <c r="F1253" s="75"/>
      <c r="G1253" s="75"/>
      <c r="H1253" s="75"/>
      <c r="I1253" s="75"/>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t="s">
        <v>439</v>
      </c>
      <c r="BG1253" s="75"/>
      <c r="BH1253" s="75"/>
      <c r="BI1253" s="75" t="s">
        <v>439</v>
      </c>
      <c r="BJ1253" s="75"/>
      <c r="BK1253" s="75"/>
      <c r="BL1253" s="75" t="s">
        <v>439</v>
      </c>
      <c r="BM1253" s="75"/>
    </row>
    <row r="1254" spans="1:65" ht="15" customHeight="1" x14ac:dyDescent="0.2">
      <c r="A1254" s="38"/>
      <c r="B1254" s="38"/>
      <c r="C1254" s="75"/>
      <c r="D1254" s="75"/>
      <c r="E1254" s="75"/>
      <c r="F1254" s="75"/>
      <c r="G1254" s="75"/>
      <c r="H1254" s="75"/>
      <c r="I1254" s="75"/>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t="s">
        <v>439</v>
      </c>
      <c r="BG1254" s="75"/>
      <c r="BH1254" s="75"/>
      <c r="BI1254" s="75" t="s">
        <v>439</v>
      </c>
      <c r="BJ1254" s="75"/>
      <c r="BK1254" s="75"/>
      <c r="BL1254" s="75" t="s">
        <v>439</v>
      </c>
      <c r="BM1254" s="75"/>
    </row>
    <row r="1255" spans="1:65" ht="15" customHeight="1" x14ac:dyDescent="0.2">
      <c r="A1255" s="38"/>
      <c r="B1255" s="38"/>
      <c r="C1255" s="75"/>
      <c r="D1255" s="75"/>
      <c r="E1255" s="75"/>
      <c r="F1255" s="75"/>
      <c r="G1255" s="75"/>
      <c r="H1255" s="75"/>
      <c r="I1255" s="75"/>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t="s">
        <v>439</v>
      </c>
      <c r="BG1255" s="75"/>
      <c r="BH1255" s="75"/>
      <c r="BI1255" s="75" t="s">
        <v>439</v>
      </c>
      <c r="BJ1255" s="75"/>
      <c r="BK1255" s="75"/>
      <c r="BL1255" s="75" t="s">
        <v>439</v>
      </c>
      <c r="BM1255" s="75"/>
    </row>
    <row r="1256" spans="1:65" ht="15" customHeight="1" x14ac:dyDescent="0.2">
      <c r="A1256" s="38"/>
      <c r="B1256" s="38"/>
      <c r="C1256" s="75"/>
      <c r="D1256" s="75"/>
      <c r="E1256" s="75"/>
      <c r="F1256" s="75"/>
      <c r="G1256" s="75"/>
      <c r="H1256" s="75"/>
      <c r="I1256" s="75"/>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t="s">
        <v>439</v>
      </c>
      <c r="BG1256" s="75"/>
      <c r="BH1256" s="75"/>
      <c r="BI1256" s="75" t="s">
        <v>439</v>
      </c>
      <c r="BJ1256" s="75"/>
      <c r="BK1256" s="75"/>
      <c r="BL1256" s="75" t="s">
        <v>439</v>
      </c>
      <c r="BM1256" s="75"/>
    </row>
    <row r="1257" spans="1:65" ht="15" customHeight="1" x14ac:dyDescent="0.2">
      <c r="A1257" s="38"/>
      <c r="B1257" s="38"/>
      <c r="C1257" s="75"/>
      <c r="D1257" s="75"/>
      <c r="E1257" s="75"/>
      <c r="F1257" s="75"/>
      <c r="G1257" s="75"/>
      <c r="H1257" s="75"/>
      <c r="I1257" s="75"/>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t="s">
        <v>439</v>
      </c>
      <c r="BG1257" s="75"/>
      <c r="BH1257" s="75"/>
      <c r="BI1257" s="75" t="s">
        <v>439</v>
      </c>
      <c r="BJ1257" s="75"/>
      <c r="BK1257" s="75"/>
      <c r="BL1257" s="75" t="s">
        <v>439</v>
      </c>
      <c r="BM1257" s="75"/>
    </row>
    <row r="1258" spans="1:65" ht="15" customHeight="1" x14ac:dyDescent="0.2">
      <c r="A1258" s="38"/>
      <c r="B1258" s="38"/>
      <c r="C1258" s="75"/>
      <c r="D1258" s="75"/>
      <c r="E1258" s="75"/>
      <c r="F1258" s="75"/>
      <c r="G1258" s="75"/>
      <c r="H1258" s="75"/>
      <c r="I1258" s="75"/>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t="s">
        <v>439</v>
      </c>
      <c r="BG1258" s="75"/>
      <c r="BH1258" s="75"/>
      <c r="BI1258" s="75" t="s">
        <v>439</v>
      </c>
      <c r="BJ1258" s="75"/>
      <c r="BK1258" s="75"/>
      <c r="BL1258" s="75" t="s">
        <v>439</v>
      </c>
      <c r="BM1258" s="75"/>
    </row>
    <row r="1259" spans="1:65" ht="15" customHeight="1" x14ac:dyDescent="0.2">
      <c r="A1259" s="38"/>
      <c r="B1259" s="38"/>
      <c r="C1259" s="75"/>
      <c r="D1259" s="75"/>
      <c r="E1259" s="75"/>
      <c r="F1259" s="75"/>
      <c r="G1259" s="75"/>
      <c r="H1259" s="75"/>
      <c r="I1259" s="75"/>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t="s">
        <v>439</v>
      </c>
      <c r="BG1259" s="75"/>
      <c r="BH1259" s="75"/>
      <c r="BI1259" s="75" t="s">
        <v>439</v>
      </c>
      <c r="BJ1259" s="75"/>
      <c r="BK1259" s="75"/>
      <c r="BL1259" s="75" t="s">
        <v>439</v>
      </c>
      <c r="BM1259" s="75"/>
    </row>
    <row r="1260" spans="1:65" ht="15" customHeight="1" x14ac:dyDescent="0.2">
      <c r="A1260" s="38"/>
      <c r="B1260" s="38"/>
      <c r="C1260" s="75"/>
      <c r="D1260" s="75"/>
      <c r="E1260" s="75"/>
      <c r="F1260" s="75"/>
      <c r="G1260" s="75"/>
      <c r="H1260" s="75"/>
      <c r="I1260" s="75"/>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t="s">
        <v>439</v>
      </c>
      <c r="BG1260" s="75"/>
      <c r="BH1260" s="75"/>
      <c r="BI1260" s="75" t="s">
        <v>439</v>
      </c>
      <c r="BJ1260" s="75"/>
      <c r="BK1260" s="75"/>
      <c r="BL1260" s="75" t="s">
        <v>439</v>
      </c>
      <c r="BM1260" s="75"/>
    </row>
    <row r="1261" spans="1:65" ht="15" customHeight="1" x14ac:dyDescent="0.2">
      <c r="A1261" s="38"/>
      <c r="B1261" s="38"/>
      <c r="C1261" s="75"/>
      <c r="D1261" s="75"/>
      <c r="E1261" s="75"/>
      <c r="F1261" s="75"/>
      <c r="G1261" s="75"/>
      <c r="H1261" s="75"/>
      <c r="I1261" s="75"/>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t="s">
        <v>439</v>
      </c>
      <c r="BG1261" s="75"/>
      <c r="BH1261" s="75"/>
      <c r="BI1261" s="75" t="s">
        <v>439</v>
      </c>
      <c r="BJ1261" s="75"/>
      <c r="BK1261" s="75"/>
      <c r="BL1261" s="75" t="s">
        <v>439</v>
      </c>
      <c r="BM1261" s="75"/>
    </row>
    <row r="1262" spans="1:65" ht="15" customHeight="1" x14ac:dyDescent="0.2">
      <c r="A1262" s="38"/>
      <c r="B1262" s="38"/>
      <c r="C1262" s="75"/>
      <c r="D1262" s="75"/>
      <c r="E1262" s="75"/>
      <c r="F1262" s="75"/>
      <c r="G1262" s="75"/>
      <c r="H1262" s="75"/>
      <c r="I1262" s="75"/>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t="s">
        <v>439</v>
      </c>
      <c r="BG1262" s="75"/>
      <c r="BH1262" s="75"/>
      <c r="BI1262" s="75" t="s">
        <v>439</v>
      </c>
      <c r="BJ1262" s="75"/>
      <c r="BK1262" s="75"/>
      <c r="BL1262" s="75" t="s">
        <v>439</v>
      </c>
      <c r="BM1262" s="75"/>
    </row>
    <row r="1263" spans="1:65" ht="15" customHeight="1" x14ac:dyDescent="0.2">
      <c r="A1263" s="38"/>
      <c r="B1263" s="38"/>
      <c r="C1263" s="75"/>
      <c r="D1263" s="75"/>
      <c r="E1263" s="75"/>
      <c r="F1263" s="75"/>
      <c r="G1263" s="75"/>
      <c r="H1263" s="75"/>
      <c r="I1263" s="75"/>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t="s">
        <v>439</v>
      </c>
      <c r="BG1263" s="75"/>
      <c r="BH1263" s="75"/>
      <c r="BI1263" s="75" t="s">
        <v>439</v>
      </c>
      <c r="BJ1263" s="75"/>
      <c r="BK1263" s="75"/>
      <c r="BL1263" s="75" t="s">
        <v>439</v>
      </c>
      <c r="BM1263" s="75"/>
    </row>
    <row r="1264" spans="1:65" ht="15" customHeight="1" x14ac:dyDescent="0.2">
      <c r="A1264" s="38"/>
      <c r="B1264" s="38"/>
      <c r="C1264" s="75"/>
      <c r="D1264" s="75"/>
      <c r="E1264" s="75"/>
      <c r="F1264" s="75"/>
      <c r="G1264" s="75"/>
      <c r="H1264" s="75"/>
      <c r="I1264" s="75"/>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t="s">
        <v>439</v>
      </c>
      <c r="BG1264" s="75"/>
      <c r="BH1264" s="75"/>
      <c r="BI1264" s="75" t="s">
        <v>439</v>
      </c>
      <c r="BJ1264" s="75"/>
      <c r="BK1264" s="75"/>
      <c r="BL1264" s="75" t="s">
        <v>439</v>
      </c>
      <c r="BM1264" s="75"/>
    </row>
    <row r="1265" spans="1:65" ht="15" customHeight="1" x14ac:dyDescent="0.2">
      <c r="A1265" s="38"/>
      <c r="B1265" s="38"/>
      <c r="C1265" s="75"/>
      <c r="D1265" s="75"/>
      <c r="E1265" s="75"/>
      <c r="F1265" s="75"/>
      <c r="G1265" s="75"/>
      <c r="H1265" s="75"/>
      <c r="I1265" s="75"/>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t="s">
        <v>439</v>
      </c>
      <c r="BG1265" s="75"/>
      <c r="BH1265" s="75"/>
      <c r="BI1265" s="75" t="s">
        <v>439</v>
      </c>
      <c r="BJ1265" s="75"/>
      <c r="BK1265" s="75"/>
      <c r="BL1265" s="75" t="s">
        <v>439</v>
      </c>
      <c r="BM1265" s="75"/>
    </row>
    <row r="1266" spans="1:65" ht="15" customHeight="1" x14ac:dyDescent="0.2">
      <c r="A1266" s="38"/>
      <c r="B1266" s="38"/>
      <c r="C1266" s="75"/>
      <c r="D1266" s="75"/>
      <c r="E1266" s="75"/>
      <c r="F1266" s="75"/>
      <c r="G1266" s="75"/>
      <c r="H1266" s="75"/>
      <c r="I1266" s="75"/>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t="s">
        <v>439</v>
      </c>
      <c r="BG1266" s="75"/>
      <c r="BH1266" s="75"/>
      <c r="BI1266" s="75" t="s">
        <v>439</v>
      </c>
      <c r="BJ1266" s="75"/>
      <c r="BK1266" s="75"/>
      <c r="BL1266" s="75" t="s">
        <v>439</v>
      </c>
      <c r="BM1266" s="75"/>
    </row>
    <row r="1267" spans="1:65" ht="15" customHeight="1" x14ac:dyDescent="0.2">
      <c r="A1267" s="38"/>
      <c r="B1267" s="38"/>
      <c r="C1267" s="75"/>
      <c r="D1267" s="75"/>
      <c r="E1267" s="75"/>
      <c r="F1267" s="75"/>
      <c r="G1267" s="75"/>
      <c r="H1267" s="75"/>
      <c r="I1267" s="75"/>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t="s">
        <v>439</v>
      </c>
      <c r="BG1267" s="75"/>
      <c r="BH1267" s="75"/>
      <c r="BI1267" s="75" t="s">
        <v>439</v>
      </c>
      <c r="BJ1267" s="75"/>
      <c r="BK1267" s="75"/>
      <c r="BL1267" s="75" t="s">
        <v>439</v>
      </c>
      <c r="BM1267" s="75"/>
    </row>
    <row r="1268" spans="1:65" ht="15" customHeight="1" x14ac:dyDescent="0.2">
      <c r="A1268" s="38"/>
      <c r="B1268" s="38"/>
      <c r="C1268" s="75"/>
      <c r="D1268" s="75"/>
      <c r="E1268" s="75"/>
      <c r="F1268" s="75"/>
      <c r="G1268" s="75"/>
      <c r="H1268" s="75"/>
      <c r="I1268" s="75"/>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t="s">
        <v>439</v>
      </c>
      <c r="BG1268" s="75"/>
      <c r="BH1268" s="75"/>
      <c r="BI1268" s="75" t="s">
        <v>439</v>
      </c>
      <c r="BJ1268" s="75"/>
      <c r="BK1268" s="75"/>
      <c r="BL1268" s="75" t="s">
        <v>439</v>
      </c>
      <c r="BM1268" s="75"/>
    </row>
    <row r="1269" spans="1:65" ht="15" customHeight="1" x14ac:dyDescent="0.2">
      <c r="A1269" s="38"/>
      <c r="B1269" s="38"/>
      <c r="C1269" s="75"/>
      <c r="D1269" s="75"/>
      <c r="E1269" s="75"/>
      <c r="F1269" s="75"/>
      <c r="G1269" s="75"/>
      <c r="H1269" s="75"/>
      <c r="I1269" s="75"/>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t="s">
        <v>439</v>
      </c>
      <c r="BG1269" s="75"/>
      <c r="BH1269" s="75"/>
      <c r="BI1269" s="75" t="s">
        <v>439</v>
      </c>
      <c r="BJ1269" s="75"/>
      <c r="BK1269" s="75"/>
      <c r="BL1269" s="75" t="s">
        <v>439</v>
      </c>
      <c r="BM1269" s="75"/>
    </row>
    <row r="1270" spans="1:65" ht="15" customHeight="1" x14ac:dyDescent="0.2">
      <c r="A1270" s="38"/>
      <c r="B1270" s="38"/>
      <c r="C1270" s="75"/>
      <c r="D1270" s="75"/>
      <c r="E1270" s="75"/>
      <c r="F1270" s="75"/>
      <c r="G1270" s="75"/>
      <c r="H1270" s="75"/>
      <c r="I1270" s="75"/>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t="s">
        <v>439</v>
      </c>
      <c r="BG1270" s="75"/>
      <c r="BH1270" s="75"/>
      <c r="BI1270" s="75" t="s">
        <v>439</v>
      </c>
      <c r="BJ1270" s="75"/>
      <c r="BK1270" s="75"/>
      <c r="BL1270" s="75" t="s">
        <v>439</v>
      </c>
      <c r="BM1270" s="75"/>
    </row>
    <row r="1271" spans="1:65" ht="15" customHeight="1" x14ac:dyDescent="0.2">
      <c r="A1271" s="38"/>
      <c r="B1271" s="38"/>
      <c r="C1271" s="75"/>
      <c r="D1271" s="75"/>
      <c r="E1271" s="75"/>
      <c r="F1271" s="75"/>
      <c r="G1271" s="75"/>
      <c r="H1271" s="75"/>
      <c r="I1271" s="75"/>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t="s">
        <v>439</v>
      </c>
      <c r="BG1271" s="75"/>
      <c r="BH1271" s="75"/>
      <c r="BI1271" s="75" t="s">
        <v>439</v>
      </c>
      <c r="BJ1271" s="75"/>
      <c r="BK1271" s="75"/>
      <c r="BL1271" s="75" t="s">
        <v>439</v>
      </c>
      <c r="BM1271" s="75"/>
    </row>
    <row r="1272" spans="1:65" ht="15" customHeight="1" x14ac:dyDescent="0.2">
      <c r="A1272" s="38"/>
      <c r="B1272" s="38"/>
      <c r="C1272" s="75"/>
      <c r="D1272" s="75"/>
      <c r="E1272" s="75"/>
      <c r="F1272" s="75"/>
      <c r="G1272" s="75"/>
      <c r="H1272" s="75"/>
      <c r="I1272" s="75"/>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t="s">
        <v>439</v>
      </c>
      <c r="BG1272" s="75"/>
      <c r="BH1272" s="75"/>
      <c r="BI1272" s="75" t="s">
        <v>439</v>
      </c>
      <c r="BJ1272" s="75"/>
      <c r="BK1272" s="75"/>
      <c r="BL1272" s="75" t="s">
        <v>439</v>
      </c>
      <c r="BM1272" s="75"/>
    </row>
    <row r="1273" spans="1:65" ht="15" customHeight="1" x14ac:dyDescent="0.2">
      <c r="A1273" s="38"/>
      <c r="B1273" s="38"/>
      <c r="C1273" s="75"/>
      <c r="D1273" s="75"/>
      <c r="E1273" s="75"/>
      <c r="F1273" s="75"/>
      <c r="G1273" s="75"/>
      <c r="H1273" s="75"/>
      <c r="I1273" s="75"/>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t="s">
        <v>439</v>
      </c>
      <c r="BG1273" s="75"/>
      <c r="BH1273" s="75"/>
      <c r="BI1273" s="75" t="s">
        <v>439</v>
      </c>
      <c r="BJ1273" s="75"/>
      <c r="BK1273" s="75"/>
      <c r="BL1273" s="75" t="s">
        <v>439</v>
      </c>
      <c r="BM1273" s="75"/>
    </row>
    <row r="1274" spans="1:65" ht="15" customHeight="1" x14ac:dyDescent="0.2">
      <c r="A1274" s="38"/>
      <c r="B1274" s="38"/>
      <c r="C1274" s="75"/>
      <c r="D1274" s="75"/>
      <c r="E1274" s="75"/>
      <c r="F1274" s="75"/>
      <c r="G1274" s="75"/>
      <c r="H1274" s="75"/>
      <c r="I1274" s="75"/>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t="s">
        <v>439</v>
      </c>
      <c r="BG1274" s="75"/>
      <c r="BH1274" s="75"/>
      <c r="BI1274" s="75" t="s">
        <v>439</v>
      </c>
      <c r="BJ1274" s="75"/>
      <c r="BK1274" s="75"/>
      <c r="BL1274" s="75" t="s">
        <v>439</v>
      </c>
      <c r="BM1274" s="75"/>
    </row>
    <row r="1275" spans="1:65" ht="15" customHeight="1" x14ac:dyDescent="0.2">
      <c r="A1275" s="38"/>
      <c r="B1275" s="38"/>
      <c r="C1275" s="75"/>
      <c r="D1275" s="75"/>
      <c r="E1275" s="75"/>
      <c r="F1275" s="75"/>
      <c r="G1275" s="75"/>
      <c r="H1275" s="75"/>
      <c r="I1275" s="75"/>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t="s">
        <v>439</v>
      </c>
      <c r="BG1275" s="75"/>
      <c r="BH1275" s="75"/>
      <c r="BI1275" s="75" t="s">
        <v>439</v>
      </c>
      <c r="BJ1275" s="75"/>
      <c r="BK1275" s="75"/>
      <c r="BL1275" s="75" t="s">
        <v>439</v>
      </c>
      <c r="BM1275" s="75"/>
    </row>
    <row r="1276" spans="1:65" ht="15" customHeight="1" x14ac:dyDescent="0.2">
      <c r="A1276" s="38"/>
      <c r="B1276" s="38"/>
      <c r="C1276" s="75"/>
      <c r="D1276" s="75"/>
      <c r="E1276" s="75"/>
      <c r="F1276" s="75"/>
      <c r="G1276" s="75"/>
      <c r="H1276" s="75"/>
      <c r="I1276" s="75"/>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t="s">
        <v>439</v>
      </c>
      <c r="BG1276" s="75"/>
      <c r="BH1276" s="75"/>
      <c r="BI1276" s="75" t="s">
        <v>439</v>
      </c>
      <c r="BJ1276" s="75"/>
      <c r="BK1276" s="75"/>
      <c r="BL1276" s="75" t="s">
        <v>439</v>
      </c>
      <c r="BM1276" s="75"/>
    </row>
    <row r="1277" spans="1:65" ht="15" customHeight="1" x14ac:dyDescent="0.2">
      <c r="A1277" s="38"/>
      <c r="B1277" s="38"/>
      <c r="C1277" s="75"/>
      <c r="D1277" s="75"/>
      <c r="E1277" s="75"/>
      <c r="F1277" s="75"/>
      <c r="G1277" s="75"/>
      <c r="H1277" s="75"/>
      <c r="I1277" s="75"/>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t="s">
        <v>439</v>
      </c>
      <c r="BG1277" s="75"/>
      <c r="BH1277" s="75"/>
      <c r="BI1277" s="75" t="s">
        <v>439</v>
      </c>
      <c r="BJ1277" s="75"/>
      <c r="BK1277" s="75"/>
      <c r="BL1277" s="75" t="s">
        <v>439</v>
      </c>
      <c r="BM1277" s="75"/>
    </row>
    <row r="1278" spans="1:65" ht="15" customHeight="1" x14ac:dyDescent="0.2">
      <c r="A1278" s="38"/>
      <c r="B1278" s="38"/>
      <c r="C1278" s="75"/>
      <c r="D1278" s="75"/>
      <c r="E1278" s="75"/>
      <c r="F1278" s="75"/>
      <c r="G1278" s="75"/>
      <c r="H1278" s="75"/>
      <c r="I1278" s="75"/>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t="s">
        <v>439</v>
      </c>
      <c r="BG1278" s="75"/>
      <c r="BH1278" s="75"/>
      <c r="BI1278" s="75" t="s">
        <v>439</v>
      </c>
      <c r="BJ1278" s="75"/>
      <c r="BK1278" s="75"/>
      <c r="BL1278" s="75" t="s">
        <v>439</v>
      </c>
      <c r="BM1278" s="75"/>
    </row>
    <row r="1279" spans="1:65" ht="15" customHeight="1" x14ac:dyDescent="0.2">
      <c r="A1279" s="38"/>
      <c r="B1279" s="38"/>
      <c r="C1279" s="75"/>
      <c r="D1279" s="75"/>
      <c r="E1279" s="75"/>
      <c r="F1279" s="75"/>
      <c r="G1279" s="75"/>
      <c r="H1279" s="75"/>
      <c r="I1279" s="75"/>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t="s">
        <v>439</v>
      </c>
      <c r="BG1279" s="75"/>
      <c r="BH1279" s="75"/>
      <c r="BI1279" s="75" t="s">
        <v>439</v>
      </c>
      <c r="BJ1279" s="75"/>
      <c r="BK1279" s="75"/>
      <c r="BL1279" s="75" t="s">
        <v>439</v>
      </c>
      <c r="BM1279" s="75"/>
    </row>
    <row r="1280" spans="1:65" ht="15" customHeight="1" x14ac:dyDescent="0.2">
      <c r="A1280" s="38"/>
      <c r="B1280" s="38"/>
      <c r="C1280" s="75"/>
      <c r="D1280" s="75"/>
      <c r="E1280" s="75"/>
      <c r="F1280" s="75"/>
      <c r="G1280" s="75"/>
      <c r="H1280" s="75"/>
      <c r="I1280" s="75"/>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t="s">
        <v>439</v>
      </c>
      <c r="BG1280" s="75"/>
      <c r="BH1280" s="75"/>
      <c r="BI1280" s="75" t="s">
        <v>439</v>
      </c>
      <c r="BJ1280" s="75"/>
      <c r="BK1280" s="75"/>
      <c r="BL1280" s="75" t="s">
        <v>439</v>
      </c>
      <c r="BM1280" s="75"/>
    </row>
    <row r="1281" spans="1:65" ht="15" customHeight="1" x14ac:dyDescent="0.2">
      <c r="A1281" s="38"/>
      <c r="B1281" s="38"/>
      <c r="C1281" s="75"/>
      <c r="D1281" s="75"/>
      <c r="E1281" s="75"/>
      <c r="F1281" s="75"/>
      <c r="G1281" s="75"/>
      <c r="H1281" s="75"/>
      <c r="I1281" s="75"/>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t="s">
        <v>439</v>
      </c>
      <c r="BG1281" s="75"/>
      <c r="BH1281" s="75"/>
      <c r="BI1281" s="75" t="s">
        <v>439</v>
      </c>
      <c r="BJ1281" s="75"/>
      <c r="BK1281" s="75"/>
      <c r="BL1281" s="75" t="s">
        <v>439</v>
      </c>
      <c r="BM1281" s="75"/>
    </row>
    <row r="1282" spans="1:65" ht="15" customHeight="1" x14ac:dyDescent="0.2">
      <c r="A1282" s="38"/>
      <c r="B1282" s="38"/>
      <c r="C1282" s="75"/>
      <c r="D1282" s="75"/>
      <c r="E1282" s="75"/>
      <c r="F1282" s="75"/>
      <c r="G1282" s="75"/>
      <c r="H1282" s="75"/>
      <c r="I1282" s="75"/>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t="s">
        <v>439</v>
      </c>
      <c r="BG1282" s="75"/>
      <c r="BH1282" s="75"/>
      <c r="BI1282" s="75" t="s">
        <v>439</v>
      </c>
      <c r="BJ1282" s="75"/>
      <c r="BK1282" s="75"/>
      <c r="BL1282" s="75" t="s">
        <v>439</v>
      </c>
      <c r="BM1282" s="75"/>
    </row>
    <row r="1283" spans="1:65" ht="15" customHeight="1" x14ac:dyDescent="0.2">
      <c r="A1283" s="38"/>
      <c r="B1283" s="38"/>
      <c r="C1283" s="75"/>
      <c r="D1283" s="75"/>
      <c r="E1283" s="75"/>
      <c r="F1283" s="75"/>
      <c r="G1283" s="75"/>
      <c r="H1283" s="75"/>
      <c r="I1283" s="75"/>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t="s">
        <v>439</v>
      </c>
      <c r="BG1283" s="75"/>
      <c r="BH1283" s="75"/>
      <c r="BI1283" s="75" t="s">
        <v>439</v>
      </c>
      <c r="BJ1283" s="75"/>
      <c r="BK1283" s="75"/>
      <c r="BL1283" s="75" t="s">
        <v>439</v>
      </c>
      <c r="BM1283" s="75"/>
    </row>
    <row r="1284" spans="1:65" ht="15" customHeight="1" x14ac:dyDescent="0.2">
      <c r="A1284" s="38"/>
      <c r="B1284" s="38"/>
      <c r="C1284" s="75"/>
      <c r="D1284" s="75"/>
      <c r="E1284" s="75"/>
      <c r="F1284" s="75"/>
      <c r="G1284" s="75"/>
      <c r="H1284" s="75"/>
      <c r="I1284" s="75"/>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t="s">
        <v>439</v>
      </c>
      <c r="BG1284" s="75"/>
      <c r="BH1284" s="75"/>
      <c r="BI1284" s="75" t="s">
        <v>439</v>
      </c>
      <c r="BJ1284" s="75"/>
      <c r="BK1284" s="75"/>
      <c r="BL1284" s="75" t="s">
        <v>439</v>
      </c>
      <c r="BM1284" s="75"/>
    </row>
    <row r="1285" spans="1:65" ht="15" customHeight="1" x14ac:dyDescent="0.2">
      <c r="A1285" s="38"/>
      <c r="B1285" s="38"/>
      <c r="C1285" s="75"/>
      <c r="D1285" s="75"/>
      <c r="E1285" s="75"/>
      <c r="F1285" s="75"/>
      <c r="G1285" s="75"/>
      <c r="H1285" s="75"/>
      <c r="I1285" s="75"/>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t="s">
        <v>439</v>
      </c>
      <c r="BG1285" s="75"/>
      <c r="BH1285" s="75"/>
      <c r="BI1285" s="75" t="s">
        <v>439</v>
      </c>
      <c r="BJ1285" s="75"/>
      <c r="BK1285" s="75"/>
      <c r="BL1285" s="75" t="s">
        <v>439</v>
      </c>
      <c r="BM1285" s="75"/>
    </row>
    <row r="1286" spans="1:65" ht="15" customHeight="1" x14ac:dyDescent="0.2">
      <c r="A1286" s="38"/>
      <c r="B1286" s="38"/>
      <c r="C1286" s="75"/>
      <c r="D1286" s="75"/>
      <c r="E1286" s="75"/>
      <c r="F1286" s="75"/>
      <c r="G1286" s="75"/>
      <c r="H1286" s="75"/>
      <c r="I1286" s="75"/>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t="s">
        <v>439</v>
      </c>
      <c r="BG1286" s="75"/>
      <c r="BH1286" s="75"/>
      <c r="BI1286" s="75" t="s">
        <v>439</v>
      </c>
      <c r="BJ1286" s="75"/>
      <c r="BK1286" s="75"/>
      <c r="BL1286" s="75" t="s">
        <v>439</v>
      </c>
      <c r="BM1286" s="75"/>
    </row>
    <row r="1287" spans="1:65" ht="15" customHeight="1" x14ac:dyDescent="0.2">
      <c r="A1287" s="38"/>
      <c r="B1287" s="38"/>
      <c r="C1287" s="75"/>
      <c r="D1287" s="75"/>
      <c r="E1287" s="75"/>
      <c r="F1287" s="75"/>
      <c r="G1287" s="75"/>
      <c r="H1287" s="75"/>
      <c r="I1287" s="75"/>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t="s">
        <v>439</v>
      </c>
      <c r="BG1287" s="75"/>
      <c r="BH1287" s="75"/>
      <c r="BI1287" s="75" t="s">
        <v>439</v>
      </c>
      <c r="BJ1287" s="75"/>
      <c r="BK1287" s="75"/>
      <c r="BL1287" s="75" t="s">
        <v>439</v>
      </c>
      <c r="BM1287" s="75"/>
    </row>
    <row r="1288" spans="1:65" ht="15" customHeight="1" x14ac:dyDescent="0.2">
      <c r="A1288" s="38"/>
      <c r="B1288" s="38"/>
      <c r="C1288" s="75"/>
      <c r="D1288" s="75"/>
      <c r="E1288" s="75"/>
      <c r="F1288" s="75"/>
      <c r="G1288" s="75"/>
      <c r="H1288" s="75"/>
      <c r="I1288" s="75"/>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t="s">
        <v>439</v>
      </c>
      <c r="BG1288" s="75"/>
      <c r="BH1288" s="75"/>
      <c r="BI1288" s="75" t="s">
        <v>439</v>
      </c>
      <c r="BJ1288" s="75"/>
      <c r="BK1288" s="75"/>
      <c r="BL1288" s="75" t="s">
        <v>439</v>
      </c>
      <c r="BM1288" s="75"/>
    </row>
    <row r="1289" spans="1:65" ht="15" customHeight="1" x14ac:dyDescent="0.2">
      <c r="A1289" s="38"/>
      <c r="B1289" s="38"/>
      <c r="C1289" s="75"/>
      <c r="D1289" s="75"/>
      <c r="E1289" s="75"/>
      <c r="F1289" s="75"/>
      <c r="G1289" s="75"/>
      <c r="H1289" s="75"/>
      <c r="I1289" s="75"/>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t="s">
        <v>439</v>
      </c>
      <c r="BG1289" s="75"/>
      <c r="BH1289" s="75"/>
      <c r="BI1289" s="75" t="s">
        <v>439</v>
      </c>
      <c r="BJ1289" s="75"/>
      <c r="BK1289" s="75"/>
      <c r="BL1289" s="75" t="s">
        <v>439</v>
      </c>
      <c r="BM1289" s="75"/>
    </row>
    <row r="1290" spans="1:65" ht="15" customHeight="1" x14ac:dyDescent="0.2">
      <c r="A1290" s="38"/>
      <c r="B1290" s="38"/>
      <c r="C1290" s="75"/>
      <c r="D1290" s="75"/>
      <c r="E1290" s="75"/>
      <c r="F1290" s="75"/>
      <c r="G1290" s="75"/>
      <c r="H1290" s="75"/>
      <c r="I1290" s="75"/>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t="s">
        <v>439</v>
      </c>
      <c r="BG1290" s="75"/>
      <c r="BH1290" s="75"/>
      <c r="BI1290" s="75" t="s">
        <v>439</v>
      </c>
      <c r="BJ1290" s="75"/>
      <c r="BK1290" s="75"/>
      <c r="BL1290" s="75" t="s">
        <v>439</v>
      </c>
      <c r="BM1290" s="75"/>
    </row>
    <row r="1291" spans="1:65" ht="15" customHeight="1" x14ac:dyDescent="0.2">
      <c r="A1291" s="38"/>
      <c r="B1291" s="38"/>
      <c r="C1291" s="75"/>
      <c r="D1291" s="75"/>
      <c r="E1291" s="75"/>
      <c r="F1291" s="75"/>
      <c r="G1291" s="75"/>
      <c r="H1291" s="75"/>
      <c r="I1291" s="75"/>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t="s">
        <v>439</v>
      </c>
      <c r="BG1291" s="75"/>
      <c r="BH1291" s="75"/>
      <c r="BI1291" s="75" t="s">
        <v>439</v>
      </c>
      <c r="BJ1291" s="75"/>
      <c r="BK1291" s="75"/>
      <c r="BL1291" s="75" t="s">
        <v>439</v>
      </c>
      <c r="BM1291" s="75"/>
    </row>
    <row r="1292" spans="1:65" ht="15" customHeight="1" x14ac:dyDescent="0.2">
      <c r="A1292" s="38"/>
      <c r="B1292" s="38"/>
      <c r="C1292" s="75"/>
      <c r="D1292" s="75"/>
      <c r="E1292" s="75"/>
      <c r="F1292" s="75"/>
      <c r="G1292" s="75"/>
      <c r="H1292" s="75"/>
      <c r="I1292" s="75"/>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t="s">
        <v>439</v>
      </c>
      <c r="BG1292" s="75"/>
      <c r="BH1292" s="75"/>
      <c r="BI1292" s="75" t="s">
        <v>439</v>
      </c>
      <c r="BJ1292" s="75"/>
      <c r="BK1292" s="75"/>
      <c r="BL1292" s="75" t="s">
        <v>439</v>
      </c>
      <c r="BM1292" s="75"/>
    </row>
    <row r="1293" spans="1:65" ht="15" customHeight="1" x14ac:dyDescent="0.2">
      <c r="A1293" s="38"/>
      <c r="B1293" s="38"/>
      <c r="C1293" s="75"/>
      <c r="D1293" s="75"/>
      <c r="E1293" s="75"/>
      <c r="F1293" s="75"/>
      <c r="G1293" s="75"/>
      <c r="H1293" s="75"/>
      <c r="I1293" s="75"/>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t="s">
        <v>439</v>
      </c>
      <c r="BG1293" s="75"/>
      <c r="BH1293" s="75"/>
      <c r="BI1293" s="75" t="s">
        <v>439</v>
      </c>
      <c r="BJ1293" s="75"/>
      <c r="BK1293" s="75"/>
      <c r="BL1293" s="75" t="s">
        <v>439</v>
      </c>
      <c r="BM1293" s="75"/>
    </row>
    <row r="1294" spans="1:65" ht="15" customHeight="1" x14ac:dyDescent="0.2">
      <c r="A1294" s="38"/>
      <c r="B1294" s="38"/>
      <c r="C1294" s="75"/>
      <c r="D1294" s="75"/>
      <c r="E1294" s="75"/>
      <c r="F1294" s="75"/>
      <c r="G1294" s="75"/>
      <c r="H1294" s="75"/>
      <c r="I1294" s="75"/>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t="s">
        <v>439</v>
      </c>
      <c r="BG1294" s="75"/>
      <c r="BH1294" s="75"/>
      <c r="BI1294" s="75" t="s">
        <v>439</v>
      </c>
      <c r="BJ1294" s="75"/>
      <c r="BK1294" s="75"/>
      <c r="BL1294" s="75" t="s">
        <v>439</v>
      </c>
      <c r="BM1294" s="75"/>
    </row>
    <row r="1295" spans="1:65" ht="15" customHeight="1" x14ac:dyDescent="0.2">
      <c r="A1295" s="38"/>
      <c r="B1295" s="38"/>
      <c r="C1295" s="75"/>
      <c r="D1295" s="75"/>
      <c r="E1295" s="75"/>
      <c r="F1295" s="75"/>
      <c r="G1295" s="75"/>
      <c r="H1295" s="75"/>
      <c r="I1295" s="75"/>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t="s">
        <v>439</v>
      </c>
      <c r="BG1295" s="75"/>
      <c r="BH1295" s="75"/>
      <c r="BI1295" s="75" t="s">
        <v>439</v>
      </c>
      <c r="BJ1295" s="75"/>
      <c r="BK1295" s="75"/>
      <c r="BL1295" s="75" t="s">
        <v>439</v>
      </c>
      <c r="BM1295" s="75"/>
    </row>
    <row r="1296" spans="1:65" ht="15" customHeight="1" x14ac:dyDescent="0.2">
      <c r="A1296" s="38"/>
      <c r="B1296" s="38"/>
      <c r="C1296" s="75"/>
      <c r="D1296" s="75"/>
      <c r="E1296" s="75"/>
      <c r="F1296" s="75"/>
      <c r="G1296" s="75"/>
      <c r="H1296" s="75"/>
      <c r="I1296" s="75"/>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t="s">
        <v>439</v>
      </c>
      <c r="BG1296" s="75"/>
      <c r="BH1296" s="75"/>
      <c r="BI1296" s="75" t="s">
        <v>439</v>
      </c>
      <c r="BJ1296" s="75"/>
      <c r="BK1296" s="75"/>
      <c r="BL1296" s="75" t="s">
        <v>439</v>
      </c>
      <c r="BM1296" s="75"/>
    </row>
    <row r="1297" spans="1:65" ht="15" customHeight="1" x14ac:dyDescent="0.2">
      <c r="A1297" s="38"/>
      <c r="B1297" s="38"/>
      <c r="C1297" s="75"/>
      <c r="D1297" s="75"/>
      <c r="E1297" s="75"/>
      <c r="F1297" s="75"/>
      <c r="G1297" s="75"/>
      <c r="H1297" s="75"/>
      <c r="I1297" s="75"/>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t="s">
        <v>439</v>
      </c>
      <c r="BG1297" s="75"/>
      <c r="BH1297" s="75"/>
      <c r="BI1297" s="75" t="s">
        <v>439</v>
      </c>
      <c r="BJ1297" s="75"/>
      <c r="BK1297" s="75"/>
      <c r="BL1297" s="75" t="s">
        <v>439</v>
      </c>
      <c r="BM1297" s="75"/>
    </row>
    <row r="1298" spans="1:65" ht="15" customHeight="1" x14ac:dyDescent="0.2">
      <c r="A1298" s="38"/>
      <c r="B1298" s="38"/>
      <c r="C1298" s="75"/>
      <c r="D1298" s="75"/>
      <c r="E1298" s="75"/>
      <c r="F1298" s="75"/>
      <c r="G1298" s="75"/>
      <c r="H1298" s="75"/>
      <c r="I1298" s="75"/>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t="s">
        <v>439</v>
      </c>
      <c r="BG1298" s="75"/>
      <c r="BH1298" s="75"/>
      <c r="BI1298" s="75" t="s">
        <v>439</v>
      </c>
      <c r="BJ1298" s="75"/>
      <c r="BK1298" s="75"/>
      <c r="BL1298" s="75" t="s">
        <v>439</v>
      </c>
      <c r="BM1298" s="75"/>
    </row>
    <row r="1299" spans="1:65" ht="15" customHeight="1" x14ac:dyDescent="0.2">
      <c r="A1299" s="38"/>
      <c r="B1299" s="38"/>
      <c r="C1299" s="75"/>
      <c r="D1299" s="75"/>
      <c r="E1299" s="75"/>
      <c r="F1299" s="75"/>
      <c r="G1299" s="75"/>
      <c r="H1299" s="75"/>
      <c r="I1299" s="75"/>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t="s">
        <v>439</v>
      </c>
      <c r="BG1299" s="75"/>
      <c r="BH1299" s="75"/>
      <c r="BI1299" s="75" t="s">
        <v>439</v>
      </c>
      <c r="BJ1299" s="75"/>
      <c r="BK1299" s="75"/>
      <c r="BL1299" s="75" t="s">
        <v>439</v>
      </c>
      <c r="BM1299" s="75"/>
    </row>
    <row r="1300" spans="1:65" ht="15" customHeight="1" x14ac:dyDescent="0.2">
      <c r="A1300" s="38"/>
      <c r="B1300" s="38"/>
      <c r="C1300" s="75"/>
      <c r="D1300" s="75"/>
      <c r="E1300" s="75"/>
      <c r="F1300" s="75"/>
      <c r="G1300" s="75"/>
      <c r="H1300" s="75"/>
      <c r="I1300" s="75"/>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t="s">
        <v>439</v>
      </c>
      <c r="BG1300" s="75"/>
      <c r="BH1300" s="75"/>
      <c r="BI1300" s="75" t="s">
        <v>439</v>
      </c>
      <c r="BJ1300" s="75"/>
      <c r="BK1300" s="75"/>
      <c r="BL1300" s="75" t="s">
        <v>439</v>
      </c>
      <c r="BM1300" s="75"/>
    </row>
    <row r="1301" spans="1:65" ht="15" customHeight="1" x14ac:dyDescent="0.2">
      <c r="A1301" s="38"/>
      <c r="B1301" s="38"/>
      <c r="C1301" s="75"/>
      <c r="D1301" s="75"/>
      <c r="E1301" s="75"/>
      <c r="F1301" s="75"/>
      <c r="G1301" s="75"/>
      <c r="H1301" s="75"/>
      <c r="I1301" s="75"/>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t="s">
        <v>439</v>
      </c>
      <c r="BG1301" s="75"/>
      <c r="BH1301" s="75"/>
      <c r="BI1301" s="75" t="s">
        <v>439</v>
      </c>
      <c r="BJ1301" s="75"/>
      <c r="BK1301" s="75"/>
      <c r="BL1301" s="75" t="s">
        <v>439</v>
      </c>
      <c r="BM1301" s="75"/>
    </row>
    <row r="1302" spans="1:65" ht="15" customHeight="1" x14ac:dyDescent="0.2">
      <c r="A1302" s="38"/>
      <c r="B1302" s="38"/>
      <c r="C1302" s="75"/>
      <c r="D1302" s="75"/>
      <c r="E1302" s="75"/>
      <c r="F1302" s="75"/>
      <c r="G1302" s="75"/>
      <c r="H1302" s="75"/>
      <c r="I1302" s="75"/>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t="s">
        <v>439</v>
      </c>
      <c r="BG1302" s="75"/>
      <c r="BH1302" s="75"/>
      <c r="BI1302" s="75" t="s">
        <v>439</v>
      </c>
      <c r="BJ1302" s="75"/>
      <c r="BK1302" s="75"/>
      <c r="BL1302" s="75" t="s">
        <v>439</v>
      </c>
      <c r="BM1302" s="75"/>
    </row>
    <row r="1303" spans="1:65" ht="15" customHeight="1" x14ac:dyDescent="0.2">
      <c r="A1303" s="38"/>
      <c r="B1303" s="38"/>
      <c r="C1303" s="75"/>
      <c r="D1303" s="75"/>
      <c r="E1303" s="75"/>
      <c r="F1303" s="75"/>
      <c r="G1303" s="75"/>
      <c r="H1303" s="75"/>
      <c r="I1303" s="75"/>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t="s">
        <v>439</v>
      </c>
      <c r="BG1303" s="75"/>
      <c r="BH1303" s="75"/>
      <c r="BI1303" s="75" t="s">
        <v>439</v>
      </c>
      <c r="BJ1303" s="75"/>
      <c r="BK1303" s="75"/>
      <c r="BL1303" s="75" t="s">
        <v>439</v>
      </c>
      <c r="BM1303" s="75"/>
    </row>
    <row r="1304" spans="1:65" ht="15" customHeight="1" x14ac:dyDescent="0.2">
      <c r="A1304" s="38"/>
      <c r="B1304" s="38"/>
      <c r="C1304" s="75"/>
      <c r="D1304" s="75"/>
      <c r="E1304" s="75"/>
      <c r="F1304" s="75"/>
      <c r="G1304" s="75"/>
      <c r="H1304" s="75"/>
      <c r="I1304" s="75"/>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t="s">
        <v>439</v>
      </c>
      <c r="BG1304" s="75"/>
      <c r="BH1304" s="75"/>
      <c r="BI1304" s="75" t="s">
        <v>439</v>
      </c>
      <c r="BJ1304" s="75"/>
      <c r="BK1304" s="75"/>
      <c r="BL1304" s="75" t="s">
        <v>439</v>
      </c>
      <c r="BM1304" s="75"/>
    </row>
    <row r="1305" spans="1:65" ht="15" customHeight="1" x14ac:dyDescent="0.2">
      <c r="A1305" s="38"/>
      <c r="B1305" s="38"/>
      <c r="C1305" s="75"/>
      <c r="D1305" s="75"/>
      <c r="E1305" s="75"/>
      <c r="F1305" s="75"/>
      <c r="G1305" s="75"/>
      <c r="H1305" s="75"/>
      <c r="I1305" s="75"/>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t="s">
        <v>439</v>
      </c>
      <c r="BG1305" s="75"/>
      <c r="BH1305" s="75"/>
      <c r="BI1305" s="75" t="s">
        <v>439</v>
      </c>
      <c r="BJ1305" s="75"/>
      <c r="BK1305" s="75"/>
      <c r="BL1305" s="75" t="s">
        <v>439</v>
      </c>
      <c r="BM1305" s="75"/>
    </row>
    <row r="1306" spans="1:65" ht="15" customHeight="1" x14ac:dyDescent="0.2">
      <c r="A1306" s="38"/>
      <c r="B1306" s="38"/>
      <c r="C1306" s="75"/>
      <c r="D1306" s="75"/>
      <c r="E1306" s="75"/>
      <c r="F1306" s="75"/>
      <c r="G1306" s="75"/>
      <c r="H1306" s="75"/>
      <c r="I1306" s="75"/>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t="s">
        <v>439</v>
      </c>
      <c r="BG1306" s="75"/>
      <c r="BH1306" s="75"/>
      <c r="BI1306" s="75" t="s">
        <v>439</v>
      </c>
      <c r="BJ1306" s="75"/>
      <c r="BK1306" s="75"/>
      <c r="BL1306" s="75" t="s">
        <v>439</v>
      </c>
      <c r="BM1306" s="75"/>
    </row>
    <row r="1307" spans="1:65" ht="15" customHeight="1" x14ac:dyDescent="0.2">
      <c r="A1307" s="38"/>
      <c r="B1307" s="38"/>
      <c r="C1307" s="75"/>
      <c r="D1307" s="75"/>
      <c r="E1307" s="75"/>
      <c r="F1307" s="75"/>
      <c r="G1307" s="75"/>
      <c r="H1307" s="75"/>
      <c r="I1307" s="75"/>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t="s">
        <v>439</v>
      </c>
      <c r="BG1307" s="75"/>
      <c r="BH1307" s="75"/>
      <c r="BI1307" s="75" t="s">
        <v>439</v>
      </c>
      <c r="BJ1307" s="75"/>
      <c r="BK1307" s="75"/>
      <c r="BL1307" s="75" t="s">
        <v>439</v>
      </c>
      <c r="BM1307" s="75"/>
    </row>
    <row r="1308" spans="1:65" ht="15" customHeight="1" x14ac:dyDescent="0.2">
      <c r="A1308" s="38"/>
      <c r="B1308" s="38"/>
      <c r="C1308" s="75"/>
      <c r="D1308" s="75"/>
      <c r="E1308" s="75"/>
      <c r="F1308" s="75"/>
      <c r="G1308" s="75"/>
      <c r="H1308" s="75"/>
      <c r="I1308" s="75"/>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t="s">
        <v>439</v>
      </c>
      <c r="BG1308" s="75"/>
      <c r="BH1308" s="75"/>
      <c r="BI1308" s="75" t="s">
        <v>439</v>
      </c>
      <c r="BJ1308" s="75"/>
      <c r="BK1308" s="75"/>
      <c r="BL1308" s="75" t="s">
        <v>439</v>
      </c>
      <c r="BM1308" s="75"/>
    </row>
    <row r="1309" spans="1:65" ht="15" customHeight="1" x14ac:dyDescent="0.2">
      <c r="A1309" s="38"/>
      <c r="B1309" s="38"/>
      <c r="C1309" s="75"/>
      <c r="D1309" s="75"/>
      <c r="E1309" s="75"/>
      <c r="F1309" s="75"/>
      <c r="G1309" s="75"/>
      <c r="H1309" s="75"/>
      <c r="I1309" s="75"/>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t="s">
        <v>439</v>
      </c>
      <c r="BG1309" s="75"/>
      <c r="BH1309" s="75"/>
      <c r="BI1309" s="75" t="s">
        <v>439</v>
      </c>
      <c r="BJ1309" s="75"/>
      <c r="BK1309" s="75"/>
      <c r="BL1309" s="75" t="s">
        <v>439</v>
      </c>
      <c r="BM1309" s="75"/>
    </row>
    <row r="1310" spans="1:65" ht="15" customHeight="1" x14ac:dyDescent="0.2">
      <c r="A1310" s="38"/>
      <c r="B1310" s="38"/>
      <c r="C1310" s="75"/>
      <c r="D1310" s="75"/>
      <c r="E1310" s="75"/>
      <c r="F1310" s="75"/>
      <c r="G1310" s="75"/>
      <c r="H1310" s="75"/>
      <c r="I1310" s="75"/>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t="s">
        <v>439</v>
      </c>
      <c r="BG1310" s="75"/>
      <c r="BH1310" s="75"/>
      <c r="BI1310" s="75" t="s">
        <v>439</v>
      </c>
      <c r="BJ1310" s="75"/>
      <c r="BK1310" s="75"/>
      <c r="BL1310" s="75" t="s">
        <v>439</v>
      </c>
      <c r="BM1310" s="75"/>
    </row>
    <row r="1311" spans="1:65" ht="15" customHeight="1" x14ac:dyDescent="0.2">
      <c r="A1311" s="38"/>
      <c r="B1311" s="38"/>
      <c r="C1311" s="75"/>
      <c r="D1311" s="75"/>
      <c r="E1311" s="75"/>
      <c r="F1311" s="75"/>
      <c r="G1311" s="75"/>
      <c r="H1311" s="75"/>
      <c r="I1311" s="75"/>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t="s">
        <v>439</v>
      </c>
      <c r="BG1311" s="75"/>
      <c r="BH1311" s="75"/>
      <c r="BI1311" s="75" t="s">
        <v>439</v>
      </c>
      <c r="BJ1311" s="75"/>
      <c r="BK1311" s="75"/>
      <c r="BL1311" s="75" t="s">
        <v>439</v>
      </c>
      <c r="BM1311" s="75"/>
    </row>
    <row r="1312" spans="1:65" ht="15" customHeight="1" x14ac:dyDescent="0.2">
      <c r="A1312" s="38"/>
      <c r="B1312" s="38"/>
      <c r="C1312" s="75"/>
      <c r="D1312" s="75"/>
      <c r="E1312" s="75"/>
      <c r="F1312" s="75"/>
      <c r="G1312" s="75"/>
      <c r="H1312" s="75"/>
      <c r="I1312" s="75"/>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t="s">
        <v>439</v>
      </c>
      <c r="BG1312" s="75"/>
      <c r="BH1312" s="75"/>
      <c r="BI1312" s="75" t="s">
        <v>439</v>
      </c>
      <c r="BJ1312" s="75"/>
      <c r="BK1312" s="75"/>
      <c r="BL1312" s="75" t="s">
        <v>439</v>
      </c>
      <c r="BM1312" s="75"/>
    </row>
    <row r="1313" spans="1:65" ht="15" customHeight="1" x14ac:dyDescent="0.2">
      <c r="A1313" s="38"/>
      <c r="B1313" s="38"/>
      <c r="C1313" s="75"/>
      <c r="D1313" s="75"/>
      <c r="E1313" s="75"/>
      <c r="F1313" s="75"/>
      <c r="G1313" s="75"/>
      <c r="H1313" s="75"/>
      <c r="I1313" s="75"/>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t="s">
        <v>439</v>
      </c>
      <c r="BG1313" s="75"/>
      <c r="BH1313" s="75"/>
      <c r="BI1313" s="75" t="s">
        <v>439</v>
      </c>
      <c r="BJ1313" s="75"/>
      <c r="BK1313" s="75"/>
      <c r="BL1313" s="75" t="s">
        <v>439</v>
      </c>
      <c r="BM1313" s="75"/>
    </row>
    <row r="1314" spans="1:65" ht="15" customHeight="1" x14ac:dyDescent="0.2">
      <c r="A1314" s="38"/>
      <c r="B1314" s="38"/>
      <c r="C1314" s="75"/>
      <c r="D1314" s="75"/>
      <c r="E1314" s="75"/>
      <c r="F1314" s="75"/>
      <c r="G1314" s="75"/>
      <c r="H1314" s="75"/>
      <c r="I1314" s="75"/>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t="s">
        <v>439</v>
      </c>
      <c r="BG1314" s="75"/>
      <c r="BH1314" s="75"/>
      <c r="BI1314" s="75" t="s">
        <v>439</v>
      </c>
      <c r="BJ1314" s="75"/>
      <c r="BK1314" s="75"/>
      <c r="BL1314" s="75" t="s">
        <v>439</v>
      </c>
      <c r="BM1314" s="75"/>
    </row>
    <row r="1315" spans="1:65" ht="15" customHeight="1" x14ac:dyDescent="0.2">
      <c r="A1315" s="38"/>
      <c r="B1315" s="38"/>
      <c r="C1315" s="75"/>
      <c r="D1315" s="75"/>
      <c r="E1315" s="75"/>
      <c r="F1315" s="75"/>
      <c r="G1315" s="75"/>
      <c r="H1315" s="75"/>
      <c r="I1315" s="75"/>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t="s">
        <v>439</v>
      </c>
      <c r="BG1315" s="75"/>
      <c r="BH1315" s="75"/>
      <c r="BI1315" s="75" t="s">
        <v>439</v>
      </c>
      <c r="BJ1315" s="75"/>
      <c r="BK1315" s="75"/>
      <c r="BL1315" s="75" t="s">
        <v>439</v>
      </c>
      <c r="BM1315" s="75"/>
    </row>
    <row r="1316" spans="1:65" ht="15" customHeight="1" x14ac:dyDescent="0.2">
      <c r="A1316" s="38"/>
      <c r="B1316" s="38"/>
      <c r="C1316" s="75"/>
      <c r="D1316" s="75"/>
      <c r="E1316" s="75"/>
      <c r="F1316" s="75"/>
      <c r="G1316" s="75"/>
      <c r="H1316" s="75"/>
      <c r="I1316" s="75"/>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t="s">
        <v>439</v>
      </c>
      <c r="BG1316" s="75"/>
      <c r="BH1316" s="75"/>
      <c r="BI1316" s="75" t="s">
        <v>439</v>
      </c>
      <c r="BJ1316" s="75"/>
      <c r="BK1316" s="75"/>
      <c r="BL1316" s="75" t="s">
        <v>439</v>
      </c>
      <c r="BM1316" s="75"/>
    </row>
    <row r="1317" spans="1:65" ht="15" customHeight="1" x14ac:dyDescent="0.2">
      <c r="A1317" s="38"/>
      <c r="B1317" s="38"/>
      <c r="C1317" s="75"/>
      <c r="D1317" s="75"/>
      <c r="E1317" s="75"/>
      <c r="F1317" s="75"/>
      <c r="G1317" s="75"/>
      <c r="H1317" s="75"/>
      <c r="I1317" s="75"/>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t="s">
        <v>439</v>
      </c>
      <c r="BG1317" s="75"/>
      <c r="BH1317" s="75"/>
      <c r="BI1317" s="75" t="s">
        <v>439</v>
      </c>
      <c r="BJ1317" s="75"/>
      <c r="BK1317" s="75"/>
      <c r="BL1317" s="75" t="s">
        <v>439</v>
      </c>
      <c r="BM1317" s="75"/>
    </row>
    <row r="1318" spans="1:65" ht="15" customHeight="1" x14ac:dyDescent="0.2">
      <c r="A1318" s="38"/>
      <c r="B1318" s="38"/>
      <c r="C1318" s="75"/>
      <c r="D1318" s="75"/>
      <c r="E1318" s="75"/>
      <c r="F1318" s="75"/>
      <c r="G1318" s="75"/>
      <c r="H1318" s="75"/>
      <c r="I1318" s="75"/>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t="s">
        <v>439</v>
      </c>
      <c r="BG1318" s="75"/>
      <c r="BH1318" s="75"/>
      <c r="BI1318" s="75" t="s">
        <v>439</v>
      </c>
      <c r="BJ1318" s="75"/>
      <c r="BK1318" s="75"/>
      <c r="BL1318" s="75" t="s">
        <v>439</v>
      </c>
      <c r="BM1318" s="75"/>
    </row>
    <row r="1319" spans="1:65" ht="15" customHeight="1" x14ac:dyDescent="0.2">
      <c r="A1319" s="38"/>
      <c r="B1319" s="38"/>
      <c r="C1319" s="75"/>
      <c r="D1319" s="75"/>
      <c r="E1319" s="75"/>
      <c r="F1319" s="75"/>
      <c r="G1319" s="75"/>
      <c r="H1319" s="75"/>
      <c r="I1319" s="75"/>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t="s">
        <v>439</v>
      </c>
      <c r="BG1319" s="75"/>
      <c r="BH1319" s="75"/>
      <c r="BI1319" s="75" t="s">
        <v>439</v>
      </c>
      <c r="BJ1319" s="75"/>
      <c r="BK1319" s="75"/>
      <c r="BL1319" s="75" t="s">
        <v>439</v>
      </c>
      <c r="BM1319" s="75"/>
    </row>
    <row r="1320" spans="1:65" ht="15" customHeight="1" x14ac:dyDescent="0.2">
      <c r="A1320" s="38"/>
      <c r="B1320" s="38"/>
      <c r="C1320" s="75"/>
      <c r="D1320" s="75"/>
      <c r="E1320" s="75"/>
      <c r="F1320" s="75"/>
      <c r="G1320" s="75"/>
      <c r="H1320" s="75"/>
      <c r="I1320" s="75"/>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t="s">
        <v>439</v>
      </c>
      <c r="BG1320" s="75"/>
      <c r="BH1320" s="75"/>
      <c r="BI1320" s="75" t="s">
        <v>439</v>
      </c>
      <c r="BJ1320" s="75"/>
      <c r="BK1320" s="75"/>
      <c r="BL1320" s="75" t="s">
        <v>439</v>
      </c>
      <c r="BM1320" s="75"/>
    </row>
    <row r="1321" spans="1:65" ht="15" customHeight="1" x14ac:dyDescent="0.2">
      <c r="A1321" s="38"/>
      <c r="B1321" s="38"/>
      <c r="C1321" s="75"/>
      <c r="D1321" s="75"/>
      <c r="E1321" s="75"/>
      <c r="F1321" s="75"/>
      <c r="G1321" s="75"/>
      <c r="H1321" s="75"/>
      <c r="I1321" s="75"/>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t="s">
        <v>439</v>
      </c>
      <c r="BG1321" s="75"/>
      <c r="BH1321" s="75"/>
      <c r="BI1321" s="75" t="s">
        <v>439</v>
      </c>
      <c r="BJ1321" s="75"/>
      <c r="BK1321" s="75"/>
      <c r="BL1321" s="75" t="s">
        <v>439</v>
      </c>
      <c r="BM1321" s="75"/>
    </row>
    <row r="1322" spans="1:65" ht="15" customHeight="1" x14ac:dyDescent="0.2">
      <c r="A1322" s="38"/>
      <c r="B1322" s="38"/>
      <c r="C1322" s="75"/>
      <c r="D1322" s="75"/>
      <c r="E1322" s="75"/>
      <c r="F1322" s="75"/>
      <c r="G1322" s="75"/>
      <c r="H1322" s="75"/>
      <c r="I1322" s="75"/>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t="s">
        <v>439</v>
      </c>
      <c r="BG1322" s="75"/>
      <c r="BH1322" s="75"/>
      <c r="BI1322" s="75" t="s">
        <v>439</v>
      </c>
      <c r="BJ1322" s="75"/>
      <c r="BK1322" s="75"/>
      <c r="BL1322" s="75" t="s">
        <v>439</v>
      </c>
      <c r="BM1322" s="75"/>
    </row>
    <row r="1323" spans="1:65" ht="15" customHeight="1" x14ac:dyDescent="0.2">
      <c r="A1323" s="38"/>
      <c r="B1323" s="38"/>
      <c r="C1323" s="75"/>
      <c r="D1323" s="75"/>
      <c r="E1323" s="75"/>
      <c r="F1323" s="75"/>
      <c r="G1323" s="75"/>
      <c r="H1323" s="75"/>
      <c r="I1323" s="75"/>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t="s">
        <v>439</v>
      </c>
      <c r="BG1323" s="75"/>
      <c r="BH1323" s="75"/>
      <c r="BI1323" s="75" t="s">
        <v>439</v>
      </c>
      <c r="BJ1323" s="75"/>
      <c r="BK1323" s="75"/>
      <c r="BL1323" s="75" t="s">
        <v>439</v>
      </c>
      <c r="BM1323" s="75"/>
    </row>
    <row r="1324" spans="1:65" ht="15" customHeight="1" x14ac:dyDescent="0.2">
      <c r="A1324" s="38"/>
      <c r="B1324" s="38"/>
      <c r="C1324" s="75"/>
      <c r="D1324" s="75"/>
      <c r="E1324" s="75"/>
      <c r="F1324" s="75"/>
      <c r="G1324" s="75"/>
      <c r="H1324" s="75"/>
      <c r="I1324" s="75"/>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t="s">
        <v>439</v>
      </c>
      <c r="BG1324" s="75"/>
      <c r="BH1324" s="75"/>
      <c r="BI1324" s="75" t="s">
        <v>439</v>
      </c>
      <c r="BJ1324" s="75"/>
      <c r="BK1324" s="75"/>
      <c r="BL1324" s="75" t="s">
        <v>439</v>
      </c>
      <c r="BM1324" s="75"/>
    </row>
    <row r="1325" spans="1:65" ht="15" customHeight="1" x14ac:dyDescent="0.2">
      <c r="A1325" s="38"/>
      <c r="B1325" s="38"/>
      <c r="C1325" s="75"/>
      <c r="D1325" s="75"/>
      <c r="E1325" s="75"/>
      <c r="F1325" s="75"/>
      <c r="G1325" s="75"/>
      <c r="H1325" s="75"/>
      <c r="I1325" s="75"/>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t="s">
        <v>439</v>
      </c>
      <c r="BG1325" s="75"/>
      <c r="BH1325" s="75"/>
      <c r="BI1325" s="75" t="s">
        <v>439</v>
      </c>
      <c r="BJ1325" s="75"/>
      <c r="BK1325" s="75"/>
      <c r="BL1325" s="75" t="s">
        <v>439</v>
      </c>
      <c r="BM1325" s="75"/>
    </row>
    <row r="1326" spans="1:65" ht="15" customHeight="1" x14ac:dyDescent="0.2">
      <c r="A1326" s="38"/>
      <c r="B1326" s="38"/>
      <c r="C1326" s="75"/>
      <c r="D1326" s="75"/>
      <c r="E1326" s="75"/>
      <c r="F1326" s="75"/>
      <c r="G1326" s="75"/>
      <c r="H1326" s="75"/>
      <c r="I1326" s="75"/>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t="s">
        <v>439</v>
      </c>
      <c r="BG1326" s="75"/>
      <c r="BH1326" s="75"/>
      <c r="BI1326" s="75" t="s">
        <v>439</v>
      </c>
      <c r="BJ1326" s="75"/>
      <c r="BK1326" s="75"/>
      <c r="BL1326" s="75" t="s">
        <v>439</v>
      </c>
      <c r="BM1326" s="75"/>
    </row>
    <row r="1327" spans="1:65" ht="15" customHeight="1" x14ac:dyDescent="0.2">
      <c r="A1327" s="38"/>
      <c r="B1327" s="38"/>
      <c r="C1327" s="75"/>
      <c r="D1327" s="75"/>
      <c r="E1327" s="75"/>
      <c r="F1327" s="75"/>
      <c r="G1327" s="75"/>
      <c r="H1327" s="75"/>
      <c r="I1327" s="75"/>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t="s">
        <v>439</v>
      </c>
      <c r="BG1327" s="75"/>
      <c r="BH1327" s="75"/>
      <c r="BI1327" s="75" t="s">
        <v>439</v>
      </c>
      <c r="BJ1327" s="75"/>
      <c r="BK1327" s="75"/>
      <c r="BL1327" s="75" t="s">
        <v>439</v>
      </c>
      <c r="BM1327" s="75"/>
    </row>
    <row r="1328" spans="1:65" ht="15" customHeight="1" x14ac:dyDescent="0.2">
      <c r="A1328" s="38"/>
      <c r="B1328" s="38"/>
      <c r="C1328" s="75"/>
      <c r="D1328" s="75"/>
      <c r="E1328" s="75"/>
      <c r="F1328" s="75"/>
      <c r="G1328" s="75"/>
      <c r="H1328" s="75"/>
      <c r="I1328" s="75"/>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t="s">
        <v>439</v>
      </c>
      <c r="BG1328" s="75"/>
      <c r="BH1328" s="75"/>
      <c r="BI1328" s="75" t="s">
        <v>439</v>
      </c>
      <c r="BJ1328" s="75"/>
      <c r="BK1328" s="75"/>
      <c r="BL1328" s="75" t="s">
        <v>439</v>
      </c>
      <c r="BM1328" s="75"/>
    </row>
    <row r="1329" spans="1:65" ht="15" customHeight="1" x14ac:dyDescent="0.2">
      <c r="A1329" s="38"/>
      <c r="B1329" s="38"/>
      <c r="C1329" s="75"/>
      <c r="D1329" s="75"/>
      <c r="E1329" s="75"/>
      <c r="F1329" s="75"/>
      <c r="G1329" s="75"/>
      <c r="H1329" s="75"/>
      <c r="I1329" s="75"/>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t="s">
        <v>439</v>
      </c>
      <c r="BG1329" s="75"/>
      <c r="BH1329" s="75"/>
      <c r="BI1329" s="75" t="s">
        <v>439</v>
      </c>
      <c r="BJ1329" s="75"/>
      <c r="BK1329" s="75"/>
      <c r="BL1329" s="75" t="s">
        <v>439</v>
      </c>
      <c r="BM1329" s="75"/>
    </row>
    <row r="1330" spans="1:65" ht="15" customHeight="1" x14ac:dyDescent="0.2">
      <c r="A1330" s="38"/>
      <c r="B1330" s="38"/>
      <c r="C1330" s="75"/>
      <c r="D1330" s="75"/>
      <c r="E1330" s="75"/>
      <c r="F1330" s="75"/>
      <c r="G1330" s="75"/>
      <c r="H1330" s="75"/>
      <c r="I1330" s="75"/>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t="s">
        <v>439</v>
      </c>
      <c r="BG1330" s="75"/>
      <c r="BH1330" s="75"/>
      <c r="BI1330" s="75" t="s">
        <v>439</v>
      </c>
      <c r="BJ1330" s="75"/>
      <c r="BK1330" s="75"/>
      <c r="BL1330" s="75" t="s">
        <v>439</v>
      </c>
      <c r="BM1330" s="75"/>
    </row>
    <row r="1331" spans="1:65" ht="15" customHeight="1" x14ac:dyDescent="0.2">
      <c r="A1331" s="38"/>
      <c r="B1331" s="38"/>
      <c r="C1331" s="75"/>
      <c r="D1331" s="75"/>
      <c r="E1331" s="75"/>
      <c r="F1331" s="75"/>
      <c r="G1331" s="75"/>
      <c r="H1331" s="75"/>
      <c r="I1331" s="75"/>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t="s">
        <v>439</v>
      </c>
      <c r="BG1331" s="75"/>
      <c r="BH1331" s="75"/>
      <c r="BI1331" s="75" t="s">
        <v>439</v>
      </c>
      <c r="BJ1331" s="75"/>
      <c r="BK1331" s="75"/>
      <c r="BL1331" s="75" t="s">
        <v>439</v>
      </c>
      <c r="BM1331" s="75"/>
    </row>
    <row r="1332" spans="1:65" ht="15" customHeight="1" x14ac:dyDescent="0.2">
      <c r="A1332" s="38"/>
      <c r="B1332" s="38"/>
      <c r="C1332" s="75"/>
      <c r="D1332" s="75"/>
      <c r="E1332" s="75"/>
      <c r="F1332" s="75"/>
      <c r="G1332" s="75"/>
      <c r="H1332" s="75"/>
      <c r="I1332" s="75"/>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t="s">
        <v>439</v>
      </c>
      <c r="BG1332" s="75"/>
      <c r="BH1332" s="75"/>
      <c r="BI1332" s="75" t="s">
        <v>439</v>
      </c>
      <c r="BJ1332" s="75"/>
      <c r="BK1332" s="75"/>
      <c r="BL1332" s="75" t="s">
        <v>439</v>
      </c>
      <c r="BM1332" s="75"/>
    </row>
    <row r="1333" spans="1:65" ht="15" customHeight="1" x14ac:dyDescent="0.2">
      <c r="A1333" s="38"/>
      <c r="B1333" s="38"/>
      <c r="C1333" s="75"/>
      <c r="D1333" s="75"/>
      <c r="E1333" s="75"/>
      <c r="F1333" s="75"/>
      <c r="G1333" s="75"/>
      <c r="H1333" s="75"/>
      <c r="I1333" s="75"/>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t="s">
        <v>439</v>
      </c>
      <c r="BG1333" s="75"/>
      <c r="BH1333" s="75"/>
      <c r="BI1333" s="75" t="s">
        <v>439</v>
      </c>
      <c r="BJ1333" s="75"/>
      <c r="BK1333" s="75"/>
      <c r="BL1333" s="75" t="s">
        <v>439</v>
      </c>
      <c r="BM1333" s="75"/>
    </row>
    <row r="1334" spans="1:65" ht="15" customHeight="1" x14ac:dyDescent="0.2">
      <c r="A1334" s="38"/>
      <c r="B1334" s="38"/>
      <c r="C1334" s="75"/>
      <c r="D1334" s="75"/>
      <c r="E1334" s="75"/>
      <c r="F1334" s="75"/>
      <c r="G1334" s="75"/>
      <c r="H1334" s="75"/>
      <c r="I1334" s="75"/>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t="s">
        <v>439</v>
      </c>
      <c r="BG1334" s="75"/>
      <c r="BH1334" s="75"/>
      <c r="BI1334" s="75" t="s">
        <v>439</v>
      </c>
      <c r="BJ1334" s="75"/>
      <c r="BK1334" s="75"/>
      <c r="BL1334" s="75" t="s">
        <v>439</v>
      </c>
      <c r="BM1334" s="75"/>
    </row>
    <row r="1335" spans="1:65" ht="15" customHeight="1" x14ac:dyDescent="0.2">
      <c r="A1335" s="38"/>
      <c r="B1335" s="38"/>
      <c r="C1335" s="75"/>
      <c r="D1335" s="75"/>
      <c r="E1335" s="75"/>
      <c r="F1335" s="75"/>
      <c r="G1335" s="75"/>
      <c r="H1335" s="75"/>
      <c r="I1335" s="75"/>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t="s">
        <v>439</v>
      </c>
      <c r="BG1335" s="75"/>
      <c r="BH1335" s="75"/>
      <c r="BI1335" s="75" t="s">
        <v>439</v>
      </c>
      <c r="BJ1335" s="75"/>
      <c r="BK1335" s="75"/>
      <c r="BL1335" s="75" t="s">
        <v>439</v>
      </c>
      <c r="BM1335" s="75"/>
    </row>
    <row r="1336" spans="1:65" ht="15" customHeight="1" x14ac:dyDescent="0.2">
      <c r="A1336" s="38"/>
      <c r="B1336" s="38"/>
      <c r="C1336" s="75"/>
      <c r="D1336" s="75"/>
      <c r="E1336" s="75"/>
      <c r="F1336" s="75"/>
      <c r="G1336" s="75"/>
      <c r="H1336" s="75"/>
      <c r="I1336" s="75"/>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t="s">
        <v>439</v>
      </c>
      <c r="BG1336" s="75"/>
      <c r="BH1336" s="75"/>
      <c r="BI1336" s="75" t="s">
        <v>439</v>
      </c>
      <c r="BJ1336" s="75"/>
      <c r="BK1336" s="75"/>
      <c r="BL1336" s="75" t="s">
        <v>439</v>
      </c>
      <c r="BM1336" s="75"/>
    </row>
    <row r="1337" spans="1:65" ht="15" customHeight="1" x14ac:dyDescent="0.2">
      <c r="A1337" s="38"/>
      <c r="B1337" s="38"/>
      <c r="C1337" s="75"/>
      <c r="D1337" s="75"/>
      <c r="E1337" s="75"/>
      <c r="F1337" s="75"/>
      <c r="G1337" s="75"/>
      <c r="H1337" s="75"/>
      <c r="I1337" s="75"/>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t="s">
        <v>439</v>
      </c>
      <c r="BG1337" s="75"/>
      <c r="BH1337" s="75"/>
      <c r="BI1337" s="75" t="s">
        <v>439</v>
      </c>
      <c r="BJ1337" s="75"/>
      <c r="BK1337" s="75"/>
      <c r="BL1337" s="75" t="s">
        <v>439</v>
      </c>
      <c r="BM1337" s="75"/>
    </row>
    <row r="1338" spans="1:65" ht="15" customHeight="1" x14ac:dyDescent="0.2">
      <c r="A1338" s="38"/>
      <c r="B1338" s="38"/>
      <c r="C1338" s="75"/>
      <c r="D1338" s="75"/>
      <c r="E1338" s="75"/>
      <c r="F1338" s="75"/>
      <c r="G1338" s="75"/>
      <c r="H1338" s="75"/>
      <c r="I1338" s="75"/>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t="s">
        <v>439</v>
      </c>
      <c r="BG1338" s="75"/>
      <c r="BH1338" s="75"/>
      <c r="BI1338" s="75" t="s">
        <v>439</v>
      </c>
      <c r="BJ1338" s="75"/>
      <c r="BK1338" s="75"/>
      <c r="BL1338" s="75" t="s">
        <v>439</v>
      </c>
      <c r="BM1338" s="75"/>
    </row>
    <row r="1339" spans="1:65" ht="15" customHeight="1" x14ac:dyDescent="0.2">
      <c r="A1339" s="38"/>
      <c r="B1339" s="38"/>
      <c r="C1339" s="75"/>
      <c r="D1339" s="75"/>
      <c r="E1339" s="75"/>
      <c r="F1339" s="75"/>
      <c r="G1339" s="75"/>
      <c r="H1339" s="75"/>
      <c r="I1339" s="75"/>
      <c r="J1339" s="75"/>
      <c r="K1339" s="75"/>
      <c r="L1339" s="75"/>
      <c r="M1339" s="75"/>
      <c r="N1339" s="75"/>
      <c r="O1339" s="75"/>
      <c r="P1339" s="75"/>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t="s">
        <v>439</v>
      </c>
      <c r="BG1339" s="75"/>
      <c r="BH1339" s="75"/>
      <c r="BI1339" s="75" t="s">
        <v>439</v>
      </c>
      <c r="BJ1339" s="75"/>
      <c r="BK1339" s="75"/>
      <c r="BL1339" s="75" t="s">
        <v>439</v>
      </c>
      <c r="BM1339" s="75"/>
    </row>
    <row r="1340" spans="1:65" ht="15" customHeight="1" x14ac:dyDescent="0.2">
      <c r="A1340" s="38"/>
      <c r="B1340" s="38"/>
      <c r="C1340" s="75"/>
      <c r="D1340" s="75"/>
      <c r="E1340" s="75"/>
      <c r="F1340" s="75"/>
      <c r="G1340" s="75"/>
      <c r="H1340" s="75"/>
      <c r="I1340" s="75"/>
      <c r="J1340" s="75"/>
      <c r="K1340" s="75"/>
      <c r="L1340" s="75"/>
      <c r="M1340" s="75"/>
      <c r="N1340" s="75"/>
      <c r="O1340" s="75"/>
      <c r="P1340" s="75"/>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t="s">
        <v>439</v>
      </c>
      <c r="BG1340" s="75"/>
      <c r="BH1340" s="75"/>
      <c r="BI1340" s="75" t="s">
        <v>439</v>
      </c>
      <c r="BJ1340" s="75"/>
      <c r="BK1340" s="75"/>
      <c r="BL1340" s="75" t="s">
        <v>439</v>
      </c>
      <c r="BM1340" s="75"/>
    </row>
    <row r="1341" spans="1:65" ht="15" customHeight="1" x14ac:dyDescent="0.2">
      <c r="A1341" s="38"/>
      <c r="B1341" s="38"/>
      <c r="C1341" s="75"/>
      <c r="D1341" s="75"/>
      <c r="E1341" s="75"/>
      <c r="F1341" s="75"/>
      <c r="G1341" s="75"/>
      <c r="H1341" s="75"/>
      <c r="I1341" s="75"/>
      <c r="J1341" s="75"/>
      <c r="K1341" s="75"/>
      <c r="L1341" s="75"/>
      <c r="M1341" s="75"/>
      <c r="N1341" s="75"/>
      <c r="O1341" s="75"/>
      <c r="P1341" s="75"/>
      <c r="Q1341" s="75"/>
      <c r="R1341" s="75"/>
      <c r="S1341" s="75"/>
      <c r="T1341" s="75"/>
      <c r="U1341" s="75"/>
      <c r="V1341" s="75"/>
      <c r="W1341" s="75"/>
      <c r="X1341" s="75"/>
      <c r="Y1341" s="75"/>
      <c r="Z1341" s="75"/>
      <c r="AA1341" s="75"/>
      <c r="AB1341" s="75"/>
      <c r="AC1341" s="75"/>
      <c r="AD1341" s="75"/>
      <c r="AE1341" s="75"/>
      <c r="AF1341" s="75"/>
      <c r="AG1341" s="75"/>
      <c r="AH1341" s="75"/>
      <c r="AI1341" s="75"/>
      <c r="AJ1341" s="75"/>
      <c r="AK1341" s="75"/>
      <c r="AL1341" s="75"/>
      <c r="AM1341" s="75"/>
      <c r="AN1341" s="75"/>
      <c r="AO1341" s="75"/>
      <c r="AP1341" s="75"/>
      <c r="AQ1341" s="75"/>
      <c r="AR1341" s="75"/>
      <c r="AS1341" s="75"/>
      <c r="AT1341" s="75"/>
      <c r="AU1341" s="75"/>
      <c r="AV1341" s="75"/>
      <c r="AW1341" s="75"/>
      <c r="AX1341" s="75"/>
      <c r="AY1341" s="75"/>
      <c r="AZ1341" s="75"/>
      <c r="BA1341" s="75"/>
      <c r="BB1341" s="75"/>
      <c r="BC1341" s="75"/>
      <c r="BD1341" s="75"/>
      <c r="BE1341" s="75"/>
      <c r="BF1341" s="75" t="s">
        <v>439</v>
      </c>
      <c r="BG1341" s="75"/>
      <c r="BH1341" s="75"/>
      <c r="BI1341" s="75" t="s">
        <v>439</v>
      </c>
      <c r="BJ1341" s="75"/>
      <c r="BK1341" s="75"/>
      <c r="BL1341" s="75" t="s">
        <v>439</v>
      </c>
      <c r="BM1341" s="75"/>
    </row>
    <row r="1342" spans="1:65" ht="15" customHeight="1" x14ac:dyDescent="0.2">
      <c r="A1342" s="38"/>
      <c r="B1342" s="38"/>
      <c r="C1342" s="75"/>
      <c r="D1342" s="75"/>
      <c r="E1342" s="75"/>
      <c r="F1342" s="75"/>
      <c r="G1342" s="75"/>
      <c r="H1342" s="75"/>
      <c r="I1342" s="75"/>
      <c r="J1342" s="75"/>
      <c r="K1342" s="75"/>
      <c r="L1342" s="75"/>
      <c r="M1342" s="75"/>
      <c r="N1342" s="75"/>
      <c r="O1342" s="75"/>
      <c r="P1342" s="75"/>
      <c r="Q1342" s="75"/>
      <c r="R1342" s="75"/>
      <c r="S1342" s="75"/>
      <c r="T1342" s="75"/>
      <c r="U1342" s="75"/>
      <c r="V1342" s="75"/>
      <c r="W1342" s="75"/>
      <c r="X1342" s="75"/>
      <c r="Y1342" s="75"/>
      <c r="Z1342" s="75"/>
      <c r="AA1342" s="75"/>
      <c r="AB1342" s="75"/>
      <c r="AC1342" s="75"/>
      <c r="AD1342" s="75"/>
      <c r="AE1342" s="75"/>
      <c r="AF1342" s="75"/>
      <c r="AG1342" s="75"/>
      <c r="AH1342" s="75"/>
      <c r="AI1342" s="75"/>
      <c r="AJ1342" s="75"/>
      <c r="AK1342" s="75"/>
      <c r="AL1342" s="75"/>
      <c r="AM1342" s="75"/>
      <c r="AN1342" s="75"/>
      <c r="AO1342" s="75"/>
      <c r="AP1342" s="75"/>
      <c r="AQ1342" s="75"/>
      <c r="AR1342" s="75"/>
      <c r="AS1342" s="75"/>
      <c r="AT1342" s="75"/>
      <c r="AU1342" s="75"/>
      <c r="AV1342" s="75"/>
      <c r="AW1342" s="75"/>
      <c r="AX1342" s="75"/>
      <c r="AY1342" s="75"/>
      <c r="AZ1342" s="75"/>
      <c r="BA1342" s="75"/>
      <c r="BB1342" s="75"/>
      <c r="BC1342" s="75"/>
      <c r="BD1342" s="75"/>
      <c r="BE1342" s="75"/>
      <c r="BF1342" s="75" t="s">
        <v>439</v>
      </c>
      <c r="BG1342" s="75"/>
      <c r="BH1342" s="75"/>
      <c r="BI1342" s="75" t="s">
        <v>439</v>
      </c>
      <c r="BJ1342" s="75"/>
      <c r="BK1342" s="75"/>
      <c r="BL1342" s="75" t="s">
        <v>439</v>
      </c>
      <c r="BM1342" s="75"/>
    </row>
    <row r="1343" spans="1:65" ht="15" customHeight="1" x14ac:dyDescent="0.2">
      <c r="A1343" s="38"/>
      <c r="B1343" s="38"/>
      <c r="C1343" s="75"/>
      <c r="D1343" s="75"/>
      <c r="E1343" s="75"/>
      <c r="F1343" s="75"/>
      <c r="G1343" s="75"/>
      <c r="H1343" s="75"/>
      <c r="I1343" s="75"/>
      <c r="J1343" s="75"/>
      <c r="K1343" s="75"/>
      <c r="L1343" s="75"/>
      <c r="M1343" s="75"/>
      <c r="N1343" s="75"/>
      <c r="O1343" s="75"/>
      <c r="P1343" s="75"/>
      <c r="Q1343" s="75"/>
      <c r="R1343" s="75"/>
      <c r="S1343" s="75"/>
      <c r="T1343" s="75"/>
      <c r="U1343" s="75"/>
      <c r="V1343" s="75"/>
      <c r="W1343" s="75"/>
      <c r="X1343" s="75"/>
      <c r="Y1343" s="75"/>
      <c r="Z1343" s="75"/>
      <c r="AA1343" s="75"/>
      <c r="AB1343" s="75"/>
      <c r="AC1343" s="75"/>
      <c r="AD1343" s="75"/>
      <c r="AE1343" s="75"/>
      <c r="AF1343" s="75"/>
      <c r="AG1343" s="75"/>
      <c r="AH1343" s="75"/>
      <c r="AI1343" s="75"/>
      <c r="AJ1343" s="75"/>
      <c r="AK1343" s="75"/>
      <c r="AL1343" s="75"/>
      <c r="AM1343" s="75"/>
      <c r="AN1343" s="75"/>
      <c r="AO1343" s="75"/>
      <c r="AP1343" s="75"/>
      <c r="AQ1343" s="75"/>
      <c r="AR1343" s="75"/>
      <c r="AS1343" s="75"/>
      <c r="AT1343" s="75"/>
      <c r="AU1343" s="75"/>
      <c r="AV1343" s="75"/>
      <c r="AW1343" s="75"/>
      <c r="AX1343" s="75"/>
      <c r="AY1343" s="75"/>
      <c r="AZ1343" s="75"/>
      <c r="BA1343" s="75"/>
      <c r="BB1343" s="75"/>
      <c r="BC1343" s="75"/>
      <c r="BD1343" s="75"/>
      <c r="BE1343" s="75"/>
      <c r="BF1343" s="75" t="s">
        <v>439</v>
      </c>
      <c r="BG1343" s="75"/>
      <c r="BH1343" s="75"/>
      <c r="BI1343" s="75" t="s">
        <v>439</v>
      </c>
      <c r="BJ1343" s="75"/>
      <c r="BK1343" s="75"/>
      <c r="BL1343" s="75" t="s">
        <v>439</v>
      </c>
      <c r="BM1343" s="75"/>
    </row>
    <row r="1344" spans="1:65" ht="15" customHeight="1" x14ac:dyDescent="0.2">
      <c r="A1344" s="38"/>
      <c r="B1344" s="38"/>
      <c r="C1344" s="75"/>
      <c r="D1344" s="75"/>
      <c r="E1344" s="75"/>
      <c r="F1344" s="75"/>
      <c r="G1344" s="75"/>
      <c r="H1344" s="75"/>
      <c r="I1344" s="75"/>
      <c r="J1344" s="75"/>
      <c r="K1344" s="75"/>
      <c r="L1344" s="75"/>
      <c r="M1344" s="75"/>
      <c r="N1344" s="75"/>
      <c r="O1344" s="75"/>
      <c r="P1344" s="75"/>
      <c r="Q1344" s="75"/>
      <c r="R1344" s="75"/>
      <c r="S1344" s="75"/>
      <c r="T1344" s="75"/>
      <c r="U1344" s="75"/>
      <c r="V1344" s="75"/>
      <c r="W1344" s="75"/>
      <c r="X1344" s="75"/>
      <c r="Y1344" s="75"/>
      <c r="Z1344" s="75"/>
      <c r="AA1344" s="75"/>
      <c r="AB1344" s="75"/>
      <c r="AC1344" s="75"/>
      <c r="AD1344" s="75"/>
      <c r="AE1344" s="75"/>
      <c r="AF1344" s="75"/>
      <c r="AG1344" s="75"/>
      <c r="AH1344" s="75"/>
      <c r="AI1344" s="75"/>
      <c r="AJ1344" s="75"/>
      <c r="AK1344" s="75"/>
      <c r="AL1344" s="75"/>
      <c r="AM1344" s="75"/>
      <c r="AN1344" s="75"/>
      <c r="AO1344" s="75"/>
      <c r="AP1344" s="75"/>
      <c r="AQ1344" s="75"/>
      <c r="AR1344" s="75"/>
      <c r="AS1344" s="75"/>
      <c r="AT1344" s="75"/>
      <c r="AU1344" s="75"/>
      <c r="AV1344" s="75"/>
      <c r="AW1344" s="75"/>
      <c r="AX1344" s="75"/>
      <c r="AY1344" s="75"/>
      <c r="AZ1344" s="75"/>
      <c r="BA1344" s="75"/>
      <c r="BB1344" s="75"/>
      <c r="BC1344" s="75"/>
      <c r="BD1344" s="75"/>
      <c r="BE1344" s="75"/>
      <c r="BF1344" s="75" t="s">
        <v>439</v>
      </c>
      <c r="BG1344" s="75"/>
      <c r="BH1344" s="75"/>
      <c r="BI1344" s="75" t="s">
        <v>439</v>
      </c>
      <c r="BJ1344" s="75"/>
      <c r="BK1344" s="75"/>
      <c r="BL1344" s="75" t="s">
        <v>439</v>
      </c>
      <c r="BM1344" s="75"/>
    </row>
    <row r="1345" spans="1:65" ht="15" customHeight="1" x14ac:dyDescent="0.2">
      <c r="A1345" s="38"/>
      <c r="B1345" s="38"/>
      <c r="C1345" s="75"/>
      <c r="D1345" s="75"/>
      <c r="E1345" s="75"/>
      <c r="F1345" s="75"/>
      <c r="G1345" s="75"/>
      <c r="H1345" s="75"/>
      <c r="I1345" s="75"/>
      <c r="J1345" s="75"/>
      <c r="K1345" s="75"/>
      <c r="L1345" s="75"/>
      <c r="M1345" s="75"/>
      <c r="N1345" s="75"/>
      <c r="O1345" s="75"/>
      <c r="P1345" s="75"/>
      <c r="Q1345" s="75"/>
      <c r="R1345" s="75"/>
      <c r="S1345" s="75"/>
      <c r="T1345" s="75"/>
      <c r="U1345" s="75"/>
      <c r="V1345" s="75"/>
      <c r="W1345" s="75"/>
      <c r="X1345" s="75"/>
      <c r="Y1345" s="75"/>
      <c r="Z1345" s="75"/>
      <c r="AA1345" s="75"/>
      <c r="AB1345" s="75"/>
      <c r="AC1345" s="75"/>
      <c r="AD1345" s="75"/>
      <c r="AE1345" s="75"/>
      <c r="AF1345" s="75"/>
      <c r="AG1345" s="75"/>
      <c r="AH1345" s="75"/>
      <c r="AI1345" s="75"/>
      <c r="AJ1345" s="75"/>
      <c r="AK1345" s="75"/>
      <c r="AL1345" s="75"/>
      <c r="AM1345" s="75"/>
      <c r="AN1345" s="75"/>
      <c r="AO1345" s="75"/>
      <c r="AP1345" s="75"/>
      <c r="AQ1345" s="75"/>
      <c r="AR1345" s="75"/>
      <c r="AS1345" s="75"/>
      <c r="AT1345" s="75"/>
      <c r="AU1345" s="75"/>
      <c r="AV1345" s="75"/>
      <c r="AW1345" s="75"/>
      <c r="AX1345" s="75"/>
      <c r="AY1345" s="75"/>
      <c r="AZ1345" s="75"/>
      <c r="BA1345" s="75"/>
      <c r="BB1345" s="75"/>
      <c r="BC1345" s="75"/>
      <c r="BD1345" s="75"/>
      <c r="BE1345" s="75"/>
      <c r="BF1345" s="75" t="s">
        <v>439</v>
      </c>
      <c r="BG1345" s="75"/>
      <c r="BH1345" s="75"/>
      <c r="BI1345" s="75" t="s">
        <v>439</v>
      </c>
      <c r="BJ1345" s="75"/>
      <c r="BK1345" s="75"/>
      <c r="BL1345" s="75" t="s">
        <v>439</v>
      </c>
      <c r="BM1345" s="75"/>
    </row>
    <row r="1346" spans="1:65" ht="15" customHeight="1" x14ac:dyDescent="0.2">
      <c r="A1346" s="38"/>
      <c r="B1346" s="38"/>
      <c r="C1346" s="75"/>
      <c r="D1346" s="75"/>
      <c r="E1346" s="75"/>
      <c r="F1346" s="75"/>
      <c r="G1346" s="75"/>
      <c r="H1346" s="75"/>
      <c r="I1346" s="75"/>
      <c r="J1346" s="75"/>
      <c r="K1346" s="75"/>
      <c r="L1346" s="75"/>
      <c r="M1346" s="75"/>
      <c r="N1346" s="75"/>
      <c r="O1346" s="75"/>
      <c r="P1346" s="75"/>
      <c r="Q1346" s="75"/>
      <c r="R1346" s="75"/>
      <c r="S1346" s="75"/>
      <c r="T1346" s="75"/>
      <c r="U1346" s="75"/>
      <c r="V1346" s="75"/>
      <c r="W1346" s="75"/>
      <c r="X1346" s="75"/>
      <c r="Y1346" s="75"/>
      <c r="Z1346" s="75"/>
      <c r="AA1346" s="75"/>
      <c r="AB1346" s="75"/>
      <c r="AC1346" s="75"/>
      <c r="AD1346" s="75"/>
      <c r="AE1346" s="75"/>
      <c r="AF1346" s="75"/>
      <c r="AG1346" s="75"/>
      <c r="AH1346" s="75"/>
      <c r="AI1346" s="75"/>
      <c r="AJ1346" s="75"/>
      <c r="AK1346" s="75"/>
      <c r="AL1346" s="75"/>
      <c r="AM1346" s="75"/>
      <c r="AN1346" s="75"/>
      <c r="AO1346" s="75"/>
      <c r="AP1346" s="75"/>
      <c r="AQ1346" s="75"/>
      <c r="AR1346" s="75"/>
      <c r="AS1346" s="75"/>
      <c r="AT1346" s="75"/>
      <c r="AU1346" s="75"/>
      <c r="AV1346" s="75"/>
      <c r="AW1346" s="75"/>
      <c r="AX1346" s="75"/>
      <c r="AY1346" s="75"/>
      <c r="AZ1346" s="75"/>
      <c r="BA1346" s="75"/>
      <c r="BB1346" s="75"/>
      <c r="BC1346" s="75"/>
      <c r="BD1346" s="75"/>
      <c r="BE1346" s="75"/>
      <c r="BF1346" s="75" t="s">
        <v>439</v>
      </c>
      <c r="BG1346" s="75"/>
      <c r="BH1346" s="75"/>
      <c r="BI1346" s="75" t="s">
        <v>439</v>
      </c>
      <c r="BJ1346" s="75"/>
      <c r="BK1346" s="75"/>
      <c r="BL1346" s="75" t="s">
        <v>439</v>
      </c>
      <c r="BM1346" s="75"/>
    </row>
    <row r="1347" spans="1:65" ht="15" customHeight="1" x14ac:dyDescent="0.2">
      <c r="A1347" s="38"/>
      <c r="B1347" s="38"/>
      <c r="C1347" s="75"/>
      <c r="D1347" s="75"/>
      <c r="E1347" s="75"/>
      <c r="F1347" s="75"/>
      <c r="G1347" s="75"/>
      <c r="H1347" s="75"/>
      <c r="I1347" s="75"/>
      <c r="J1347" s="75"/>
      <c r="K1347" s="75"/>
      <c r="L1347" s="75"/>
      <c r="M1347" s="75"/>
      <c r="N1347" s="75"/>
      <c r="O1347" s="75"/>
      <c r="P1347" s="75"/>
      <c r="Q1347" s="75"/>
      <c r="R1347" s="75"/>
      <c r="S1347" s="75"/>
      <c r="T1347" s="75"/>
      <c r="U1347" s="75"/>
      <c r="V1347" s="75"/>
      <c r="W1347" s="75"/>
      <c r="X1347" s="75"/>
      <c r="Y1347" s="75"/>
      <c r="Z1347" s="75"/>
      <c r="AA1347" s="75"/>
      <c r="AB1347" s="75"/>
      <c r="AC1347" s="75"/>
      <c r="AD1347" s="75"/>
      <c r="AE1347" s="75"/>
      <c r="AF1347" s="75"/>
      <c r="AG1347" s="75"/>
      <c r="AH1347" s="75"/>
      <c r="AI1347" s="75"/>
      <c r="AJ1347" s="75"/>
      <c r="AK1347" s="75"/>
      <c r="AL1347" s="75"/>
      <c r="AM1347" s="75"/>
      <c r="AN1347" s="75"/>
      <c r="AO1347" s="75"/>
      <c r="AP1347" s="75"/>
      <c r="AQ1347" s="75"/>
      <c r="AR1347" s="75"/>
      <c r="AS1347" s="75"/>
      <c r="AT1347" s="75"/>
      <c r="AU1347" s="75"/>
      <c r="AV1347" s="75"/>
      <c r="AW1347" s="75"/>
      <c r="AX1347" s="75"/>
      <c r="AY1347" s="75"/>
      <c r="AZ1347" s="75"/>
      <c r="BA1347" s="75"/>
      <c r="BB1347" s="75"/>
      <c r="BC1347" s="75"/>
      <c r="BD1347" s="75"/>
      <c r="BE1347" s="75"/>
      <c r="BF1347" s="75" t="s">
        <v>439</v>
      </c>
      <c r="BG1347" s="75"/>
      <c r="BH1347" s="75"/>
      <c r="BI1347" s="75" t="s">
        <v>439</v>
      </c>
      <c r="BJ1347" s="75"/>
      <c r="BK1347" s="75"/>
      <c r="BL1347" s="75" t="s">
        <v>439</v>
      </c>
      <c r="BM1347" s="75"/>
    </row>
    <row r="1348" spans="1:65" ht="15" customHeight="1" x14ac:dyDescent="0.2">
      <c r="A1348" s="38"/>
      <c r="B1348" s="38"/>
      <c r="C1348" s="75"/>
      <c r="D1348" s="75"/>
      <c r="E1348" s="75"/>
      <c r="F1348" s="75"/>
      <c r="G1348" s="75"/>
      <c r="H1348" s="75"/>
      <c r="I1348" s="75"/>
      <c r="J1348" s="75"/>
      <c r="K1348" s="75"/>
      <c r="L1348" s="75"/>
      <c r="M1348" s="75"/>
      <c r="N1348" s="75"/>
      <c r="O1348" s="75"/>
      <c r="P1348" s="75"/>
      <c r="Q1348" s="75"/>
      <c r="R1348" s="75"/>
      <c r="S1348" s="75"/>
      <c r="T1348" s="75"/>
      <c r="U1348" s="75"/>
      <c r="V1348" s="75"/>
      <c r="W1348" s="75"/>
      <c r="X1348" s="75"/>
      <c r="Y1348" s="75"/>
      <c r="Z1348" s="75"/>
      <c r="AA1348" s="75"/>
      <c r="AB1348" s="75"/>
      <c r="AC1348" s="75"/>
      <c r="AD1348" s="75"/>
      <c r="AE1348" s="75"/>
      <c r="AF1348" s="75"/>
      <c r="AG1348" s="75"/>
      <c r="AH1348" s="75"/>
      <c r="AI1348" s="75"/>
      <c r="AJ1348" s="75"/>
      <c r="AK1348" s="75"/>
      <c r="AL1348" s="75"/>
      <c r="AM1348" s="75"/>
      <c r="AN1348" s="75"/>
      <c r="AO1348" s="75"/>
      <c r="AP1348" s="75"/>
      <c r="AQ1348" s="75"/>
      <c r="AR1348" s="75"/>
      <c r="AS1348" s="75"/>
      <c r="AT1348" s="75"/>
      <c r="AU1348" s="75"/>
      <c r="AV1348" s="75"/>
      <c r="AW1348" s="75"/>
      <c r="AX1348" s="75"/>
      <c r="AY1348" s="75"/>
      <c r="AZ1348" s="75"/>
      <c r="BA1348" s="75"/>
      <c r="BB1348" s="75"/>
      <c r="BC1348" s="75"/>
      <c r="BD1348" s="75"/>
      <c r="BE1348" s="75"/>
      <c r="BF1348" s="75" t="s">
        <v>439</v>
      </c>
      <c r="BG1348" s="75"/>
      <c r="BH1348" s="75"/>
      <c r="BI1348" s="75" t="s">
        <v>439</v>
      </c>
      <c r="BJ1348" s="75"/>
      <c r="BK1348" s="75"/>
      <c r="BL1348" s="75" t="s">
        <v>439</v>
      </c>
      <c r="BM1348" s="75"/>
    </row>
    <row r="1349" spans="1:65" ht="15" customHeight="1" x14ac:dyDescent="0.2">
      <c r="A1349" s="38"/>
      <c r="B1349" s="38"/>
      <c r="C1349" s="75"/>
      <c r="D1349" s="75"/>
      <c r="E1349" s="75"/>
      <c r="F1349" s="75"/>
      <c r="G1349" s="75"/>
      <c r="H1349" s="75"/>
      <c r="I1349" s="75"/>
      <c r="J1349" s="75"/>
      <c r="K1349" s="75"/>
      <c r="L1349" s="75"/>
      <c r="M1349" s="75"/>
      <c r="N1349" s="75"/>
      <c r="O1349" s="75"/>
      <c r="P1349" s="75"/>
      <c r="Q1349" s="75"/>
      <c r="R1349" s="75"/>
      <c r="S1349" s="75"/>
      <c r="T1349" s="75"/>
      <c r="U1349" s="75"/>
      <c r="V1349" s="75"/>
      <c r="W1349" s="75"/>
      <c r="X1349" s="75"/>
      <c r="Y1349" s="75"/>
      <c r="Z1349" s="75"/>
      <c r="AA1349" s="75"/>
      <c r="AB1349" s="75"/>
      <c r="AC1349" s="75"/>
      <c r="AD1349" s="75"/>
      <c r="AE1349" s="75"/>
      <c r="AF1349" s="75"/>
      <c r="AG1349" s="75"/>
      <c r="AH1349" s="75"/>
      <c r="AI1349" s="75"/>
      <c r="AJ1349" s="75"/>
      <c r="AK1349" s="75"/>
      <c r="AL1349" s="75"/>
      <c r="AM1349" s="75"/>
      <c r="AN1349" s="75"/>
      <c r="AO1349" s="75"/>
      <c r="AP1349" s="75"/>
      <c r="AQ1349" s="75"/>
      <c r="AR1349" s="75"/>
      <c r="AS1349" s="75"/>
      <c r="AT1349" s="75"/>
      <c r="AU1349" s="75"/>
      <c r="AV1349" s="75"/>
      <c r="AW1349" s="75"/>
      <c r="AX1349" s="75"/>
      <c r="AY1349" s="75"/>
      <c r="AZ1349" s="75"/>
      <c r="BA1349" s="75"/>
      <c r="BB1349" s="75"/>
      <c r="BC1349" s="75"/>
      <c r="BD1349" s="75"/>
      <c r="BE1349" s="75"/>
      <c r="BF1349" s="75" t="s">
        <v>439</v>
      </c>
      <c r="BG1349" s="75"/>
      <c r="BH1349" s="75"/>
      <c r="BI1349" s="75" t="s">
        <v>439</v>
      </c>
      <c r="BJ1349" s="75"/>
      <c r="BK1349" s="75"/>
      <c r="BL1349" s="75" t="s">
        <v>439</v>
      </c>
      <c r="BM1349" s="75"/>
    </row>
    <row r="1350" spans="1:65" ht="15" customHeight="1" x14ac:dyDescent="0.2">
      <c r="A1350" s="38"/>
      <c r="B1350" s="38"/>
      <c r="C1350" s="75"/>
      <c r="D1350" s="75"/>
      <c r="E1350" s="75"/>
      <c r="F1350" s="75"/>
      <c r="G1350" s="75"/>
      <c r="H1350" s="75"/>
      <c r="I1350" s="75"/>
      <c r="J1350" s="75"/>
      <c r="K1350" s="75"/>
      <c r="L1350" s="75"/>
      <c r="M1350" s="75"/>
      <c r="N1350" s="75"/>
      <c r="O1350" s="75"/>
      <c r="P1350" s="75"/>
      <c r="Q1350" s="75"/>
      <c r="R1350" s="75"/>
      <c r="S1350" s="75"/>
      <c r="T1350" s="75"/>
      <c r="U1350" s="75"/>
      <c r="V1350" s="75"/>
      <c r="W1350" s="75"/>
      <c r="X1350" s="75"/>
      <c r="Y1350" s="75"/>
      <c r="Z1350" s="75"/>
      <c r="AA1350" s="75"/>
      <c r="AB1350" s="75"/>
      <c r="AC1350" s="75"/>
      <c r="AD1350" s="75"/>
      <c r="AE1350" s="75"/>
      <c r="AF1350" s="75"/>
      <c r="AG1350" s="75"/>
      <c r="AH1350" s="75"/>
      <c r="AI1350" s="75"/>
      <c r="AJ1350" s="75"/>
      <c r="AK1350" s="75"/>
      <c r="AL1350" s="75"/>
      <c r="AM1350" s="75"/>
      <c r="AN1350" s="75"/>
      <c r="AO1350" s="75"/>
      <c r="AP1350" s="75"/>
      <c r="AQ1350" s="75"/>
      <c r="AR1350" s="75"/>
      <c r="AS1350" s="75"/>
      <c r="AT1350" s="75"/>
      <c r="AU1350" s="75"/>
      <c r="AV1350" s="75"/>
      <c r="AW1350" s="75"/>
      <c r="AX1350" s="75"/>
      <c r="AY1350" s="75"/>
      <c r="AZ1350" s="75"/>
      <c r="BA1350" s="75"/>
      <c r="BB1350" s="75"/>
      <c r="BC1350" s="75"/>
      <c r="BD1350" s="75"/>
      <c r="BE1350" s="75"/>
      <c r="BF1350" s="75" t="s">
        <v>439</v>
      </c>
      <c r="BG1350" s="75"/>
      <c r="BH1350" s="75"/>
      <c r="BI1350" s="75" t="s">
        <v>439</v>
      </c>
      <c r="BJ1350" s="75"/>
      <c r="BK1350" s="75"/>
      <c r="BL1350" s="75" t="s">
        <v>439</v>
      </c>
      <c r="BM1350" s="75"/>
    </row>
    <row r="1351" spans="1:65" ht="15" customHeight="1" x14ac:dyDescent="0.2">
      <c r="A1351" s="38"/>
      <c r="B1351" s="38"/>
      <c r="C1351" s="75"/>
      <c r="D1351" s="75"/>
      <c r="E1351" s="75"/>
      <c r="F1351" s="75"/>
      <c r="G1351" s="75"/>
      <c r="H1351" s="75"/>
      <c r="I1351" s="75"/>
      <c r="J1351" s="75"/>
      <c r="K1351" s="75"/>
      <c r="L1351" s="75"/>
      <c r="M1351" s="75"/>
      <c r="N1351" s="75"/>
      <c r="O1351" s="75"/>
      <c r="P1351" s="75"/>
      <c r="Q1351" s="75"/>
      <c r="R1351" s="75"/>
      <c r="S1351" s="75"/>
      <c r="T1351" s="75"/>
      <c r="U1351" s="75"/>
      <c r="V1351" s="75"/>
      <c r="W1351" s="75"/>
      <c r="X1351" s="75"/>
      <c r="Y1351" s="75"/>
      <c r="Z1351" s="75"/>
      <c r="AA1351" s="75"/>
      <c r="AB1351" s="75"/>
      <c r="AC1351" s="75"/>
      <c r="AD1351" s="75"/>
      <c r="AE1351" s="75"/>
      <c r="AF1351" s="75"/>
      <c r="AG1351" s="75"/>
      <c r="AH1351" s="75"/>
      <c r="AI1351" s="75"/>
      <c r="AJ1351" s="75"/>
      <c r="AK1351" s="75"/>
      <c r="AL1351" s="75"/>
      <c r="AM1351" s="75"/>
      <c r="AN1351" s="75"/>
      <c r="AO1351" s="75"/>
      <c r="AP1351" s="75"/>
      <c r="AQ1351" s="75"/>
      <c r="AR1351" s="75"/>
      <c r="AS1351" s="75"/>
      <c r="AT1351" s="75"/>
      <c r="AU1351" s="75"/>
      <c r="AV1351" s="75"/>
      <c r="AW1351" s="75"/>
      <c r="AX1351" s="75"/>
      <c r="AY1351" s="75"/>
      <c r="AZ1351" s="75"/>
      <c r="BA1351" s="75"/>
      <c r="BB1351" s="75"/>
      <c r="BC1351" s="75"/>
      <c r="BD1351" s="75"/>
      <c r="BE1351" s="75"/>
      <c r="BF1351" s="75" t="s">
        <v>439</v>
      </c>
      <c r="BG1351" s="75"/>
      <c r="BH1351" s="75"/>
      <c r="BI1351" s="75" t="s">
        <v>439</v>
      </c>
      <c r="BJ1351" s="75"/>
      <c r="BK1351" s="75"/>
      <c r="BL1351" s="75" t="s">
        <v>439</v>
      </c>
      <c r="BM1351" s="75"/>
    </row>
    <row r="1352" spans="1:65" ht="15" customHeight="1" x14ac:dyDescent="0.2">
      <c r="A1352" s="38"/>
      <c r="B1352" s="38"/>
      <c r="C1352" s="75"/>
      <c r="D1352" s="75"/>
      <c r="E1352" s="75"/>
      <c r="F1352" s="75"/>
      <c r="G1352" s="75"/>
      <c r="H1352" s="75"/>
      <c r="I1352" s="75"/>
      <c r="J1352" s="75"/>
      <c r="K1352" s="75"/>
      <c r="L1352" s="75"/>
      <c r="M1352" s="75"/>
      <c r="N1352" s="75"/>
      <c r="O1352" s="75"/>
      <c r="P1352" s="75"/>
      <c r="Q1352" s="75"/>
      <c r="R1352" s="75"/>
      <c r="S1352" s="75"/>
      <c r="T1352" s="75"/>
      <c r="U1352" s="75"/>
      <c r="V1352" s="75"/>
      <c r="W1352" s="75"/>
      <c r="X1352" s="75"/>
      <c r="Y1352" s="75"/>
      <c r="Z1352" s="75"/>
      <c r="AA1352" s="75"/>
      <c r="AB1352" s="75"/>
      <c r="AC1352" s="75"/>
      <c r="AD1352" s="75"/>
      <c r="AE1352" s="75"/>
      <c r="AF1352" s="75"/>
      <c r="AG1352" s="75"/>
      <c r="AH1352" s="75"/>
      <c r="AI1352" s="75"/>
      <c r="AJ1352" s="75"/>
      <c r="AK1352" s="75"/>
      <c r="AL1352" s="75"/>
      <c r="AM1352" s="75"/>
      <c r="AN1352" s="75"/>
      <c r="AO1352" s="75"/>
      <c r="AP1352" s="75"/>
      <c r="AQ1352" s="75"/>
      <c r="AR1352" s="75"/>
      <c r="AS1352" s="75"/>
      <c r="AT1352" s="75"/>
      <c r="AU1352" s="75"/>
      <c r="AV1352" s="75"/>
      <c r="AW1352" s="75"/>
      <c r="AX1352" s="75"/>
      <c r="AY1352" s="75"/>
      <c r="AZ1352" s="75"/>
      <c r="BA1352" s="75"/>
      <c r="BB1352" s="75"/>
      <c r="BC1352" s="75"/>
      <c r="BD1352" s="75"/>
      <c r="BE1352" s="75"/>
      <c r="BF1352" s="75" t="s">
        <v>439</v>
      </c>
      <c r="BG1352" s="75"/>
      <c r="BH1352" s="75"/>
      <c r="BI1352" s="75" t="s">
        <v>439</v>
      </c>
      <c r="BJ1352" s="75"/>
      <c r="BK1352" s="75"/>
      <c r="BL1352" s="75" t="s">
        <v>439</v>
      </c>
      <c r="BM1352" s="75"/>
    </row>
    <row r="1353" spans="1:65" ht="15" customHeight="1" x14ac:dyDescent="0.2">
      <c r="A1353" s="38"/>
      <c r="B1353" s="38"/>
      <c r="C1353" s="75"/>
      <c r="D1353" s="75"/>
      <c r="E1353" s="75"/>
      <c r="F1353" s="75"/>
      <c r="G1353" s="75"/>
      <c r="H1353" s="75"/>
      <c r="I1353" s="75"/>
      <c r="J1353" s="75"/>
      <c r="K1353" s="75"/>
      <c r="L1353" s="75"/>
      <c r="M1353" s="75"/>
      <c r="N1353" s="75"/>
      <c r="O1353" s="75"/>
      <c r="P1353" s="75"/>
      <c r="Q1353" s="75"/>
      <c r="R1353" s="75"/>
      <c r="S1353" s="75"/>
      <c r="T1353" s="75"/>
      <c r="U1353" s="75"/>
      <c r="V1353" s="75"/>
      <c r="W1353" s="75"/>
      <c r="X1353" s="75"/>
      <c r="Y1353" s="75"/>
      <c r="Z1353" s="75"/>
      <c r="AA1353" s="75"/>
      <c r="AB1353" s="75"/>
      <c r="AC1353" s="75"/>
      <c r="AD1353" s="75"/>
      <c r="AE1353" s="75"/>
      <c r="AF1353" s="75"/>
      <c r="AG1353" s="75"/>
      <c r="AH1353" s="75"/>
      <c r="AI1353" s="75"/>
      <c r="AJ1353" s="75"/>
      <c r="AK1353" s="75"/>
      <c r="AL1353" s="75"/>
      <c r="AM1353" s="75"/>
      <c r="AN1353" s="75"/>
      <c r="AO1353" s="75"/>
      <c r="AP1353" s="75"/>
      <c r="AQ1353" s="75"/>
      <c r="AR1353" s="75"/>
      <c r="AS1353" s="75"/>
      <c r="AT1353" s="75"/>
      <c r="AU1353" s="75"/>
      <c r="AV1353" s="75"/>
      <c r="AW1353" s="75"/>
      <c r="AX1353" s="75"/>
      <c r="AY1353" s="75"/>
      <c r="AZ1353" s="75"/>
      <c r="BA1353" s="75"/>
      <c r="BB1353" s="75"/>
      <c r="BC1353" s="75"/>
      <c r="BD1353" s="75"/>
      <c r="BE1353" s="75"/>
      <c r="BF1353" s="75" t="s">
        <v>439</v>
      </c>
      <c r="BG1353" s="75"/>
      <c r="BH1353" s="75"/>
      <c r="BI1353" s="75" t="s">
        <v>439</v>
      </c>
      <c r="BJ1353" s="75"/>
      <c r="BK1353" s="75"/>
      <c r="BL1353" s="75" t="s">
        <v>439</v>
      </c>
      <c r="BM1353" s="75"/>
    </row>
    <row r="1354" spans="1:65" ht="15" customHeight="1" x14ac:dyDescent="0.2">
      <c r="A1354" s="38"/>
      <c r="B1354" s="38"/>
      <c r="C1354" s="75"/>
      <c r="D1354" s="75"/>
      <c r="E1354" s="75"/>
      <c r="F1354" s="75"/>
      <c r="G1354" s="75"/>
      <c r="H1354" s="75"/>
      <c r="I1354" s="75"/>
      <c r="J1354" s="75"/>
      <c r="K1354" s="75"/>
      <c r="L1354" s="75"/>
      <c r="M1354" s="75"/>
      <c r="N1354" s="75"/>
      <c r="O1354" s="75"/>
      <c r="P1354" s="75"/>
      <c r="Q1354" s="75"/>
      <c r="R1354" s="75"/>
      <c r="S1354" s="75"/>
      <c r="T1354" s="75"/>
      <c r="U1354" s="75"/>
      <c r="V1354" s="75"/>
      <c r="W1354" s="75"/>
      <c r="X1354" s="75"/>
      <c r="Y1354" s="75"/>
      <c r="Z1354" s="75"/>
      <c r="AA1354" s="75"/>
      <c r="AB1354" s="75"/>
      <c r="AC1354" s="75"/>
      <c r="AD1354" s="75"/>
      <c r="AE1354" s="75"/>
      <c r="AF1354" s="75"/>
      <c r="AG1354" s="75"/>
      <c r="AH1354" s="75"/>
      <c r="AI1354" s="75"/>
      <c r="AJ1354" s="75"/>
      <c r="AK1354" s="75"/>
      <c r="AL1354" s="75"/>
      <c r="AM1354" s="75"/>
      <c r="AN1354" s="75"/>
      <c r="AO1354" s="75"/>
      <c r="AP1354" s="75"/>
      <c r="AQ1354" s="75"/>
      <c r="AR1354" s="75"/>
      <c r="AS1354" s="75"/>
      <c r="AT1354" s="75"/>
      <c r="AU1354" s="75"/>
      <c r="AV1354" s="75"/>
      <c r="AW1354" s="75"/>
      <c r="AX1354" s="75"/>
      <c r="AY1354" s="75"/>
      <c r="AZ1354" s="75"/>
      <c r="BA1354" s="75"/>
      <c r="BB1354" s="75"/>
      <c r="BC1354" s="75"/>
      <c r="BD1354" s="75"/>
      <c r="BE1354" s="75"/>
      <c r="BF1354" s="75" t="s">
        <v>439</v>
      </c>
      <c r="BG1354" s="75"/>
      <c r="BH1354" s="75"/>
      <c r="BI1354" s="75" t="s">
        <v>439</v>
      </c>
      <c r="BJ1354" s="75"/>
      <c r="BK1354" s="75"/>
      <c r="BL1354" s="75" t="s">
        <v>439</v>
      </c>
      <c r="BM1354" s="75"/>
    </row>
    <row r="1355" spans="1:65" ht="15" customHeight="1" x14ac:dyDescent="0.2">
      <c r="A1355" s="38"/>
      <c r="B1355" s="38"/>
      <c r="C1355" s="75"/>
      <c r="D1355" s="75"/>
      <c r="E1355" s="75"/>
      <c r="F1355" s="75"/>
      <c r="G1355" s="75"/>
      <c r="H1355" s="75"/>
      <c r="I1355" s="75"/>
      <c r="J1355" s="75"/>
      <c r="K1355" s="75"/>
      <c r="L1355" s="75"/>
      <c r="M1355" s="75"/>
      <c r="N1355" s="75"/>
      <c r="O1355" s="75"/>
      <c r="P1355" s="75"/>
      <c r="Q1355" s="75"/>
      <c r="R1355" s="75"/>
      <c r="S1355" s="75"/>
      <c r="T1355" s="75"/>
      <c r="U1355" s="75"/>
      <c r="V1355" s="75"/>
      <c r="W1355" s="75"/>
      <c r="X1355" s="75"/>
      <c r="Y1355" s="75"/>
      <c r="Z1355" s="75"/>
      <c r="AA1355" s="75"/>
      <c r="AB1355" s="75"/>
      <c r="AC1355" s="75"/>
      <c r="AD1355" s="75"/>
      <c r="AE1355" s="75"/>
      <c r="AF1355" s="75"/>
      <c r="AG1355" s="75"/>
      <c r="AH1355" s="75"/>
      <c r="AI1355" s="75"/>
      <c r="AJ1355" s="75"/>
      <c r="AK1355" s="75"/>
      <c r="AL1355" s="75"/>
      <c r="AM1355" s="75"/>
      <c r="AN1355" s="75"/>
      <c r="AO1355" s="75"/>
      <c r="AP1355" s="75"/>
      <c r="AQ1355" s="75"/>
      <c r="AR1355" s="75"/>
      <c r="AS1355" s="75"/>
      <c r="AT1355" s="75"/>
      <c r="AU1355" s="75"/>
      <c r="AV1355" s="75"/>
      <c r="AW1355" s="75"/>
      <c r="AX1355" s="75"/>
      <c r="AY1355" s="75"/>
      <c r="AZ1355" s="75"/>
      <c r="BA1355" s="75"/>
      <c r="BB1355" s="75"/>
      <c r="BC1355" s="75"/>
      <c r="BD1355" s="75"/>
      <c r="BE1355" s="75"/>
      <c r="BF1355" s="75" t="s">
        <v>439</v>
      </c>
      <c r="BG1355" s="75"/>
      <c r="BH1355" s="75"/>
      <c r="BI1355" s="75" t="s">
        <v>439</v>
      </c>
      <c r="BJ1355" s="75"/>
      <c r="BK1355" s="75"/>
      <c r="BL1355" s="75" t="s">
        <v>439</v>
      </c>
      <c r="BM1355" s="75"/>
    </row>
    <row r="1356" spans="1:65" ht="15" customHeight="1" x14ac:dyDescent="0.2">
      <c r="A1356" s="38"/>
      <c r="B1356" s="38"/>
      <c r="C1356" s="75"/>
      <c r="D1356" s="75"/>
      <c r="E1356" s="75"/>
      <c r="F1356" s="75"/>
      <c r="G1356" s="75"/>
      <c r="H1356" s="75"/>
      <c r="I1356" s="75"/>
      <c r="J1356" s="75"/>
      <c r="K1356" s="75"/>
      <c r="L1356" s="75"/>
      <c r="M1356" s="75"/>
      <c r="N1356" s="75"/>
      <c r="O1356" s="75"/>
      <c r="P1356" s="75"/>
      <c r="Q1356" s="75"/>
      <c r="R1356" s="75"/>
      <c r="S1356" s="75"/>
      <c r="T1356" s="75"/>
      <c r="U1356" s="75"/>
      <c r="V1356" s="75"/>
      <c r="W1356" s="75"/>
      <c r="X1356" s="75"/>
      <c r="Y1356" s="75"/>
      <c r="Z1356" s="75"/>
      <c r="AA1356" s="75"/>
      <c r="AB1356" s="75"/>
      <c r="AC1356" s="75"/>
      <c r="AD1356" s="75"/>
      <c r="AE1356" s="75"/>
      <c r="AF1356" s="75"/>
      <c r="AG1356" s="75"/>
      <c r="AH1356" s="75"/>
      <c r="AI1356" s="75"/>
      <c r="AJ1356" s="75"/>
      <c r="AK1356" s="75"/>
      <c r="AL1356" s="75"/>
      <c r="AM1356" s="75"/>
      <c r="AN1356" s="75"/>
      <c r="AO1356" s="75"/>
      <c r="AP1356" s="75"/>
      <c r="AQ1356" s="75"/>
      <c r="AR1356" s="75"/>
      <c r="AS1356" s="75"/>
      <c r="AT1356" s="75"/>
      <c r="AU1356" s="75"/>
      <c r="AV1356" s="75"/>
      <c r="AW1356" s="75"/>
      <c r="AX1356" s="75"/>
      <c r="AY1356" s="75"/>
      <c r="AZ1356" s="75"/>
      <c r="BA1356" s="75"/>
      <c r="BB1356" s="75"/>
      <c r="BC1356" s="75"/>
      <c r="BD1356" s="75"/>
      <c r="BE1356" s="75"/>
      <c r="BF1356" s="75" t="s">
        <v>439</v>
      </c>
      <c r="BG1356" s="75"/>
      <c r="BH1356" s="75"/>
      <c r="BI1356" s="75" t="s">
        <v>439</v>
      </c>
      <c r="BJ1356" s="75"/>
      <c r="BK1356" s="75"/>
      <c r="BL1356" s="75" t="s">
        <v>439</v>
      </c>
      <c r="BM1356" s="75"/>
    </row>
    <row r="1357" spans="1:65" ht="15" customHeight="1" x14ac:dyDescent="0.2">
      <c r="A1357" s="38"/>
      <c r="B1357" s="38"/>
      <c r="C1357" s="75"/>
      <c r="D1357" s="75"/>
      <c r="E1357" s="75"/>
      <c r="F1357" s="75"/>
      <c r="G1357" s="75"/>
      <c r="H1357" s="75"/>
      <c r="I1357" s="75"/>
      <c r="J1357" s="75"/>
      <c r="K1357" s="75"/>
      <c r="L1357" s="75"/>
      <c r="M1357" s="75"/>
      <c r="N1357" s="75"/>
      <c r="O1357" s="75"/>
      <c r="P1357" s="75"/>
      <c r="Q1357" s="75"/>
      <c r="R1357" s="75"/>
      <c r="S1357" s="75"/>
      <c r="T1357" s="75"/>
      <c r="U1357" s="75"/>
      <c r="V1357" s="75"/>
      <c r="W1357" s="75"/>
      <c r="X1357" s="75"/>
      <c r="Y1357" s="75"/>
      <c r="Z1357" s="75"/>
      <c r="AA1357" s="75"/>
      <c r="AB1357" s="75"/>
      <c r="AC1357" s="75"/>
      <c r="AD1357" s="75"/>
      <c r="AE1357" s="75"/>
      <c r="AF1357" s="75"/>
      <c r="AG1357" s="75"/>
      <c r="AH1357" s="75"/>
      <c r="AI1357" s="75"/>
      <c r="AJ1357" s="75"/>
      <c r="AK1357" s="75"/>
      <c r="AL1357" s="75"/>
      <c r="AM1357" s="75"/>
      <c r="AN1357" s="75"/>
      <c r="AO1357" s="75"/>
      <c r="AP1357" s="75"/>
      <c r="AQ1357" s="75"/>
      <c r="AR1357" s="75"/>
      <c r="AS1357" s="75"/>
      <c r="AT1357" s="75"/>
      <c r="AU1357" s="75"/>
      <c r="AV1357" s="75"/>
      <c r="AW1357" s="75"/>
      <c r="AX1357" s="75"/>
      <c r="AY1357" s="75"/>
      <c r="AZ1357" s="75"/>
      <c r="BA1357" s="75"/>
      <c r="BB1357" s="75"/>
      <c r="BC1357" s="75"/>
      <c r="BD1357" s="75"/>
      <c r="BE1357" s="75"/>
      <c r="BF1357" s="75" t="s">
        <v>439</v>
      </c>
      <c r="BG1357" s="75"/>
      <c r="BH1357" s="75"/>
      <c r="BI1357" s="75" t="s">
        <v>439</v>
      </c>
      <c r="BJ1357" s="75"/>
      <c r="BK1357" s="75"/>
      <c r="BL1357" s="75" t="s">
        <v>439</v>
      </c>
      <c r="BM1357" s="75"/>
    </row>
    <row r="1358" spans="1:65" ht="15" customHeight="1" x14ac:dyDescent="0.2">
      <c r="A1358" s="38"/>
      <c r="B1358" s="38"/>
      <c r="C1358" s="75"/>
      <c r="D1358" s="75"/>
      <c r="E1358" s="75"/>
      <c r="F1358" s="75"/>
      <c r="G1358" s="75"/>
      <c r="H1358" s="75"/>
      <c r="I1358" s="75"/>
      <c r="J1358" s="75"/>
      <c r="K1358" s="75"/>
      <c r="L1358" s="75"/>
      <c r="M1358" s="75"/>
      <c r="N1358" s="75"/>
      <c r="O1358" s="75"/>
      <c r="P1358" s="75"/>
      <c r="Q1358" s="75"/>
      <c r="R1358" s="75"/>
      <c r="S1358" s="75"/>
      <c r="T1358" s="75"/>
      <c r="U1358" s="75"/>
      <c r="V1358" s="75"/>
      <c r="W1358" s="75"/>
      <c r="X1358" s="75"/>
      <c r="Y1358" s="75"/>
      <c r="Z1358" s="75"/>
      <c r="AA1358" s="75"/>
      <c r="AB1358" s="75"/>
      <c r="AC1358" s="75"/>
      <c r="AD1358" s="75"/>
      <c r="AE1358" s="75"/>
      <c r="AF1358" s="75"/>
      <c r="AG1358" s="75"/>
      <c r="AH1358" s="75"/>
      <c r="AI1358" s="75"/>
      <c r="AJ1358" s="75"/>
      <c r="AK1358" s="75"/>
      <c r="AL1358" s="75"/>
      <c r="AM1358" s="75"/>
      <c r="AN1358" s="75"/>
      <c r="AO1358" s="75"/>
      <c r="AP1358" s="75"/>
      <c r="AQ1358" s="75"/>
      <c r="AR1358" s="75"/>
      <c r="AS1358" s="75"/>
      <c r="AT1358" s="75"/>
      <c r="AU1358" s="75"/>
      <c r="AV1358" s="75"/>
      <c r="AW1358" s="75"/>
      <c r="AX1358" s="75"/>
      <c r="AY1358" s="75"/>
      <c r="AZ1358" s="75"/>
      <c r="BA1358" s="75"/>
      <c r="BB1358" s="75"/>
      <c r="BC1358" s="75"/>
      <c r="BD1358" s="75"/>
      <c r="BE1358" s="75"/>
      <c r="BF1358" s="75" t="s">
        <v>439</v>
      </c>
      <c r="BG1358" s="75"/>
      <c r="BH1358" s="75"/>
      <c r="BI1358" s="75" t="s">
        <v>439</v>
      </c>
      <c r="BJ1358" s="75"/>
      <c r="BK1358" s="75"/>
      <c r="BL1358" s="75" t="s">
        <v>439</v>
      </c>
      <c r="BM1358" s="75"/>
    </row>
    <row r="1359" spans="1:65" ht="15" customHeight="1" x14ac:dyDescent="0.2">
      <c r="A1359" s="38"/>
      <c r="B1359" s="38"/>
      <c r="C1359" s="75"/>
      <c r="D1359" s="75"/>
      <c r="E1359" s="75"/>
      <c r="F1359" s="75"/>
      <c r="G1359" s="75"/>
      <c r="H1359" s="75"/>
      <c r="I1359" s="75"/>
      <c r="J1359" s="75"/>
      <c r="K1359" s="75"/>
      <c r="L1359" s="75"/>
      <c r="M1359" s="75"/>
      <c r="N1359" s="75"/>
      <c r="O1359" s="75"/>
      <c r="P1359" s="75"/>
      <c r="Q1359" s="75"/>
      <c r="R1359" s="75"/>
      <c r="S1359" s="75"/>
      <c r="T1359" s="75"/>
      <c r="U1359" s="75"/>
      <c r="V1359" s="75"/>
      <c r="W1359" s="75"/>
      <c r="X1359" s="75"/>
      <c r="Y1359" s="75"/>
      <c r="Z1359" s="75"/>
      <c r="AA1359" s="75"/>
      <c r="AB1359" s="75"/>
      <c r="AC1359" s="75"/>
      <c r="AD1359" s="75"/>
      <c r="AE1359" s="75"/>
      <c r="AF1359" s="75"/>
      <c r="AG1359" s="75"/>
      <c r="AH1359" s="75"/>
      <c r="AI1359" s="75"/>
      <c r="AJ1359" s="75"/>
      <c r="AK1359" s="75"/>
      <c r="AL1359" s="75"/>
      <c r="AM1359" s="75"/>
      <c r="AN1359" s="75"/>
      <c r="AO1359" s="75"/>
      <c r="AP1359" s="75"/>
      <c r="AQ1359" s="75"/>
      <c r="AR1359" s="75"/>
      <c r="AS1359" s="75"/>
      <c r="AT1359" s="75"/>
      <c r="AU1359" s="75"/>
      <c r="AV1359" s="75"/>
      <c r="AW1359" s="75"/>
      <c r="AX1359" s="75"/>
      <c r="AY1359" s="75"/>
      <c r="AZ1359" s="75"/>
      <c r="BA1359" s="75"/>
      <c r="BB1359" s="75"/>
      <c r="BC1359" s="75"/>
      <c r="BD1359" s="75"/>
      <c r="BE1359" s="75"/>
      <c r="BF1359" s="75" t="s">
        <v>439</v>
      </c>
      <c r="BG1359" s="75"/>
      <c r="BH1359" s="75"/>
      <c r="BI1359" s="75" t="s">
        <v>439</v>
      </c>
      <c r="BJ1359" s="75"/>
      <c r="BK1359" s="75"/>
      <c r="BL1359" s="75" t="s">
        <v>439</v>
      </c>
      <c r="BM1359" s="75"/>
    </row>
    <row r="1360" spans="1:65" ht="15" customHeight="1" x14ac:dyDescent="0.2">
      <c r="A1360" s="38"/>
      <c r="B1360" s="38"/>
      <c r="C1360" s="75"/>
      <c r="D1360" s="75"/>
      <c r="E1360" s="75"/>
      <c r="F1360" s="75"/>
      <c r="G1360" s="75"/>
      <c r="H1360" s="75"/>
      <c r="I1360" s="75"/>
      <c r="J1360" s="75"/>
      <c r="K1360" s="75"/>
      <c r="L1360" s="75"/>
      <c r="M1360" s="75"/>
      <c r="N1360" s="75"/>
      <c r="O1360" s="75"/>
      <c r="P1360" s="75"/>
      <c r="Q1360" s="75"/>
      <c r="R1360" s="75"/>
      <c r="S1360" s="75"/>
      <c r="T1360" s="75"/>
      <c r="U1360" s="75"/>
      <c r="V1360" s="75"/>
      <c r="W1360" s="75"/>
      <c r="X1360" s="75"/>
      <c r="Y1360" s="75"/>
      <c r="Z1360" s="75"/>
      <c r="AA1360" s="75"/>
      <c r="AB1360" s="75"/>
      <c r="AC1360" s="75"/>
      <c r="AD1360" s="75"/>
      <c r="AE1360" s="75"/>
      <c r="AF1360" s="75"/>
      <c r="AG1360" s="75"/>
      <c r="AH1360" s="75"/>
      <c r="AI1360" s="75"/>
      <c r="AJ1360" s="75"/>
      <c r="AK1360" s="75"/>
      <c r="AL1360" s="75"/>
      <c r="AM1360" s="75"/>
      <c r="AN1360" s="75"/>
      <c r="AO1360" s="75"/>
      <c r="AP1360" s="75"/>
      <c r="AQ1360" s="75"/>
      <c r="AR1360" s="75"/>
      <c r="AS1360" s="75"/>
      <c r="AT1360" s="75"/>
      <c r="AU1360" s="75"/>
      <c r="AV1360" s="75"/>
      <c r="AW1360" s="75"/>
      <c r="AX1360" s="75"/>
      <c r="AY1360" s="75"/>
      <c r="AZ1360" s="75"/>
      <c r="BA1360" s="75"/>
      <c r="BB1360" s="75"/>
      <c r="BC1360" s="75"/>
      <c r="BD1360" s="75"/>
      <c r="BE1360" s="75"/>
      <c r="BF1360" s="75" t="s">
        <v>439</v>
      </c>
      <c r="BG1360" s="75"/>
      <c r="BH1360" s="75"/>
      <c r="BI1360" s="75" t="s">
        <v>439</v>
      </c>
      <c r="BJ1360" s="75"/>
      <c r="BK1360" s="75"/>
      <c r="BL1360" s="75" t="s">
        <v>439</v>
      </c>
      <c r="BM1360" s="75"/>
    </row>
    <row r="1361" spans="1:65" ht="15" customHeight="1" x14ac:dyDescent="0.2">
      <c r="A1361" s="38"/>
      <c r="B1361" s="38"/>
      <c r="C1361" s="75"/>
      <c r="D1361" s="75"/>
      <c r="E1361" s="75"/>
      <c r="F1361" s="75"/>
      <c r="G1361" s="75"/>
      <c r="H1361" s="75"/>
      <c r="I1361" s="75"/>
      <c r="J1361" s="75"/>
      <c r="K1361" s="75"/>
      <c r="L1361" s="75"/>
      <c r="M1361" s="75"/>
      <c r="N1361" s="75"/>
      <c r="O1361" s="75"/>
      <c r="P1361" s="75"/>
      <c r="Q1361" s="75"/>
      <c r="R1361" s="75"/>
      <c r="S1361" s="75"/>
      <c r="T1361" s="75"/>
      <c r="U1361" s="75"/>
      <c r="V1361" s="75"/>
      <c r="W1361" s="75"/>
      <c r="X1361" s="75"/>
      <c r="Y1361" s="75"/>
      <c r="Z1361" s="75"/>
      <c r="AA1361" s="75"/>
      <c r="AB1361" s="75"/>
      <c r="AC1361" s="75"/>
      <c r="AD1361" s="75"/>
      <c r="AE1361" s="75"/>
      <c r="AF1361" s="75"/>
      <c r="AG1361" s="75"/>
      <c r="AH1361" s="75"/>
      <c r="AI1361" s="75"/>
      <c r="AJ1361" s="75"/>
      <c r="AK1361" s="75"/>
      <c r="AL1361" s="75"/>
      <c r="AM1361" s="75"/>
      <c r="AN1361" s="75"/>
      <c r="AO1361" s="75"/>
      <c r="AP1361" s="75"/>
      <c r="AQ1361" s="75"/>
      <c r="AR1361" s="75"/>
      <c r="AS1361" s="75"/>
      <c r="AT1361" s="75"/>
      <c r="AU1361" s="75"/>
      <c r="AV1361" s="75"/>
      <c r="AW1361" s="75"/>
      <c r="AX1361" s="75"/>
      <c r="AY1361" s="75"/>
      <c r="AZ1361" s="75"/>
      <c r="BA1361" s="75"/>
      <c r="BB1361" s="75"/>
      <c r="BC1361" s="75"/>
      <c r="BD1361" s="75"/>
      <c r="BE1361" s="75"/>
      <c r="BF1361" s="75" t="s">
        <v>439</v>
      </c>
      <c r="BG1361" s="75"/>
      <c r="BH1361" s="75"/>
      <c r="BI1361" s="75" t="s">
        <v>439</v>
      </c>
      <c r="BJ1361" s="75"/>
      <c r="BK1361" s="75"/>
      <c r="BL1361" s="75" t="s">
        <v>439</v>
      </c>
      <c r="BM1361" s="75"/>
    </row>
    <row r="1362" spans="1:65" ht="15" customHeight="1" x14ac:dyDescent="0.2">
      <c r="A1362" s="38"/>
      <c r="B1362" s="38"/>
      <c r="C1362" s="75"/>
      <c r="D1362" s="75"/>
      <c r="E1362" s="75"/>
      <c r="F1362" s="75"/>
      <c r="G1362" s="75"/>
      <c r="H1362" s="75"/>
      <c r="I1362" s="75"/>
      <c r="J1362" s="75"/>
      <c r="K1362" s="75"/>
      <c r="L1362" s="75"/>
      <c r="M1362" s="75"/>
      <c r="N1362" s="75"/>
      <c r="O1362" s="75"/>
      <c r="P1362" s="75"/>
      <c r="Q1362" s="75"/>
      <c r="R1362" s="75"/>
      <c r="S1362" s="75"/>
      <c r="T1362" s="75"/>
      <c r="U1362" s="75"/>
      <c r="V1362" s="75"/>
      <c r="W1362" s="75"/>
      <c r="X1362" s="75"/>
      <c r="Y1362" s="75"/>
      <c r="Z1362" s="75"/>
      <c r="AA1362" s="75"/>
      <c r="AB1362" s="75"/>
      <c r="AC1362" s="75"/>
      <c r="AD1362" s="75"/>
      <c r="AE1362" s="75"/>
      <c r="AF1362" s="75"/>
      <c r="AG1362" s="75"/>
      <c r="AH1362" s="75"/>
      <c r="AI1362" s="75"/>
      <c r="AJ1362" s="75"/>
      <c r="AK1362" s="75"/>
      <c r="AL1362" s="75"/>
      <c r="AM1362" s="75"/>
      <c r="AN1362" s="75"/>
      <c r="AO1362" s="75"/>
      <c r="AP1362" s="75"/>
      <c r="AQ1362" s="75"/>
      <c r="AR1362" s="75"/>
      <c r="AS1362" s="75"/>
      <c r="AT1362" s="75"/>
      <c r="AU1362" s="75"/>
      <c r="AV1362" s="75"/>
      <c r="AW1362" s="75"/>
      <c r="AX1362" s="75"/>
      <c r="AY1362" s="75"/>
      <c r="AZ1362" s="75"/>
      <c r="BA1362" s="75"/>
      <c r="BB1362" s="75"/>
      <c r="BC1362" s="75"/>
      <c r="BD1362" s="75"/>
      <c r="BE1362" s="75"/>
      <c r="BF1362" s="75" t="s">
        <v>439</v>
      </c>
      <c r="BG1362" s="75"/>
      <c r="BH1362" s="75"/>
      <c r="BI1362" s="75" t="s">
        <v>439</v>
      </c>
      <c r="BJ1362" s="75"/>
      <c r="BK1362" s="75"/>
      <c r="BL1362" s="75" t="s">
        <v>439</v>
      </c>
      <c r="BM1362" s="75"/>
    </row>
    <row r="1363" spans="1:65" ht="15" customHeight="1" x14ac:dyDescent="0.2">
      <c r="A1363" s="38"/>
      <c r="B1363" s="38"/>
      <c r="C1363" s="75"/>
      <c r="D1363" s="75"/>
      <c r="E1363" s="75"/>
      <c r="F1363" s="75"/>
      <c r="G1363" s="75"/>
      <c r="H1363" s="75"/>
      <c r="I1363" s="75"/>
      <c r="J1363" s="75"/>
      <c r="K1363" s="75"/>
      <c r="L1363" s="75"/>
      <c r="M1363" s="75"/>
      <c r="N1363" s="75"/>
      <c r="O1363" s="75"/>
      <c r="P1363" s="75"/>
      <c r="Q1363" s="75"/>
      <c r="R1363" s="75"/>
      <c r="S1363" s="75"/>
      <c r="T1363" s="75"/>
      <c r="U1363" s="75"/>
      <c r="V1363" s="75"/>
      <c r="W1363" s="75"/>
      <c r="X1363" s="75"/>
      <c r="Y1363" s="75"/>
      <c r="Z1363" s="75"/>
      <c r="AA1363" s="75"/>
      <c r="AB1363" s="75"/>
      <c r="AC1363" s="75"/>
      <c r="AD1363" s="75"/>
      <c r="AE1363" s="75"/>
      <c r="AF1363" s="75"/>
      <c r="AG1363" s="75"/>
      <c r="AH1363" s="75"/>
      <c r="AI1363" s="75"/>
      <c r="AJ1363" s="75"/>
      <c r="AK1363" s="75"/>
      <c r="AL1363" s="75"/>
      <c r="AM1363" s="75"/>
      <c r="AN1363" s="75"/>
      <c r="AO1363" s="75"/>
      <c r="AP1363" s="75"/>
      <c r="AQ1363" s="75"/>
      <c r="AR1363" s="75"/>
      <c r="AS1363" s="75"/>
      <c r="AT1363" s="75"/>
      <c r="AU1363" s="75"/>
      <c r="AV1363" s="75"/>
      <c r="AW1363" s="75"/>
      <c r="AX1363" s="75"/>
      <c r="AY1363" s="75"/>
      <c r="AZ1363" s="75"/>
      <c r="BA1363" s="75"/>
      <c r="BB1363" s="75"/>
      <c r="BC1363" s="75"/>
      <c r="BD1363" s="75"/>
      <c r="BE1363" s="75"/>
      <c r="BF1363" s="75" t="s">
        <v>439</v>
      </c>
      <c r="BG1363" s="75"/>
      <c r="BH1363" s="75"/>
      <c r="BI1363" s="75" t="s">
        <v>439</v>
      </c>
      <c r="BJ1363" s="75"/>
      <c r="BK1363" s="75"/>
      <c r="BL1363" s="75" t="s">
        <v>439</v>
      </c>
      <c r="BM1363" s="75"/>
    </row>
    <row r="1364" spans="1:65" ht="15" customHeight="1" x14ac:dyDescent="0.2">
      <c r="A1364" s="38"/>
      <c r="B1364" s="38"/>
      <c r="C1364" s="75"/>
      <c r="D1364" s="75"/>
      <c r="E1364" s="75"/>
      <c r="F1364" s="75"/>
      <c r="G1364" s="75"/>
      <c r="H1364" s="75"/>
      <c r="I1364" s="75"/>
      <c r="J1364" s="75"/>
      <c r="K1364" s="75"/>
      <c r="L1364" s="75"/>
      <c r="M1364" s="75"/>
      <c r="N1364" s="75"/>
      <c r="O1364" s="75"/>
      <c r="P1364" s="75"/>
      <c r="Q1364" s="75"/>
      <c r="R1364" s="75"/>
      <c r="S1364" s="75"/>
      <c r="T1364" s="75"/>
      <c r="U1364" s="75"/>
      <c r="V1364" s="75"/>
      <c r="W1364" s="75"/>
      <c r="X1364" s="75"/>
      <c r="Y1364" s="75"/>
      <c r="Z1364" s="75"/>
      <c r="AA1364" s="75"/>
      <c r="AB1364" s="75"/>
      <c r="AC1364" s="75"/>
      <c r="AD1364" s="75"/>
      <c r="AE1364" s="75"/>
      <c r="AF1364" s="75"/>
      <c r="AG1364" s="75"/>
      <c r="AH1364" s="75"/>
      <c r="AI1364" s="75"/>
      <c r="AJ1364" s="75"/>
      <c r="AK1364" s="75"/>
      <c r="AL1364" s="75"/>
      <c r="AM1364" s="75"/>
      <c r="AN1364" s="75"/>
      <c r="AO1364" s="75"/>
      <c r="AP1364" s="75"/>
      <c r="AQ1364" s="75"/>
      <c r="AR1364" s="75"/>
      <c r="AS1364" s="75"/>
      <c r="AT1364" s="75"/>
      <c r="AU1364" s="75"/>
      <c r="AV1364" s="75"/>
      <c r="AW1364" s="75"/>
      <c r="AX1364" s="75"/>
      <c r="AY1364" s="75"/>
      <c r="AZ1364" s="75"/>
      <c r="BA1364" s="75"/>
      <c r="BB1364" s="75"/>
      <c r="BC1364" s="75"/>
      <c r="BD1364" s="75"/>
      <c r="BE1364" s="75"/>
      <c r="BF1364" s="75" t="s">
        <v>439</v>
      </c>
      <c r="BG1364" s="75"/>
      <c r="BH1364" s="75"/>
      <c r="BI1364" s="75" t="s">
        <v>439</v>
      </c>
      <c r="BJ1364" s="75"/>
      <c r="BK1364" s="75"/>
      <c r="BL1364" s="75" t="s">
        <v>439</v>
      </c>
      <c r="BM1364" s="75"/>
    </row>
    <row r="1365" spans="1:65" ht="15" customHeight="1" x14ac:dyDescent="0.2">
      <c r="A1365" s="38"/>
      <c r="B1365" s="38"/>
      <c r="C1365" s="75"/>
      <c r="D1365" s="75"/>
      <c r="E1365" s="75"/>
      <c r="F1365" s="75"/>
      <c r="G1365" s="75"/>
      <c r="H1365" s="75"/>
      <c r="I1365" s="75"/>
      <c r="J1365" s="75"/>
      <c r="K1365" s="75"/>
      <c r="L1365" s="75"/>
      <c r="M1365" s="75"/>
      <c r="N1365" s="75"/>
      <c r="O1365" s="75"/>
      <c r="P1365" s="75"/>
      <c r="Q1365" s="75"/>
      <c r="R1365" s="75"/>
      <c r="S1365" s="75"/>
      <c r="T1365" s="75"/>
      <c r="U1365" s="75"/>
      <c r="V1365" s="75"/>
      <c r="W1365" s="75"/>
      <c r="X1365" s="75"/>
      <c r="Y1365" s="75"/>
      <c r="Z1365" s="75"/>
      <c r="AA1365" s="75"/>
      <c r="AB1365" s="75"/>
      <c r="AC1365" s="75"/>
      <c r="AD1365" s="75"/>
      <c r="AE1365" s="75"/>
      <c r="AF1365" s="75"/>
      <c r="AG1365" s="75"/>
      <c r="AH1365" s="75"/>
      <c r="AI1365" s="75"/>
      <c r="AJ1365" s="75"/>
      <c r="AK1365" s="75"/>
      <c r="AL1365" s="75"/>
      <c r="AM1365" s="75"/>
      <c r="AN1365" s="75"/>
      <c r="AO1365" s="75"/>
      <c r="AP1365" s="75"/>
      <c r="AQ1365" s="75"/>
      <c r="AR1365" s="75"/>
      <c r="AS1365" s="75"/>
      <c r="AT1365" s="75"/>
      <c r="AU1365" s="75"/>
      <c r="AV1365" s="75"/>
      <c r="AW1365" s="75"/>
      <c r="AX1365" s="75"/>
      <c r="AY1365" s="75"/>
      <c r="AZ1365" s="75"/>
      <c r="BA1365" s="75"/>
      <c r="BB1365" s="75"/>
      <c r="BC1365" s="75"/>
      <c r="BD1365" s="75"/>
      <c r="BE1365" s="75"/>
      <c r="BF1365" s="75" t="s">
        <v>439</v>
      </c>
      <c r="BG1365" s="75"/>
      <c r="BH1365" s="75"/>
      <c r="BI1365" s="75" t="s">
        <v>439</v>
      </c>
      <c r="BJ1365" s="75"/>
      <c r="BK1365" s="75"/>
      <c r="BL1365" s="75" t="s">
        <v>439</v>
      </c>
      <c r="BM1365" s="75"/>
    </row>
    <row r="1366" spans="1:65" ht="15" customHeight="1" x14ac:dyDescent="0.2">
      <c r="A1366" s="38"/>
      <c r="B1366" s="38"/>
      <c r="C1366" s="75"/>
      <c r="D1366" s="75"/>
      <c r="E1366" s="75"/>
      <c r="F1366" s="75"/>
      <c r="G1366" s="75"/>
      <c r="H1366" s="75"/>
      <c r="I1366" s="75"/>
      <c r="J1366" s="75"/>
      <c r="K1366" s="75"/>
      <c r="L1366" s="75"/>
      <c r="M1366" s="75"/>
      <c r="N1366" s="75"/>
      <c r="O1366" s="75"/>
      <c r="P1366" s="75"/>
      <c r="Q1366" s="75"/>
      <c r="R1366" s="75"/>
      <c r="S1366" s="75"/>
      <c r="T1366" s="75"/>
      <c r="U1366" s="75"/>
      <c r="V1366" s="75"/>
      <c r="W1366" s="75"/>
      <c r="X1366" s="75"/>
      <c r="Y1366" s="75"/>
      <c r="Z1366" s="75"/>
      <c r="AA1366" s="75"/>
      <c r="AB1366" s="75"/>
      <c r="AC1366" s="75"/>
      <c r="AD1366" s="75"/>
      <c r="AE1366" s="75"/>
      <c r="AF1366" s="75"/>
      <c r="AG1366" s="75"/>
      <c r="AH1366" s="75"/>
      <c r="AI1366" s="75"/>
      <c r="AJ1366" s="75"/>
      <c r="AK1366" s="75"/>
      <c r="AL1366" s="75"/>
      <c r="AM1366" s="75"/>
      <c r="AN1366" s="75"/>
      <c r="AO1366" s="75"/>
      <c r="AP1366" s="75"/>
      <c r="AQ1366" s="75"/>
      <c r="AR1366" s="75"/>
      <c r="AS1366" s="75"/>
      <c r="AT1366" s="75"/>
      <c r="AU1366" s="75"/>
      <c r="AV1366" s="75"/>
      <c r="AW1366" s="75"/>
      <c r="AX1366" s="75"/>
      <c r="AY1366" s="75"/>
      <c r="AZ1366" s="75"/>
      <c r="BA1366" s="75"/>
      <c r="BB1366" s="75"/>
      <c r="BC1366" s="75"/>
      <c r="BD1366" s="75"/>
      <c r="BE1366" s="75"/>
      <c r="BF1366" s="75" t="s">
        <v>439</v>
      </c>
      <c r="BG1366" s="75"/>
      <c r="BH1366" s="75"/>
      <c r="BI1366" s="75" t="s">
        <v>439</v>
      </c>
      <c r="BJ1366" s="75"/>
      <c r="BK1366" s="75"/>
      <c r="BL1366" s="75" t="s">
        <v>439</v>
      </c>
      <c r="BM1366" s="75"/>
    </row>
    <row r="1367" spans="1:65" ht="15" customHeight="1" x14ac:dyDescent="0.2">
      <c r="A1367" s="38"/>
      <c r="B1367" s="38"/>
      <c r="C1367" s="75"/>
      <c r="D1367" s="75"/>
      <c r="E1367" s="75"/>
      <c r="F1367" s="75"/>
      <c r="G1367" s="75"/>
      <c r="H1367" s="75"/>
      <c r="I1367" s="75"/>
      <c r="J1367" s="75"/>
      <c r="K1367" s="75"/>
      <c r="L1367" s="75"/>
      <c r="M1367" s="75"/>
      <c r="N1367" s="75"/>
      <c r="O1367" s="75"/>
      <c r="P1367" s="75"/>
      <c r="Q1367" s="75"/>
      <c r="R1367" s="75"/>
      <c r="S1367" s="75"/>
      <c r="T1367" s="75"/>
      <c r="U1367" s="75"/>
      <c r="V1367" s="75"/>
      <c r="W1367" s="75"/>
      <c r="X1367" s="75"/>
      <c r="Y1367" s="75"/>
      <c r="Z1367" s="75"/>
      <c r="AA1367" s="75"/>
      <c r="AB1367" s="75"/>
      <c r="AC1367" s="75"/>
      <c r="AD1367" s="75"/>
      <c r="AE1367" s="75"/>
      <c r="AF1367" s="75"/>
      <c r="AG1367" s="75"/>
      <c r="AH1367" s="75"/>
      <c r="AI1367" s="75"/>
      <c r="AJ1367" s="75"/>
      <c r="AK1367" s="75"/>
      <c r="AL1367" s="75"/>
      <c r="AM1367" s="75"/>
      <c r="AN1367" s="75"/>
      <c r="AO1367" s="75"/>
      <c r="AP1367" s="75"/>
      <c r="AQ1367" s="75"/>
      <c r="AR1367" s="75"/>
      <c r="AS1367" s="75"/>
      <c r="AT1367" s="75"/>
      <c r="AU1367" s="75"/>
      <c r="AV1367" s="75"/>
      <c r="AW1367" s="75"/>
      <c r="AX1367" s="75"/>
      <c r="AY1367" s="75"/>
      <c r="AZ1367" s="75"/>
      <c r="BA1367" s="75"/>
      <c r="BB1367" s="75"/>
      <c r="BC1367" s="75"/>
      <c r="BD1367" s="75"/>
      <c r="BE1367" s="75"/>
      <c r="BF1367" s="75" t="s">
        <v>439</v>
      </c>
      <c r="BG1367" s="75"/>
      <c r="BH1367" s="75"/>
      <c r="BI1367" s="75" t="s">
        <v>439</v>
      </c>
      <c r="BJ1367" s="75"/>
      <c r="BK1367" s="75"/>
      <c r="BL1367" s="75" t="s">
        <v>439</v>
      </c>
      <c r="BM1367" s="75"/>
    </row>
    <row r="1368" spans="1:65" ht="15" customHeight="1" x14ac:dyDescent="0.2">
      <c r="A1368" s="38"/>
      <c r="B1368" s="38"/>
      <c r="C1368" s="75"/>
      <c r="D1368" s="75"/>
      <c r="E1368" s="75"/>
      <c r="F1368" s="75"/>
      <c r="G1368" s="75"/>
      <c r="H1368" s="75"/>
      <c r="I1368" s="75"/>
      <c r="J1368" s="75"/>
      <c r="K1368" s="75"/>
      <c r="L1368" s="75"/>
      <c r="M1368" s="75"/>
      <c r="N1368" s="75"/>
      <c r="O1368" s="75"/>
      <c r="P1368" s="75"/>
      <c r="Q1368" s="75"/>
      <c r="R1368" s="75"/>
      <c r="S1368" s="75"/>
      <c r="T1368" s="75"/>
      <c r="U1368" s="75"/>
      <c r="V1368" s="75"/>
      <c r="W1368" s="75"/>
      <c r="X1368" s="75"/>
      <c r="Y1368" s="75"/>
      <c r="Z1368" s="75"/>
      <c r="AA1368" s="75"/>
      <c r="AB1368" s="75"/>
      <c r="AC1368" s="75"/>
      <c r="AD1368" s="75"/>
      <c r="AE1368" s="75"/>
      <c r="AF1368" s="75"/>
      <c r="AG1368" s="75"/>
      <c r="AH1368" s="75"/>
      <c r="AI1368" s="75"/>
      <c r="AJ1368" s="75"/>
      <c r="AK1368" s="75"/>
      <c r="AL1368" s="75"/>
      <c r="AM1368" s="75"/>
      <c r="AN1368" s="75"/>
      <c r="AO1368" s="75"/>
      <c r="AP1368" s="75"/>
      <c r="AQ1368" s="75"/>
      <c r="AR1368" s="75"/>
      <c r="AS1368" s="75"/>
      <c r="AT1368" s="75"/>
      <c r="AU1368" s="75"/>
      <c r="AV1368" s="75"/>
      <c r="AW1368" s="75"/>
      <c r="AX1368" s="75"/>
      <c r="AY1368" s="75"/>
      <c r="AZ1368" s="75"/>
      <c r="BA1368" s="75"/>
      <c r="BB1368" s="75"/>
      <c r="BC1368" s="75"/>
      <c r="BD1368" s="75"/>
      <c r="BE1368" s="75"/>
      <c r="BF1368" s="75" t="s">
        <v>439</v>
      </c>
      <c r="BG1368" s="75"/>
      <c r="BH1368" s="75"/>
      <c r="BI1368" s="75" t="s">
        <v>439</v>
      </c>
      <c r="BJ1368" s="75"/>
      <c r="BK1368" s="75"/>
      <c r="BL1368" s="75" t="s">
        <v>439</v>
      </c>
      <c r="BM1368" s="75"/>
    </row>
    <row r="1369" spans="1:65" ht="15" customHeight="1" x14ac:dyDescent="0.2">
      <c r="A1369" s="38"/>
      <c r="B1369" s="38"/>
      <c r="C1369" s="75"/>
      <c r="D1369" s="75"/>
      <c r="E1369" s="75"/>
      <c r="F1369" s="75"/>
      <c r="G1369" s="75"/>
      <c r="H1369" s="75"/>
      <c r="I1369" s="75"/>
      <c r="J1369" s="75"/>
      <c r="K1369" s="75"/>
      <c r="L1369" s="75"/>
      <c r="M1369" s="75"/>
      <c r="N1369" s="75"/>
      <c r="O1369" s="75"/>
      <c r="P1369" s="75"/>
      <c r="Q1369" s="75"/>
      <c r="R1369" s="75"/>
      <c r="S1369" s="75"/>
      <c r="T1369" s="75"/>
      <c r="U1369" s="75"/>
      <c r="V1369" s="75"/>
      <c r="W1369" s="75"/>
      <c r="X1369" s="75"/>
      <c r="Y1369" s="75"/>
      <c r="Z1369" s="75"/>
      <c r="AA1369" s="75"/>
      <c r="AB1369" s="75"/>
      <c r="AC1369" s="75"/>
      <c r="AD1369" s="75"/>
      <c r="AE1369" s="75"/>
      <c r="AF1369" s="75"/>
      <c r="AG1369" s="75"/>
      <c r="AH1369" s="75"/>
      <c r="AI1369" s="75"/>
      <c r="AJ1369" s="75"/>
      <c r="AK1369" s="75"/>
      <c r="AL1369" s="75"/>
      <c r="AM1369" s="75"/>
      <c r="AN1369" s="75"/>
      <c r="AO1369" s="75"/>
      <c r="AP1369" s="75"/>
      <c r="AQ1369" s="75"/>
      <c r="AR1369" s="75"/>
      <c r="AS1369" s="75"/>
      <c r="AT1369" s="75"/>
      <c r="AU1369" s="75"/>
      <c r="AV1369" s="75"/>
      <c r="AW1369" s="75"/>
      <c r="AX1369" s="75"/>
      <c r="AY1369" s="75"/>
      <c r="AZ1369" s="75"/>
      <c r="BA1369" s="75"/>
      <c r="BB1369" s="75"/>
      <c r="BC1369" s="75"/>
      <c r="BD1369" s="75"/>
      <c r="BE1369" s="75"/>
      <c r="BF1369" s="75" t="s">
        <v>439</v>
      </c>
      <c r="BG1369" s="75"/>
      <c r="BH1369" s="75"/>
      <c r="BI1369" s="75" t="s">
        <v>439</v>
      </c>
      <c r="BJ1369" s="75"/>
      <c r="BK1369" s="75"/>
      <c r="BL1369" s="75" t="s">
        <v>439</v>
      </c>
      <c r="BM1369" s="75"/>
    </row>
    <row r="1370" spans="1:65" ht="15" customHeight="1" x14ac:dyDescent="0.2">
      <c r="A1370" s="38"/>
      <c r="B1370" s="38"/>
      <c r="C1370" s="75"/>
      <c r="D1370" s="75"/>
      <c r="E1370" s="75"/>
      <c r="F1370" s="75"/>
      <c r="G1370" s="75"/>
      <c r="H1370" s="75"/>
      <c r="I1370" s="75"/>
      <c r="J1370" s="75"/>
      <c r="K1370" s="75"/>
      <c r="L1370" s="75"/>
      <c r="M1370" s="75"/>
      <c r="N1370" s="75"/>
      <c r="O1370" s="75"/>
      <c r="P1370" s="75"/>
      <c r="Q1370" s="75"/>
      <c r="R1370" s="75"/>
      <c r="S1370" s="75"/>
      <c r="T1370" s="75"/>
      <c r="U1370" s="75"/>
      <c r="V1370" s="75"/>
      <c r="W1370" s="75"/>
      <c r="X1370" s="75"/>
      <c r="Y1370" s="75"/>
      <c r="Z1370" s="75"/>
      <c r="AA1370" s="75"/>
      <c r="AB1370" s="75"/>
      <c r="AC1370" s="75"/>
      <c r="AD1370" s="75"/>
      <c r="AE1370" s="75"/>
      <c r="AF1370" s="75"/>
      <c r="AG1370" s="75"/>
      <c r="AH1370" s="75"/>
      <c r="AI1370" s="75"/>
      <c r="AJ1370" s="75"/>
      <c r="AK1370" s="75"/>
      <c r="AL1370" s="75"/>
      <c r="AM1370" s="75"/>
      <c r="AN1370" s="75"/>
      <c r="AO1370" s="75"/>
      <c r="AP1370" s="75"/>
      <c r="AQ1370" s="75"/>
      <c r="AR1370" s="75"/>
      <c r="AS1370" s="75"/>
      <c r="AT1370" s="75"/>
      <c r="AU1370" s="75"/>
      <c r="AV1370" s="75"/>
      <c r="AW1370" s="75"/>
      <c r="AX1370" s="75"/>
      <c r="AY1370" s="75"/>
      <c r="AZ1370" s="75"/>
      <c r="BA1370" s="75"/>
      <c r="BB1370" s="75"/>
      <c r="BC1370" s="75"/>
      <c r="BD1370" s="75"/>
      <c r="BE1370" s="75"/>
      <c r="BF1370" s="75" t="s">
        <v>439</v>
      </c>
      <c r="BG1370" s="75"/>
      <c r="BH1370" s="75"/>
      <c r="BI1370" s="75" t="s">
        <v>439</v>
      </c>
      <c r="BJ1370" s="75"/>
      <c r="BK1370" s="75"/>
      <c r="BL1370" s="75" t="s">
        <v>439</v>
      </c>
      <c r="BM1370" s="75"/>
    </row>
    <row r="1371" spans="1:65" ht="15" customHeight="1" x14ac:dyDescent="0.2">
      <c r="A1371" s="38"/>
      <c r="B1371" s="38"/>
      <c r="C1371" s="75"/>
      <c r="D1371" s="75"/>
      <c r="E1371" s="75"/>
      <c r="F1371" s="75"/>
      <c r="G1371" s="75"/>
      <c r="H1371" s="75"/>
      <c r="I1371" s="75"/>
      <c r="J1371" s="75"/>
      <c r="K1371" s="75"/>
      <c r="L1371" s="75"/>
      <c r="M1371" s="75"/>
      <c r="N1371" s="75"/>
      <c r="O1371" s="75"/>
      <c r="P1371" s="75"/>
      <c r="Q1371" s="75"/>
      <c r="R1371" s="75"/>
      <c r="S1371" s="75"/>
      <c r="T1371" s="75"/>
      <c r="U1371" s="75"/>
      <c r="V1371" s="75"/>
      <c r="W1371" s="75"/>
      <c r="X1371" s="75"/>
      <c r="Y1371" s="75"/>
      <c r="Z1371" s="75"/>
      <c r="AA1371" s="75"/>
      <c r="AB1371" s="75"/>
      <c r="AC1371" s="75"/>
      <c r="AD1371" s="75"/>
      <c r="AE1371" s="75"/>
      <c r="AF1371" s="75"/>
      <c r="AG1371" s="75"/>
      <c r="AH1371" s="75"/>
      <c r="AI1371" s="75"/>
      <c r="AJ1371" s="75"/>
      <c r="AK1371" s="75"/>
      <c r="AL1371" s="75"/>
      <c r="AM1371" s="75"/>
      <c r="AN1371" s="75"/>
      <c r="AO1371" s="75"/>
      <c r="AP1371" s="75"/>
      <c r="AQ1371" s="75"/>
      <c r="AR1371" s="75"/>
      <c r="AS1371" s="75"/>
      <c r="AT1371" s="75"/>
      <c r="AU1371" s="75"/>
      <c r="AV1371" s="75"/>
      <c r="AW1371" s="75"/>
      <c r="AX1371" s="75"/>
      <c r="AY1371" s="75"/>
      <c r="AZ1371" s="75"/>
      <c r="BA1371" s="75"/>
      <c r="BB1371" s="75"/>
      <c r="BC1371" s="75"/>
      <c r="BD1371" s="75"/>
      <c r="BE1371" s="75"/>
      <c r="BF1371" s="75" t="s">
        <v>439</v>
      </c>
      <c r="BG1371" s="75"/>
      <c r="BH1371" s="75"/>
      <c r="BI1371" s="75" t="s">
        <v>439</v>
      </c>
      <c r="BJ1371" s="75"/>
      <c r="BK1371" s="75"/>
      <c r="BL1371" s="75" t="s">
        <v>439</v>
      </c>
      <c r="BM1371" s="75"/>
    </row>
    <row r="1372" spans="1:65" ht="15" customHeight="1" x14ac:dyDescent="0.2">
      <c r="A1372" s="38"/>
      <c r="B1372" s="38"/>
      <c r="C1372" s="75"/>
      <c r="D1372" s="75"/>
      <c r="E1372" s="75"/>
      <c r="F1372" s="75"/>
      <c r="G1372" s="75"/>
      <c r="H1372" s="75"/>
      <c r="I1372" s="75"/>
      <c r="J1372" s="75"/>
      <c r="K1372" s="75"/>
      <c r="L1372" s="75"/>
      <c r="M1372" s="75"/>
      <c r="N1372" s="75"/>
      <c r="O1372" s="75"/>
      <c r="P1372" s="75"/>
      <c r="Q1372" s="75"/>
      <c r="R1372" s="75"/>
      <c r="S1372" s="75"/>
      <c r="T1372" s="75"/>
      <c r="U1372" s="75"/>
      <c r="V1372" s="75"/>
      <c r="W1372" s="75"/>
      <c r="X1372" s="75"/>
      <c r="Y1372" s="75"/>
      <c r="Z1372" s="75"/>
      <c r="AA1372" s="75"/>
      <c r="AB1372" s="75"/>
      <c r="AC1372" s="75"/>
      <c r="AD1372" s="75"/>
      <c r="AE1372" s="75"/>
      <c r="AF1372" s="75"/>
      <c r="AG1372" s="75"/>
      <c r="AH1372" s="75"/>
      <c r="AI1372" s="75"/>
      <c r="AJ1372" s="75"/>
      <c r="AK1372" s="75"/>
      <c r="AL1372" s="75"/>
      <c r="AM1372" s="75"/>
      <c r="AN1372" s="75"/>
      <c r="AO1372" s="75"/>
      <c r="AP1372" s="75"/>
      <c r="AQ1372" s="75"/>
      <c r="AR1372" s="75"/>
      <c r="AS1372" s="75"/>
      <c r="AT1372" s="75"/>
      <c r="AU1372" s="75"/>
      <c r="AV1372" s="75"/>
      <c r="AW1372" s="75"/>
      <c r="AX1372" s="75"/>
      <c r="AY1372" s="75"/>
      <c r="AZ1372" s="75"/>
      <c r="BA1372" s="75"/>
      <c r="BB1372" s="75"/>
      <c r="BC1372" s="75"/>
      <c r="BD1372" s="75"/>
      <c r="BE1372" s="75"/>
      <c r="BF1372" s="75" t="s">
        <v>439</v>
      </c>
      <c r="BG1372" s="75"/>
      <c r="BH1372" s="75"/>
      <c r="BI1372" s="75" t="s">
        <v>439</v>
      </c>
      <c r="BJ1372" s="75"/>
      <c r="BK1372" s="75"/>
      <c r="BL1372" s="75" t="s">
        <v>439</v>
      </c>
      <c r="BM1372" s="75"/>
    </row>
    <row r="1373" spans="1:65" ht="15" customHeight="1" x14ac:dyDescent="0.2">
      <c r="A1373" s="38"/>
      <c r="B1373" s="38"/>
      <c r="C1373" s="75"/>
      <c r="D1373" s="75"/>
      <c r="E1373" s="75"/>
      <c r="F1373" s="75"/>
      <c r="G1373" s="75"/>
      <c r="H1373" s="75"/>
      <c r="I1373" s="75"/>
      <c r="J1373" s="75"/>
      <c r="K1373" s="75"/>
      <c r="L1373" s="75"/>
      <c r="M1373" s="75"/>
      <c r="N1373" s="75"/>
      <c r="O1373" s="75"/>
      <c r="P1373" s="75"/>
      <c r="Q1373" s="75"/>
      <c r="R1373" s="75"/>
      <c r="S1373" s="75"/>
      <c r="T1373" s="75"/>
      <c r="U1373" s="75"/>
      <c r="V1373" s="75"/>
      <c r="W1373" s="75"/>
      <c r="X1373" s="75"/>
      <c r="Y1373" s="75"/>
      <c r="Z1373" s="75"/>
      <c r="AA1373" s="75"/>
      <c r="AB1373" s="75"/>
      <c r="AC1373" s="75"/>
      <c r="AD1373" s="75"/>
      <c r="AE1373" s="75"/>
      <c r="AF1373" s="75"/>
      <c r="AG1373" s="75"/>
      <c r="AH1373" s="75"/>
      <c r="AI1373" s="75"/>
      <c r="AJ1373" s="75"/>
      <c r="AK1373" s="75"/>
      <c r="AL1373" s="75"/>
      <c r="AM1373" s="75"/>
      <c r="AN1373" s="75"/>
      <c r="AO1373" s="75"/>
      <c r="AP1373" s="75"/>
      <c r="AQ1373" s="75"/>
      <c r="AR1373" s="75"/>
      <c r="AS1373" s="75"/>
      <c r="AT1373" s="75"/>
      <c r="AU1373" s="75"/>
      <c r="AV1373" s="75"/>
      <c r="AW1373" s="75"/>
      <c r="AX1373" s="75"/>
      <c r="AY1373" s="75"/>
      <c r="AZ1373" s="75"/>
      <c r="BA1373" s="75"/>
      <c r="BB1373" s="75"/>
      <c r="BC1373" s="75"/>
      <c r="BD1373" s="75"/>
      <c r="BE1373" s="75"/>
      <c r="BF1373" s="75" t="s">
        <v>439</v>
      </c>
      <c r="BG1373" s="75"/>
      <c r="BH1373" s="75"/>
      <c r="BI1373" s="75" t="s">
        <v>439</v>
      </c>
      <c r="BJ1373" s="75"/>
      <c r="BK1373" s="75"/>
      <c r="BL1373" s="75" t="s">
        <v>439</v>
      </c>
      <c r="BM1373" s="75"/>
    </row>
    <row r="1374" spans="1:65" ht="15" customHeight="1" x14ac:dyDescent="0.2">
      <c r="A1374" s="38"/>
      <c r="B1374" s="38"/>
      <c r="C1374" s="75"/>
      <c r="D1374" s="75"/>
      <c r="E1374" s="75"/>
      <c r="F1374" s="75"/>
      <c r="G1374" s="75"/>
      <c r="H1374" s="75"/>
      <c r="I1374" s="75"/>
      <c r="J1374" s="75"/>
      <c r="K1374" s="75"/>
      <c r="L1374" s="75"/>
      <c r="M1374" s="75"/>
      <c r="N1374" s="75"/>
      <c r="O1374" s="75"/>
      <c r="P1374" s="75"/>
      <c r="Q1374" s="75"/>
      <c r="R1374" s="75"/>
      <c r="S1374" s="75"/>
      <c r="T1374" s="75"/>
      <c r="U1374" s="75"/>
      <c r="V1374" s="75"/>
      <c r="W1374" s="75"/>
      <c r="X1374" s="75"/>
      <c r="Y1374" s="75"/>
      <c r="Z1374" s="75"/>
      <c r="AA1374" s="75"/>
      <c r="AB1374" s="75"/>
      <c r="AC1374" s="75"/>
      <c r="AD1374" s="75"/>
      <c r="AE1374" s="75"/>
      <c r="AF1374" s="75"/>
      <c r="AG1374" s="75"/>
      <c r="AH1374" s="75"/>
      <c r="AI1374" s="75"/>
      <c r="AJ1374" s="75"/>
      <c r="AK1374" s="75"/>
      <c r="AL1374" s="75"/>
      <c r="AM1374" s="75"/>
      <c r="AN1374" s="75"/>
      <c r="AO1374" s="75"/>
      <c r="AP1374" s="75"/>
      <c r="AQ1374" s="75"/>
      <c r="AR1374" s="75"/>
      <c r="AS1374" s="75"/>
      <c r="AT1374" s="75"/>
      <c r="AU1374" s="75"/>
      <c r="AV1374" s="75"/>
      <c r="AW1374" s="75"/>
      <c r="AX1374" s="75"/>
      <c r="AY1374" s="75"/>
      <c r="AZ1374" s="75"/>
      <c r="BA1374" s="75"/>
      <c r="BB1374" s="75"/>
      <c r="BC1374" s="75"/>
      <c r="BD1374" s="75"/>
      <c r="BE1374" s="75"/>
      <c r="BF1374" s="75" t="s">
        <v>439</v>
      </c>
      <c r="BG1374" s="75"/>
      <c r="BH1374" s="75"/>
      <c r="BI1374" s="75" t="s">
        <v>439</v>
      </c>
      <c r="BJ1374" s="75"/>
      <c r="BK1374" s="75"/>
      <c r="BL1374" s="75" t="s">
        <v>439</v>
      </c>
      <c r="BM1374" s="75"/>
    </row>
    <row r="1375" spans="1:65" ht="15" customHeight="1" x14ac:dyDescent="0.2">
      <c r="A1375" s="38"/>
      <c r="B1375" s="38"/>
      <c r="C1375" s="75"/>
      <c r="D1375" s="75"/>
      <c r="E1375" s="75"/>
      <c r="F1375" s="75"/>
      <c r="G1375" s="75"/>
      <c r="H1375" s="75"/>
      <c r="I1375" s="75"/>
      <c r="J1375" s="75"/>
      <c r="K1375" s="75"/>
      <c r="L1375" s="75"/>
      <c r="M1375" s="75"/>
      <c r="N1375" s="75"/>
      <c r="O1375" s="75"/>
      <c r="P1375" s="75"/>
      <c r="Q1375" s="75"/>
      <c r="R1375" s="75"/>
      <c r="S1375" s="75"/>
      <c r="T1375" s="75"/>
      <c r="U1375" s="75"/>
      <c r="V1375" s="75"/>
      <c r="W1375" s="75"/>
      <c r="X1375" s="75"/>
      <c r="Y1375" s="75"/>
      <c r="Z1375" s="75"/>
      <c r="AA1375" s="75"/>
      <c r="AB1375" s="75"/>
      <c r="AC1375" s="75"/>
      <c r="AD1375" s="75"/>
      <c r="AE1375" s="75"/>
      <c r="AF1375" s="75"/>
      <c r="AG1375" s="75"/>
      <c r="AH1375" s="75"/>
      <c r="AI1375" s="75"/>
      <c r="AJ1375" s="75"/>
      <c r="AK1375" s="75"/>
      <c r="AL1375" s="75"/>
      <c r="AM1375" s="75"/>
      <c r="AN1375" s="75"/>
      <c r="AO1375" s="75"/>
      <c r="AP1375" s="75"/>
      <c r="AQ1375" s="75"/>
      <c r="AR1375" s="75"/>
      <c r="AS1375" s="75"/>
      <c r="AT1375" s="75"/>
      <c r="AU1375" s="75"/>
      <c r="AV1375" s="75"/>
      <c r="AW1375" s="75"/>
      <c r="AX1375" s="75"/>
      <c r="AY1375" s="75"/>
      <c r="AZ1375" s="75"/>
      <c r="BA1375" s="75"/>
      <c r="BB1375" s="75"/>
      <c r="BC1375" s="75"/>
      <c r="BD1375" s="75"/>
      <c r="BE1375" s="75"/>
      <c r="BF1375" s="75" t="s">
        <v>439</v>
      </c>
      <c r="BG1375" s="75"/>
      <c r="BH1375" s="75"/>
      <c r="BI1375" s="75" t="s">
        <v>439</v>
      </c>
      <c r="BJ1375" s="75"/>
      <c r="BK1375" s="75"/>
      <c r="BL1375" s="75" t="s">
        <v>439</v>
      </c>
      <c r="BM1375" s="75"/>
    </row>
    <row r="1376" spans="1:65" ht="15" customHeight="1" x14ac:dyDescent="0.2">
      <c r="A1376" s="38"/>
      <c r="B1376" s="38"/>
      <c r="C1376" s="75"/>
      <c r="D1376" s="75"/>
      <c r="E1376" s="75"/>
      <c r="F1376" s="75"/>
      <c r="G1376" s="75"/>
      <c r="H1376" s="75"/>
      <c r="I1376" s="75"/>
      <c r="J1376" s="75"/>
      <c r="K1376" s="75"/>
      <c r="L1376" s="75"/>
      <c r="M1376" s="75"/>
      <c r="N1376" s="75"/>
      <c r="O1376" s="75"/>
      <c r="P1376" s="75"/>
      <c r="Q1376" s="75"/>
      <c r="R1376" s="75"/>
      <c r="S1376" s="75"/>
      <c r="T1376" s="75"/>
      <c r="U1376" s="75"/>
      <c r="V1376" s="75"/>
      <c r="W1376" s="75"/>
      <c r="X1376" s="75"/>
      <c r="Y1376" s="75"/>
      <c r="Z1376" s="75"/>
      <c r="AA1376" s="75"/>
      <c r="AB1376" s="75"/>
      <c r="AC1376" s="75"/>
      <c r="AD1376" s="75"/>
      <c r="AE1376" s="75"/>
      <c r="AF1376" s="75"/>
      <c r="AG1376" s="75"/>
      <c r="AH1376" s="75"/>
      <c r="AI1376" s="75"/>
      <c r="AJ1376" s="75"/>
      <c r="AK1376" s="75"/>
      <c r="AL1376" s="75"/>
      <c r="AM1376" s="75"/>
      <c r="AN1376" s="75"/>
      <c r="AO1376" s="75"/>
      <c r="AP1376" s="75"/>
      <c r="AQ1376" s="75"/>
      <c r="AR1376" s="75"/>
      <c r="AS1376" s="75"/>
      <c r="AT1376" s="75"/>
      <c r="AU1376" s="75"/>
      <c r="AV1376" s="75"/>
      <c r="AW1376" s="75"/>
      <c r="AX1376" s="75"/>
      <c r="AY1376" s="75"/>
      <c r="AZ1376" s="75"/>
      <c r="BA1376" s="75"/>
      <c r="BB1376" s="75"/>
      <c r="BC1376" s="75"/>
      <c r="BD1376" s="75"/>
      <c r="BE1376" s="75"/>
      <c r="BF1376" s="75" t="s">
        <v>439</v>
      </c>
      <c r="BG1376" s="75"/>
      <c r="BH1376" s="75"/>
      <c r="BI1376" s="75" t="s">
        <v>439</v>
      </c>
      <c r="BJ1376" s="75"/>
      <c r="BK1376" s="75"/>
      <c r="BL1376" s="75" t="s">
        <v>439</v>
      </c>
      <c r="BM1376" s="75"/>
    </row>
    <row r="1377" spans="1:65" ht="15" customHeight="1" x14ac:dyDescent="0.2">
      <c r="A1377" s="38"/>
      <c r="B1377" s="38"/>
      <c r="C1377" s="75"/>
      <c r="D1377" s="75"/>
      <c r="E1377" s="75"/>
      <c r="F1377" s="75"/>
      <c r="G1377" s="75"/>
      <c r="H1377" s="75"/>
      <c r="I1377" s="75"/>
      <c r="J1377" s="75"/>
      <c r="K1377" s="75"/>
      <c r="L1377" s="75"/>
      <c r="M1377" s="75"/>
      <c r="N1377" s="75"/>
      <c r="O1377" s="75"/>
      <c r="P1377" s="75"/>
      <c r="Q1377" s="75"/>
      <c r="R1377" s="75"/>
      <c r="S1377" s="75"/>
      <c r="T1377" s="75"/>
      <c r="U1377" s="75"/>
      <c r="V1377" s="75"/>
      <c r="W1377" s="75"/>
      <c r="X1377" s="75"/>
      <c r="Y1377" s="75"/>
      <c r="Z1377" s="75"/>
      <c r="AA1377" s="75"/>
      <c r="AB1377" s="75"/>
      <c r="AC1377" s="75"/>
      <c r="AD1377" s="75"/>
      <c r="AE1377" s="75"/>
      <c r="AF1377" s="75"/>
      <c r="AG1377" s="75"/>
      <c r="AH1377" s="75"/>
      <c r="AI1377" s="75"/>
      <c r="AJ1377" s="75"/>
      <c r="AK1377" s="75"/>
      <c r="AL1377" s="75"/>
      <c r="AM1377" s="75"/>
      <c r="AN1377" s="75"/>
      <c r="AO1377" s="75"/>
      <c r="AP1377" s="75"/>
      <c r="AQ1377" s="75"/>
      <c r="AR1377" s="75"/>
      <c r="AS1377" s="75"/>
      <c r="AT1377" s="75"/>
      <c r="AU1377" s="75"/>
      <c r="AV1377" s="75"/>
      <c r="AW1377" s="75"/>
      <c r="AX1377" s="75"/>
      <c r="AY1377" s="75"/>
      <c r="AZ1377" s="75"/>
      <c r="BA1377" s="75"/>
      <c r="BB1377" s="75"/>
      <c r="BC1377" s="75"/>
      <c r="BD1377" s="75"/>
      <c r="BE1377" s="75"/>
      <c r="BF1377" s="75" t="s">
        <v>439</v>
      </c>
      <c r="BG1377" s="75"/>
      <c r="BH1377" s="75"/>
      <c r="BI1377" s="75" t="s">
        <v>439</v>
      </c>
      <c r="BJ1377" s="75"/>
      <c r="BK1377" s="75"/>
      <c r="BL1377" s="75" t="s">
        <v>439</v>
      </c>
      <c r="BM1377" s="75"/>
    </row>
    <row r="1378" spans="1:65" ht="15" customHeight="1" x14ac:dyDescent="0.2">
      <c r="A1378" s="38"/>
      <c r="B1378" s="38"/>
      <c r="C1378" s="75"/>
      <c r="D1378" s="75"/>
      <c r="E1378" s="75"/>
      <c r="F1378" s="75"/>
      <c r="G1378" s="75"/>
      <c r="H1378" s="75"/>
      <c r="I1378" s="75"/>
      <c r="J1378" s="75"/>
      <c r="K1378" s="75"/>
      <c r="L1378" s="75"/>
      <c r="M1378" s="75"/>
      <c r="N1378" s="75"/>
      <c r="O1378" s="75"/>
      <c r="P1378" s="75"/>
      <c r="Q1378" s="75"/>
      <c r="R1378" s="75"/>
      <c r="S1378" s="75"/>
      <c r="T1378" s="75"/>
      <c r="U1378" s="75"/>
      <c r="V1378" s="75"/>
      <c r="W1378" s="75"/>
      <c r="X1378" s="75"/>
      <c r="Y1378" s="75"/>
      <c r="Z1378" s="75"/>
      <c r="AA1378" s="75"/>
      <c r="AB1378" s="75"/>
      <c r="AC1378" s="75"/>
      <c r="AD1378" s="75"/>
      <c r="AE1378" s="75"/>
      <c r="AF1378" s="75"/>
      <c r="AG1378" s="75"/>
      <c r="AH1378" s="75"/>
      <c r="AI1378" s="75"/>
      <c r="AJ1378" s="75"/>
      <c r="AK1378" s="75"/>
      <c r="AL1378" s="75"/>
      <c r="AM1378" s="75"/>
      <c r="AN1378" s="75"/>
      <c r="AO1378" s="75"/>
      <c r="AP1378" s="75"/>
      <c r="AQ1378" s="75"/>
      <c r="AR1378" s="75"/>
      <c r="AS1378" s="75"/>
      <c r="AT1378" s="75"/>
      <c r="AU1378" s="75"/>
      <c r="AV1378" s="75"/>
      <c r="AW1378" s="75"/>
      <c r="AX1378" s="75"/>
      <c r="AY1378" s="75"/>
      <c r="AZ1378" s="75"/>
      <c r="BA1378" s="75"/>
      <c r="BB1378" s="75"/>
      <c r="BC1378" s="75"/>
      <c r="BD1378" s="75"/>
      <c r="BE1378" s="75"/>
      <c r="BF1378" s="75" t="s">
        <v>439</v>
      </c>
      <c r="BG1378" s="75"/>
      <c r="BH1378" s="75"/>
      <c r="BI1378" s="75" t="s">
        <v>439</v>
      </c>
      <c r="BJ1378" s="75"/>
      <c r="BK1378" s="75"/>
      <c r="BL1378" s="75" t="s">
        <v>439</v>
      </c>
      <c r="BM1378" s="75"/>
    </row>
    <row r="1379" spans="1:65" ht="15" customHeight="1" x14ac:dyDescent="0.2">
      <c r="A1379" s="38"/>
      <c r="B1379" s="38"/>
      <c r="C1379" s="75"/>
      <c r="D1379" s="75"/>
      <c r="E1379" s="75"/>
      <c r="F1379" s="75"/>
      <c r="G1379" s="75"/>
      <c r="H1379" s="75"/>
      <c r="I1379" s="75"/>
      <c r="J1379" s="75"/>
      <c r="K1379" s="75"/>
      <c r="L1379" s="75"/>
      <c r="M1379" s="75"/>
      <c r="N1379" s="75"/>
      <c r="O1379" s="75"/>
      <c r="P1379" s="75"/>
      <c r="Q1379" s="75"/>
      <c r="R1379" s="75"/>
      <c r="S1379" s="75"/>
      <c r="T1379" s="75"/>
      <c r="U1379" s="75"/>
      <c r="V1379" s="75"/>
      <c r="W1379" s="75"/>
      <c r="X1379" s="75"/>
      <c r="Y1379" s="75"/>
      <c r="Z1379" s="75"/>
      <c r="AA1379" s="75"/>
      <c r="AB1379" s="75"/>
      <c r="AC1379" s="75"/>
      <c r="AD1379" s="75"/>
      <c r="AE1379" s="75"/>
      <c r="AF1379" s="75"/>
      <c r="AG1379" s="75"/>
      <c r="AH1379" s="75"/>
      <c r="AI1379" s="75"/>
      <c r="AJ1379" s="75"/>
      <c r="AK1379" s="75"/>
      <c r="AL1379" s="75"/>
      <c r="AM1379" s="75"/>
      <c r="AN1379" s="75"/>
      <c r="AO1379" s="75"/>
      <c r="AP1379" s="75"/>
      <c r="AQ1379" s="75"/>
      <c r="AR1379" s="75"/>
      <c r="AS1379" s="75"/>
      <c r="AT1379" s="75"/>
      <c r="AU1379" s="75"/>
      <c r="AV1379" s="75"/>
      <c r="AW1379" s="75"/>
      <c r="AX1379" s="75"/>
      <c r="AY1379" s="75"/>
      <c r="AZ1379" s="75"/>
      <c r="BA1379" s="75"/>
      <c r="BB1379" s="75"/>
      <c r="BC1379" s="75"/>
      <c r="BD1379" s="75"/>
      <c r="BE1379" s="75"/>
      <c r="BF1379" s="75" t="s">
        <v>439</v>
      </c>
      <c r="BG1379" s="75"/>
      <c r="BH1379" s="75"/>
      <c r="BI1379" s="75" t="s">
        <v>439</v>
      </c>
      <c r="BJ1379" s="75"/>
      <c r="BK1379" s="75"/>
      <c r="BL1379" s="75" t="s">
        <v>439</v>
      </c>
      <c r="BM1379" s="75"/>
    </row>
    <row r="1380" spans="1:65" ht="15" customHeight="1" x14ac:dyDescent="0.2">
      <c r="A1380" s="38"/>
      <c r="B1380" s="38"/>
      <c r="C1380" s="75"/>
      <c r="D1380" s="75"/>
      <c r="E1380" s="75"/>
      <c r="F1380" s="75"/>
      <c r="G1380" s="75"/>
      <c r="H1380" s="75"/>
      <c r="I1380" s="75"/>
      <c r="J1380" s="75"/>
      <c r="K1380" s="75"/>
      <c r="L1380" s="75"/>
      <c r="M1380" s="75"/>
      <c r="N1380" s="75"/>
      <c r="O1380" s="75"/>
      <c r="P1380" s="75"/>
      <c r="Q1380" s="75"/>
      <c r="R1380" s="75"/>
      <c r="S1380" s="75"/>
      <c r="T1380" s="75"/>
      <c r="U1380" s="75"/>
      <c r="V1380" s="75"/>
      <c r="W1380" s="75"/>
      <c r="X1380" s="75"/>
      <c r="Y1380" s="75"/>
      <c r="Z1380" s="75"/>
      <c r="AA1380" s="75"/>
      <c r="AB1380" s="75"/>
      <c r="AC1380" s="75"/>
      <c r="AD1380" s="75"/>
      <c r="AE1380" s="75"/>
      <c r="AF1380" s="75"/>
      <c r="AG1380" s="75"/>
      <c r="AH1380" s="75"/>
      <c r="AI1380" s="75"/>
      <c r="AJ1380" s="75"/>
      <c r="AK1380" s="75"/>
      <c r="AL1380" s="75"/>
      <c r="AM1380" s="75"/>
      <c r="AN1380" s="75"/>
      <c r="AO1380" s="75"/>
      <c r="AP1380" s="75"/>
      <c r="AQ1380" s="75"/>
      <c r="AR1380" s="75"/>
      <c r="AS1380" s="75"/>
      <c r="AT1380" s="75"/>
      <c r="AU1380" s="75"/>
      <c r="AV1380" s="75"/>
      <c r="AW1380" s="75"/>
      <c r="AX1380" s="75"/>
      <c r="AY1380" s="75"/>
      <c r="AZ1380" s="75"/>
      <c r="BA1380" s="75"/>
      <c r="BB1380" s="75"/>
      <c r="BC1380" s="75"/>
      <c r="BD1380" s="75"/>
      <c r="BE1380" s="75"/>
      <c r="BF1380" s="75" t="s">
        <v>439</v>
      </c>
      <c r="BG1380" s="75"/>
      <c r="BH1380" s="75"/>
      <c r="BI1380" s="75" t="s">
        <v>439</v>
      </c>
      <c r="BJ1380" s="75"/>
      <c r="BK1380" s="75"/>
      <c r="BL1380" s="75" t="s">
        <v>439</v>
      </c>
      <c r="BM1380" s="75"/>
    </row>
    <row r="1381" spans="1:65" ht="15" customHeight="1" x14ac:dyDescent="0.2">
      <c r="A1381" s="38"/>
      <c r="B1381" s="38"/>
      <c r="C1381" s="75"/>
      <c r="D1381" s="75"/>
      <c r="E1381" s="75"/>
      <c r="F1381" s="75"/>
      <c r="G1381" s="75"/>
      <c r="H1381" s="75"/>
      <c r="I1381" s="75"/>
      <c r="J1381" s="75"/>
      <c r="K1381" s="75"/>
      <c r="L1381" s="75"/>
      <c r="M1381" s="75"/>
      <c r="N1381" s="75"/>
      <c r="O1381" s="75"/>
      <c r="P1381" s="75"/>
      <c r="Q1381" s="75"/>
      <c r="R1381" s="75"/>
      <c r="S1381" s="75"/>
      <c r="T1381" s="75"/>
      <c r="U1381" s="75"/>
      <c r="V1381" s="75"/>
      <c r="W1381" s="75"/>
      <c r="X1381" s="75"/>
      <c r="Y1381" s="75"/>
      <c r="Z1381" s="75"/>
      <c r="AA1381" s="75"/>
      <c r="AB1381" s="75"/>
      <c r="AC1381" s="75"/>
      <c r="AD1381" s="75"/>
      <c r="AE1381" s="75"/>
      <c r="AF1381" s="75"/>
      <c r="AG1381" s="75"/>
      <c r="AH1381" s="75"/>
      <c r="AI1381" s="75"/>
      <c r="AJ1381" s="75"/>
      <c r="AK1381" s="75"/>
      <c r="AL1381" s="75"/>
      <c r="AM1381" s="75"/>
      <c r="AN1381" s="75"/>
      <c r="AO1381" s="75"/>
      <c r="AP1381" s="75"/>
      <c r="AQ1381" s="75"/>
      <c r="AR1381" s="75"/>
      <c r="AS1381" s="75"/>
      <c r="AT1381" s="75"/>
      <c r="AU1381" s="75"/>
      <c r="AV1381" s="75"/>
      <c r="AW1381" s="75"/>
      <c r="AX1381" s="75"/>
      <c r="AY1381" s="75"/>
      <c r="AZ1381" s="75"/>
      <c r="BA1381" s="75"/>
      <c r="BB1381" s="75"/>
      <c r="BC1381" s="75"/>
      <c r="BD1381" s="75"/>
      <c r="BE1381" s="75"/>
      <c r="BF1381" s="75" t="s">
        <v>439</v>
      </c>
      <c r="BG1381" s="75"/>
      <c r="BH1381" s="75"/>
      <c r="BI1381" s="75" t="s">
        <v>439</v>
      </c>
      <c r="BJ1381" s="75"/>
      <c r="BK1381" s="75"/>
      <c r="BL1381" s="75" t="s">
        <v>439</v>
      </c>
      <c r="BM1381" s="75"/>
    </row>
    <row r="1382" spans="1:65" ht="15" customHeight="1" x14ac:dyDescent="0.2">
      <c r="A1382" s="38"/>
      <c r="B1382" s="38"/>
      <c r="C1382" s="75"/>
      <c r="D1382" s="75"/>
      <c r="E1382" s="75"/>
      <c r="F1382" s="75"/>
      <c r="G1382" s="75"/>
      <c r="H1382" s="75"/>
      <c r="I1382" s="75"/>
      <c r="J1382" s="75"/>
      <c r="K1382" s="75"/>
      <c r="L1382" s="75"/>
      <c r="M1382" s="75"/>
      <c r="N1382" s="75"/>
      <c r="O1382" s="75"/>
      <c r="P1382" s="75"/>
      <c r="Q1382" s="75"/>
      <c r="R1382" s="75"/>
      <c r="S1382" s="75"/>
      <c r="T1382" s="75"/>
      <c r="U1382" s="75"/>
      <c r="V1382" s="75"/>
      <c r="W1382" s="75"/>
      <c r="X1382" s="75"/>
      <c r="Y1382" s="75"/>
      <c r="Z1382" s="75"/>
      <c r="AA1382" s="75"/>
      <c r="AB1382" s="75"/>
      <c r="AC1382" s="75"/>
      <c r="AD1382" s="75"/>
      <c r="AE1382" s="75"/>
      <c r="AF1382" s="75"/>
      <c r="AG1382" s="75"/>
      <c r="AH1382" s="75"/>
      <c r="AI1382" s="75"/>
      <c r="AJ1382" s="75"/>
      <c r="AK1382" s="75"/>
      <c r="AL1382" s="75"/>
      <c r="AM1382" s="75"/>
      <c r="AN1382" s="75"/>
      <c r="AO1382" s="75"/>
      <c r="AP1382" s="75"/>
      <c r="AQ1382" s="75"/>
      <c r="AR1382" s="75"/>
      <c r="AS1382" s="75"/>
      <c r="AT1382" s="75"/>
      <c r="AU1382" s="75"/>
      <c r="AV1382" s="75"/>
      <c r="AW1382" s="75"/>
      <c r="AX1382" s="75"/>
      <c r="AY1382" s="75"/>
      <c r="AZ1382" s="75"/>
      <c r="BA1382" s="75"/>
      <c r="BB1382" s="75"/>
      <c r="BC1382" s="75"/>
      <c r="BD1382" s="75"/>
      <c r="BE1382" s="75"/>
      <c r="BF1382" s="75" t="s">
        <v>439</v>
      </c>
      <c r="BG1382" s="75"/>
      <c r="BH1382" s="75"/>
      <c r="BI1382" s="75" t="s">
        <v>439</v>
      </c>
      <c r="BJ1382" s="75"/>
      <c r="BK1382" s="75"/>
      <c r="BL1382" s="75" t="s">
        <v>439</v>
      </c>
      <c r="BM1382" s="75"/>
    </row>
    <row r="1383" spans="1:65" ht="15" customHeight="1" x14ac:dyDescent="0.2">
      <c r="A1383" s="38"/>
      <c r="B1383" s="38"/>
      <c r="C1383" s="75"/>
      <c r="D1383" s="75"/>
      <c r="E1383" s="75"/>
      <c r="F1383" s="75"/>
      <c r="G1383" s="75"/>
      <c r="H1383" s="75"/>
      <c r="I1383" s="75"/>
      <c r="J1383" s="75"/>
      <c r="K1383" s="75"/>
      <c r="L1383" s="75"/>
      <c r="M1383" s="75"/>
      <c r="N1383" s="75"/>
      <c r="O1383" s="75"/>
      <c r="P1383" s="75"/>
      <c r="Q1383" s="75"/>
      <c r="R1383" s="75"/>
      <c r="S1383" s="75"/>
      <c r="T1383" s="75"/>
      <c r="U1383" s="75"/>
      <c r="V1383" s="75"/>
      <c r="W1383" s="75"/>
      <c r="X1383" s="75"/>
      <c r="Y1383" s="75"/>
      <c r="Z1383" s="75"/>
      <c r="AA1383" s="75"/>
      <c r="AB1383" s="75"/>
      <c r="AC1383" s="75"/>
      <c r="AD1383" s="75"/>
      <c r="AE1383" s="75"/>
      <c r="AF1383" s="75"/>
      <c r="AG1383" s="75"/>
      <c r="AH1383" s="75"/>
      <c r="AI1383" s="75"/>
      <c r="AJ1383" s="75"/>
      <c r="AK1383" s="75"/>
      <c r="AL1383" s="75"/>
      <c r="AM1383" s="75"/>
      <c r="AN1383" s="75"/>
      <c r="AO1383" s="75"/>
      <c r="AP1383" s="75"/>
      <c r="AQ1383" s="75"/>
      <c r="AR1383" s="75"/>
      <c r="AS1383" s="75"/>
      <c r="AT1383" s="75"/>
      <c r="AU1383" s="75"/>
      <c r="AV1383" s="75"/>
      <c r="AW1383" s="75"/>
      <c r="AX1383" s="75"/>
      <c r="AY1383" s="75"/>
      <c r="AZ1383" s="75"/>
      <c r="BA1383" s="75"/>
      <c r="BB1383" s="75"/>
      <c r="BC1383" s="75"/>
      <c r="BD1383" s="75"/>
      <c r="BE1383" s="75"/>
      <c r="BF1383" s="75" t="s">
        <v>439</v>
      </c>
      <c r="BG1383" s="75"/>
      <c r="BH1383" s="75"/>
      <c r="BI1383" s="75" t="s">
        <v>439</v>
      </c>
      <c r="BJ1383" s="75"/>
      <c r="BK1383" s="75"/>
      <c r="BL1383" s="75" t="s">
        <v>439</v>
      </c>
      <c r="BM1383" s="75"/>
    </row>
    <row r="1384" spans="1:65" ht="15" customHeight="1" x14ac:dyDescent="0.2">
      <c r="A1384" s="38"/>
      <c r="B1384" s="38"/>
      <c r="C1384" s="75"/>
      <c r="D1384" s="75"/>
      <c r="E1384" s="75"/>
      <c r="F1384" s="75"/>
      <c r="G1384" s="75"/>
      <c r="H1384" s="75"/>
      <c r="I1384" s="75"/>
      <c r="J1384" s="75"/>
      <c r="K1384" s="75"/>
      <c r="L1384" s="75"/>
      <c r="M1384" s="75"/>
      <c r="N1384" s="75"/>
      <c r="O1384" s="75"/>
      <c r="P1384" s="75"/>
      <c r="Q1384" s="75"/>
      <c r="R1384" s="75"/>
      <c r="S1384" s="75"/>
      <c r="T1384" s="75"/>
      <c r="U1384" s="75"/>
      <c r="V1384" s="75"/>
      <c r="W1384" s="75"/>
      <c r="X1384" s="75"/>
      <c r="Y1384" s="75"/>
      <c r="Z1384" s="75"/>
      <c r="AA1384" s="75"/>
      <c r="AB1384" s="75"/>
      <c r="AC1384" s="75"/>
      <c r="AD1384" s="75"/>
      <c r="AE1384" s="75"/>
      <c r="AF1384" s="75"/>
      <c r="AG1384" s="75"/>
      <c r="AH1384" s="75"/>
      <c r="AI1384" s="75"/>
      <c r="AJ1384" s="75"/>
      <c r="AK1384" s="75"/>
      <c r="AL1384" s="75"/>
      <c r="AM1384" s="75"/>
      <c r="AN1384" s="75"/>
      <c r="AO1384" s="75"/>
      <c r="AP1384" s="75"/>
      <c r="AQ1384" s="75"/>
      <c r="AR1384" s="75"/>
      <c r="AS1384" s="75"/>
      <c r="AT1384" s="75"/>
      <c r="AU1384" s="75"/>
      <c r="AV1384" s="75"/>
      <c r="AW1384" s="75"/>
      <c r="AX1384" s="75"/>
      <c r="AY1384" s="75"/>
      <c r="AZ1384" s="75"/>
      <c r="BA1384" s="75"/>
      <c r="BB1384" s="75"/>
      <c r="BC1384" s="75"/>
      <c r="BD1384" s="75"/>
      <c r="BE1384" s="75"/>
      <c r="BF1384" s="75" t="s">
        <v>439</v>
      </c>
      <c r="BG1384" s="75"/>
      <c r="BH1384" s="75"/>
      <c r="BI1384" s="75" t="s">
        <v>439</v>
      </c>
      <c r="BJ1384" s="75"/>
      <c r="BK1384" s="75"/>
      <c r="BL1384" s="75" t="s">
        <v>439</v>
      </c>
      <c r="BM1384" s="75"/>
    </row>
    <row r="1385" spans="1:65" ht="15" customHeight="1" x14ac:dyDescent="0.2">
      <c r="A1385" s="38"/>
      <c r="B1385" s="38"/>
      <c r="C1385" s="75"/>
      <c r="D1385" s="75"/>
      <c r="E1385" s="75"/>
      <c r="F1385" s="75"/>
      <c r="G1385" s="75"/>
      <c r="H1385" s="75"/>
      <c r="I1385" s="75"/>
      <c r="J1385" s="75"/>
      <c r="K1385" s="75"/>
      <c r="L1385" s="75"/>
      <c r="M1385" s="75"/>
      <c r="N1385" s="75"/>
      <c r="O1385" s="75"/>
      <c r="P1385" s="75"/>
      <c r="Q1385" s="75"/>
      <c r="R1385" s="75"/>
      <c r="S1385" s="75"/>
      <c r="T1385" s="75"/>
      <c r="U1385" s="75"/>
      <c r="V1385" s="75"/>
      <c r="W1385" s="75"/>
      <c r="X1385" s="75"/>
      <c r="Y1385" s="75"/>
      <c r="Z1385" s="75"/>
      <c r="AA1385" s="75"/>
      <c r="AB1385" s="75"/>
      <c r="AC1385" s="75"/>
      <c r="AD1385" s="75"/>
      <c r="AE1385" s="75"/>
      <c r="AF1385" s="75"/>
      <c r="AG1385" s="75"/>
      <c r="AH1385" s="75"/>
      <c r="AI1385" s="75"/>
      <c r="AJ1385" s="75"/>
      <c r="AK1385" s="75"/>
      <c r="AL1385" s="75"/>
      <c r="AM1385" s="75"/>
      <c r="AN1385" s="75"/>
      <c r="AO1385" s="75"/>
      <c r="AP1385" s="75"/>
      <c r="AQ1385" s="75"/>
      <c r="AR1385" s="75"/>
      <c r="AS1385" s="75"/>
      <c r="AT1385" s="75"/>
      <c r="AU1385" s="75"/>
      <c r="AV1385" s="75"/>
      <c r="AW1385" s="75"/>
      <c r="AX1385" s="75"/>
      <c r="AY1385" s="75"/>
      <c r="AZ1385" s="75"/>
      <c r="BA1385" s="75"/>
      <c r="BB1385" s="75"/>
      <c r="BC1385" s="75"/>
      <c r="BD1385" s="75"/>
      <c r="BE1385" s="75"/>
      <c r="BF1385" s="75" t="s">
        <v>439</v>
      </c>
      <c r="BG1385" s="75"/>
      <c r="BH1385" s="75"/>
      <c r="BI1385" s="75" t="s">
        <v>439</v>
      </c>
      <c r="BJ1385" s="75"/>
      <c r="BK1385" s="75"/>
      <c r="BL1385" s="75" t="s">
        <v>439</v>
      </c>
      <c r="BM1385" s="75"/>
    </row>
    <row r="1386" spans="1:65" ht="15" customHeight="1" x14ac:dyDescent="0.2">
      <c r="A1386" s="38"/>
      <c r="B1386" s="38"/>
      <c r="C1386" s="75"/>
      <c r="D1386" s="75"/>
      <c r="E1386" s="75"/>
      <c r="F1386" s="75"/>
      <c r="G1386" s="75"/>
      <c r="H1386" s="75"/>
      <c r="I1386" s="75"/>
      <c r="J1386" s="75"/>
      <c r="K1386" s="75"/>
      <c r="L1386" s="75"/>
      <c r="M1386" s="75"/>
      <c r="N1386" s="75"/>
      <c r="O1386" s="75"/>
      <c r="P1386" s="75"/>
      <c r="Q1386" s="75"/>
      <c r="R1386" s="75"/>
      <c r="S1386" s="75"/>
      <c r="T1386" s="75"/>
      <c r="U1386" s="75"/>
      <c r="V1386" s="75"/>
      <c r="W1386" s="75"/>
      <c r="X1386" s="75"/>
      <c r="Y1386" s="75"/>
      <c r="Z1386" s="75"/>
      <c r="AA1386" s="75"/>
      <c r="AB1386" s="75"/>
      <c r="AC1386" s="75"/>
      <c r="AD1386" s="75"/>
      <c r="AE1386" s="75"/>
      <c r="AF1386" s="75"/>
      <c r="AG1386" s="75"/>
      <c r="AH1386" s="75"/>
      <c r="AI1386" s="75"/>
      <c r="AJ1386" s="75"/>
      <c r="AK1386" s="75"/>
      <c r="AL1386" s="75"/>
      <c r="AM1386" s="75"/>
      <c r="AN1386" s="75"/>
      <c r="AO1386" s="75"/>
      <c r="AP1386" s="75"/>
      <c r="AQ1386" s="75"/>
      <c r="AR1386" s="75"/>
      <c r="AS1386" s="75"/>
      <c r="AT1386" s="75"/>
      <c r="AU1386" s="75"/>
      <c r="AV1386" s="75"/>
      <c r="AW1386" s="75"/>
      <c r="AX1386" s="75"/>
      <c r="AY1386" s="75"/>
      <c r="AZ1386" s="75"/>
      <c r="BA1386" s="75"/>
      <c r="BB1386" s="75"/>
      <c r="BC1386" s="75"/>
      <c r="BD1386" s="75"/>
      <c r="BE1386" s="75"/>
      <c r="BF1386" s="75" t="s">
        <v>439</v>
      </c>
      <c r="BG1386" s="75"/>
      <c r="BH1386" s="75"/>
      <c r="BI1386" s="75" t="s">
        <v>439</v>
      </c>
      <c r="BJ1386" s="75"/>
      <c r="BK1386" s="75"/>
      <c r="BL1386" s="75" t="s">
        <v>439</v>
      </c>
      <c r="BM1386" s="75"/>
    </row>
    <row r="1387" spans="1:65" ht="15" customHeight="1" x14ac:dyDescent="0.2">
      <c r="A1387" s="38"/>
      <c r="B1387" s="38"/>
      <c r="C1387" s="75"/>
      <c r="D1387" s="75"/>
      <c r="E1387" s="75"/>
      <c r="F1387" s="75"/>
      <c r="G1387" s="75"/>
      <c r="H1387" s="75"/>
      <c r="I1387" s="75"/>
      <c r="J1387" s="75"/>
      <c r="K1387" s="75"/>
      <c r="L1387" s="75"/>
      <c r="M1387" s="75"/>
      <c r="N1387" s="75"/>
      <c r="O1387" s="75"/>
      <c r="P1387" s="75"/>
      <c r="Q1387" s="75"/>
      <c r="R1387" s="75"/>
      <c r="S1387" s="75"/>
      <c r="T1387" s="75"/>
      <c r="U1387" s="75"/>
      <c r="V1387" s="75"/>
      <c r="W1387" s="75"/>
      <c r="X1387" s="75"/>
      <c r="Y1387" s="75"/>
      <c r="Z1387" s="75"/>
      <c r="AA1387" s="75"/>
      <c r="AB1387" s="75"/>
      <c r="AC1387" s="75"/>
      <c r="AD1387" s="75"/>
      <c r="AE1387" s="75"/>
      <c r="AF1387" s="75"/>
      <c r="AG1387" s="75"/>
      <c r="AH1387" s="75"/>
      <c r="AI1387" s="75"/>
      <c r="AJ1387" s="75"/>
      <c r="AK1387" s="75"/>
      <c r="AL1387" s="75"/>
      <c r="AM1387" s="75"/>
      <c r="AN1387" s="75"/>
      <c r="AO1387" s="75"/>
      <c r="AP1387" s="75"/>
      <c r="AQ1387" s="75"/>
      <c r="AR1387" s="75"/>
      <c r="AS1387" s="75"/>
      <c r="AT1387" s="75"/>
      <c r="AU1387" s="75"/>
      <c r="AV1387" s="75"/>
      <c r="AW1387" s="75"/>
      <c r="AX1387" s="75"/>
      <c r="AY1387" s="75"/>
      <c r="AZ1387" s="75"/>
      <c r="BA1387" s="75"/>
      <c r="BB1387" s="75"/>
      <c r="BC1387" s="75"/>
      <c r="BD1387" s="75"/>
      <c r="BE1387" s="75"/>
      <c r="BF1387" s="75" t="s">
        <v>439</v>
      </c>
      <c r="BG1387" s="75"/>
      <c r="BH1387" s="75"/>
      <c r="BI1387" s="75" t="s">
        <v>439</v>
      </c>
      <c r="BJ1387" s="75"/>
      <c r="BK1387" s="75"/>
      <c r="BL1387" s="75" t="s">
        <v>439</v>
      </c>
      <c r="BM1387" s="75"/>
    </row>
    <row r="1388" spans="1:65" ht="15" customHeight="1" x14ac:dyDescent="0.2">
      <c r="A1388" s="38"/>
      <c r="B1388" s="38"/>
      <c r="C1388" s="75"/>
      <c r="D1388" s="75"/>
      <c r="E1388" s="75"/>
      <c r="F1388" s="75"/>
      <c r="G1388" s="75"/>
      <c r="H1388" s="75"/>
      <c r="I1388" s="75"/>
      <c r="J1388" s="75"/>
      <c r="K1388" s="75"/>
      <c r="L1388" s="75"/>
      <c r="M1388" s="75"/>
      <c r="N1388" s="75"/>
      <c r="O1388" s="75"/>
      <c r="P1388" s="75"/>
      <c r="Q1388" s="75"/>
      <c r="R1388" s="75"/>
      <c r="S1388" s="75"/>
      <c r="T1388" s="75"/>
      <c r="U1388" s="75"/>
      <c r="V1388" s="75"/>
      <c r="W1388" s="75"/>
      <c r="X1388" s="75"/>
      <c r="Y1388" s="75"/>
      <c r="Z1388" s="75"/>
      <c r="AA1388" s="75"/>
      <c r="AB1388" s="75"/>
      <c r="AC1388" s="75"/>
      <c r="AD1388" s="75"/>
      <c r="AE1388" s="75"/>
      <c r="AF1388" s="75"/>
      <c r="AG1388" s="75"/>
      <c r="AH1388" s="75"/>
      <c r="AI1388" s="75"/>
      <c r="AJ1388" s="75"/>
      <c r="AK1388" s="75"/>
      <c r="AL1388" s="75"/>
      <c r="AM1388" s="75"/>
      <c r="AN1388" s="75"/>
      <c r="AO1388" s="75"/>
      <c r="AP1388" s="75"/>
      <c r="AQ1388" s="75"/>
      <c r="AR1388" s="75"/>
      <c r="AS1388" s="75"/>
      <c r="AT1388" s="75"/>
      <c r="AU1388" s="75"/>
      <c r="AV1388" s="75"/>
      <c r="AW1388" s="75"/>
      <c r="AX1388" s="75"/>
      <c r="AY1388" s="75"/>
      <c r="AZ1388" s="75"/>
      <c r="BA1388" s="75"/>
      <c r="BB1388" s="75"/>
      <c r="BC1388" s="75"/>
      <c r="BD1388" s="75"/>
      <c r="BE1388" s="75"/>
      <c r="BF1388" s="75" t="s">
        <v>439</v>
      </c>
      <c r="BG1388" s="75"/>
      <c r="BH1388" s="75"/>
      <c r="BI1388" s="75" t="s">
        <v>439</v>
      </c>
      <c r="BJ1388" s="75"/>
      <c r="BK1388" s="75"/>
      <c r="BL1388" s="75" t="s">
        <v>439</v>
      </c>
      <c r="BM1388" s="75"/>
    </row>
    <row r="1389" spans="1:65" ht="15" customHeight="1" x14ac:dyDescent="0.2">
      <c r="A1389" s="38"/>
      <c r="B1389" s="38"/>
      <c r="C1389" s="75"/>
      <c r="D1389" s="75"/>
      <c r="E1389" s="75"/>
      <c r="F1389" s="75"/>
      <c r="G1389" s="75"/>
      <c r="H1389" s="75"/>
      <c r="I1389" s="75"/>
      <c r="J1389" s="75"/>
      <c r="K1389" s="75"/>
      <c r="L1389" s="75"/>
      <c r="M1389" s="75"/>
      <c r="N1389" s="75"/>
      <c r="O1389" s="75"/>
      <c r="P1389" s="75"/>
      <c r="Q1389" s="75"/>
      <c r="R1389" s="75"/>
      <c r="S1389" s="75"/>
      <c r="T1389" s="75"/>
      <c r="U1389" s="75"/>
      <c r="V1389" s="75"/>
      <c r="W1389" s="75"/>
      <c r="X1389" s="75"/>
      <c r="Y1389" s="75"/>
      <c r="Z1389" s="75"/>
      <c r="AA1389" s="75"/>
      <c r="AB1389" s="75"/>
      <c r="AC1389" s="75"/>
      <c r="AD1389" s="75"/>
      <c r="AE1389" s="75"/>
      <c r="AF1389" s="75"/>
      <c r="AG1389" s="75"/>
      <c r="AH1389" s="75"/>
      <c r="AI1389" s="75"/>
      <c r="AJ1389" s="75"/>
      <c r="AK1389" s="75"/>
      <c r="AL1389" s="75"/>
      <c r="AM1389" s="75"/>
      <c r="AN1389" s="75"/>
      <c r="AO1389" s="75"/>
      <c r="AP1389" s="75"/>
      <c r="AQ1389" s="75"/>
      <c r="AR1389" s="75"/>
      <c r="AS1389" s="75"/>
      <c r="AT1389" s="75"/>
      <c r="AU1389" s="75"/>
      <c r="AV1389" s="75"/>
      <c r="AW1389" s="75"/>
      <c r="AX1389" s="75"/>
      <c r="AY1389" s="75"/>
      <c r="AZ1389" s="75"/>
      <c r="BA1389" s="75"/>
      <c r="BB1389" s="75"/>
      <c r="BC1389" s="75"/>
      <c r="BD1389" s="75"/>
      <c r="BE1389" s="75"/>
      <c r="BF1389" s="75" t="s">
        <v>439</v>
      </c>
      <c r="BG1389" s="75"/>
      <c r="BH1389" s="75"/>
      <c r="BI1389" s="75" t="s">
        <v>439</v>
      </c>
      <c r="BJ1389" s="75"/>
      <c r="BK1389" s="75"/>
      <c r="BL1389" s="75" t="s">
        <v>439</v>
      </c>
      <c r="BM1389" s="75"/>
    </row>
    <row r="1390" spans="1:65" ht="15" customHeight="1" x14ac:dyDescent="0.2">
      <c r="A1390" s="38"/>
      <c r="B1390" s="38"/>
      <c r="C1390" s="75"/>
      <c r="D1390" s="75"/>
      <c r="E1390" s="75"/>
      <c r="F1390" s="75"/>
      <c r="G1390" s="75"/>
      <c r="H1390" s="75"/>
      <c r="I1390" s="75"/>
      <c r="J1390" s="75"/>
      <c r="K1390" s="75"/>
      <c r="L1390" s="75"/>
      <c r="M1390" s="75"/>
      <c r="N1390" s="75"/>
      <c r="O1390" s="75"/>
      <c r="P1390" s="75"/>
      <c r="Q1390" s="75"/>
      <c r="R1390" s="75"/>
      <c r="S1390" s="75"/>
      <c r="T1390" s="75"/>
      <c r="U1390" s="75"/>
      <c r="V1390" s="75"/>
      <c r="W1390" s="75"/>
      <c r="X1390" s="75"/>
      <c r="Y1390" s="75"/>
      <c r="Z1390" s="75"/>
      <c r="AA1390" s="75"/>
      <c r="AB1390" s="75"/>
      <c r="AC1390" s="75"/>
      <c r="AD1390" s="75"/>
      <c r="AE1390" s="75"/>
      <c r="AF1390" s="75"/>
      <c r="AG1390" s="75"/>
      <c r="AH1390" s="75"/>
      <c r="AI1390" s="75"/>
      <c r="AJ1390" s="75"/>
      <c r="AK1390" s="75"/>
      <c r="AL1390" s="75"/>
      <c r="AM1390" s="75"/>
      <c r="AN1390" s="75"/>
      <c r="AO1390" s="75"/>
      <c r="AP1390" s="75"/>
      <c r="AQ1390" s="75"/>
      <c r="AR1390" s="75"/>
      <c r="AS1390" s="75"/>
      <c r="AT1390" s="75"/>
      <c r="AU1390" s="75"/>
      <c r="AV1390" s="75"/>
      <c r="AW1390" s="75"/>
      <c r="AX1390" s="75"/>
      <c r="AY1390" s="75"/>
      <c r="AZ1390" s="75"/>
      <c r="BA1390" s="75"/>
      <c r="BB1390" s="75"/>
      <c r="BC1390" s="75"/>
      <c r="BD1390" s="75"/>
      <c r="BE1390" s="75"/>
      <c r="BF1390" s="75" t="s">
        <v>439</v>
      </c>
      <c r="BG1390" s="75"/>
      <c r="BH1390" s="75"/>
      <c r="BI1390" s="75" t="s">
        <v>439</v>
      </c>
      <c r="BJ1390" s="75"/>
      <c r="BK1390" s="75"/>
      <c r="BL1390" s="75" t="s">
        <v>439</v>
      </c>
      <c r="BM1390" s="75"/>
    </row>
    <row r="1391" spans="1:65" ht="15" customHeight="1" x14ac:dyDescent="0.2">
      <c r="A1391" s="38"/>
      <c r="B1391" s="38"/>
      <c r="C1391" s="75"/>
      <c r="D1391" s="75"/>
      <c r="E1391" s="75"/>
      <c r="F1391" s="75"/>
      <c r="G1391" s="75"/>
      <c r="H1391" s="75"/>
      <c r="I1391" s="75"/>
      <c r="J1391" s="75"/>
      <c r="K1391" s="75"/>
      <c r="L1391" s="75"/>
      <c r="M1391" s="75"/>
      <c r="N1391" s="75"/>
      <c r="O1391" s="75"/>
      <c r="P1391" s="75"/>
      <c r="Q1391" s="75"/>
      <c r="R1391" s="75"/>
      <c r="S1391" s="75"/>
      <c r="T1391" s="75"/>
      <c r="U1391" s="75"/>
      <c r="V1391" s="75"/>
      <c r="W1391" s="75"/>
      <c r="X1391" s="75"/>
      <c r="Y1391" s="75"/>
      <c r="Z1391" s="75"/>
      <c r="AA1391" s="75"/>
      <c r="AB1391" s="75"/>
      <c r="AC1391" s="75"/>
      <c r="AD1391" s="75"/>
      <c r="AE1391" s="75"/>
      <c r="AF1391" s="75"/>
      <c r="AG1391" s="75"/>
      <c r="AH1391" s="75"/>
      <c r="AI1391" s="75"/>
      <c r="AJ1391" s="75"/>
      <c r="AK1391" s="75"/>
      <c r="AL1391" s="75"/>
      <c r="AM1391" s="75"/>
      <c r="AN1391" s="75"/>
      <c r="AO1391" s="75"/>
      <c r="AP1391" s="75"/>
      <c r="AQ1391" s="75"/>
      <c r="AR1391" s="75"/>
      <c r="AS1391" s="75"/>
      <c r="AT1391" s="75"/>
      <c r="AU1391" s="75"/>
      <c r="AV1391" s="75"/>
      <c r="AW1391" s="75"/>
      <c r="AX1391" s="75"/>
      <c r="AY1391" s="75"/>
      <c r="AZ1391" s="75"/>
      <c r="BA1391" s="75"/>
      <c r="BB1391" s="75"/>
      <c r="BC1391" s="75"/>
      <c r="BD1391" s="75"/>
      <c r="BE1391" s="75"/>
      <c r="BF1391" s="75" t="s">
        <v>439</v>
      </c>
      <c r="BG1391" s="75"/>
      <c r="BH1391" s="75"/>
      <c r="BI1391" s="75" t="s">
        <v>439</v>
      </c>
      <c r="BJ1391" s="75"/>
      <c r="BK1391" s="75"/>
      <c r="BL1391" s="75" t="s">
        <v>439</v>
      </c>
      <c r="BM1391" s="75"/>
    </row>
    <row r="1392" spans="1:65" ht="15" customHeight="1" x14ac:dyDescent="0.2">
      <c r="A1392" s="38"/>
      <c r="B1392" s="38"/>
      <c r="C1392" s="75"/>
      <c r="D1392" s="75"/>
      <c r="E1392" s="75"/>
      <c r="F1392" s="75"/>
      <c r="G1392" s="75"/>
      <c r="H1392" s="75"/>
      <c r="I1392" s="75"/>
      <c r="J1392" s="75"/>
      <c r="K1392" s="75"/>
      <c r="L1392" s="75"/>
      <c r="M1392" s="75"/>
      <c r="N1392" s="75"/>
      <c r="O1392" s="75"/>
      <c r="P1392" s="75"/>
      <c r="Q1392" s="75"/>
      <c r="R1392" s="75"/>
      <c r="S1392" s="75"/>
      <c r="T1392" s="75"/>
      <c r="U1392" s="75"/>
      <c r="V1392" s="75"/>
      <c r="W1392" s="75"/>
      <c r="X1392" s="75"/>
      <c r="Y1392" s="75"/>
      <c r="Z1392" s="75"/>
      <c r="AA1392" s="75"/>
      <c r="AB1392" s="75"/>
      <c r="AC1392" s="75"/>
      <c r="AD1392" s="75"/>
      <c r="AE1392" s="75"/>
      <c r="AF1392" s="75"/>
      <c r="AG1392" s="75"/>
      <c r="AH1392" s="75"/>
      <c r="AI1392" s="75"/>
      <c r="AJ1392" s="75"/>
      <c r="AK1392" s="75"/>
      <c r="AL1392" s="75"/>
      <c r="AM1392" s="75"/>
      <c r="AN1392" s="75"/>
      <c r="AO1392" s="75"/>
      <c r="AP1392" s="75"/>
      <c r="AQ1392" s="75"/>
      <c r="AR1392" s="75"/>
      <c r="AS1392" s="75"/>
      <c r="AT1392" s="75"/>
      <c r="AU1392" s="75"/>
      <c r="AV1392" s="75"/>
      <c r="AW1392" s="75"/>
      <c r="AX1392" s="75"/>
      <c r="AY1392" s="75"/>
      <c r="AZ1392" s="75"/>
      <c r="BA1392" s="75"/>
      <c r="BB1392" s="75"/>
      <c r="BC1392" s="75"/>
      <c r="BD1392" s="75"/>
      <c r="BE1392" s="75"/>
      <c r="BF1392" s="75" t="s">
        <v>439</v>
      </c>
      <c r="BG1392" s="75"/>
      <c r="BH1392" s="75"/>
      <c r="BI1392" s="75" t="s">
        <v>439</v>
      </c>
      <c r="BJ1392" s="75"/>
      <c r="BK1392" s="75"/>
      <c r="BL1392" s="75" t="s">
        <v>439</v>
      </c>
      <c r="BM1392" s="75"/>
    </row>
    <row r="1393" spans="1:65" ht="15" customHeight="1" x14ac:dyDescent="0.2">
      <c r="A1393" s="38"/>
      <c r="B1393" s="38"/>
      <c r="C1393" s="75"/>
      <c r="D1393" s="75"/>
      <c r="E1393" s="75"/>
      <c r="F1393" s="75"/>
      <c r="G1393" s="75"/>
      <c r="H1393" s="75"/>
      <c r="I1393" s="75"/>
      <c r="J1393" s="75"/>
      <c r="K1393" s="75"/>
      <c r="L1393" s="75"/>
      <c r="M1393" s="75"/>
      <c r="N1393" s="75"/>
      <c r="O1393" s="75"/>
      <c r="P1393" s="75"/>
      <c r="Q1393" s="75"/>
      <c r="R1393" s="75"/>
      <c r="S1393" s="75"/>
      <c r="T1393" s="75"/>
      <c r="U1393" s="75"/>
      <c r="V1393" s="75"/>
      <c r="W1393" s="75"/>
      <c r="X1393" s="75"/>
      <c r="Y1393" s="75"/>
      <c r="Z1393" s="75"/>
      <c r="AA1393" s="75"/>
      <c r="AB1393" s="75"/>
      <c r="AC1393" s="75"/>
      <c r="AD1393" s="75"/>
      <c r="AE1393" s="75"/>
      <c r="AF1393" s="75"/>
      <c r="AG1393" s="75"/>
      <c r="AH1393" s="75"/>
      <c r="AI1393" s="75"/>
      <c r="AJ1393" s="75"/>
      <c r="AK1393" s="75"/>
      <c r="AL1393" s="75"/>
      <c r="AM1393" s="75"/>
      <c r="AN1393" s="75"/>
      <c r="AO1393" s="75"/>
      <c r="AP1393" s="75"/>
      <c r="AQ1393" s="75"/>
      <c r="AR1393" s="75"/>
      <c r="AS1393" s="75"/>
      <c r="AT1393" s="75"/>
      <c r="AU1393" s="75"/>
      <c r="AV1393" s="75"/>
      <c r="AW1393" s="75"/>
      <c r="AX1393" s="75"/>
      <c r="AY1393" s="75"/>
      <c r="AZ1393" s="75"/>
      <c r="BA1393" s="75"/>
      <c r="BB1393" s="75"/>
      <c r="BC1393" s="75"/>
      <c r="BD1393" s="75"/>
      <c r="BE1393" s="75"/>
      <c r="BF1393" s="75" t="s">
        <v>439</v>
      </c>
      <c r="BG1393" s="75"/>
      <c r="BH1393" s="75"/>
      <c r="BI1393" s="75" t="s">
        <v>439</v>
      </c>
      <c r="BJ1393" s="75"/>
      <c r="BK1393" s="75"/>
      <c r="BL1393" s="75" t="s">
        <v>439</v>
      </c>
      <c r="BM1393" s="75"/>
    </row>
    <row r="1394" spans="1:65" ht="15" customHeight="1" x14ac:dyDescent="0.2">
      <c r="A1394" s="38"/>
      <c r="B1394" s="38"/>
      <c r="C1394" s="75"/>
      <c r="D1394" s="75"/>
      <c r="E1394" s="75"/>
      <c r="F1394" s="75"/>
      <c r="G1394" s="75"/>
      <c r="H1394" s="75"/>
      <c r="I1394" s="75"/>
      <c r="J1394" s="75"/>
      <c r="K1394" s="75"/>
      <c r="L1394" s="75"/>
      <c r="M1394" s="75"/>
      <c r="N1394" s="75"/>
      <c r="O1394" s="75"/>
      <c r="P1394" s="75"/>
      <c r="Q1394" s="75"/>
      <c r="R1394" s="75"/>
      <c r="S1394" s="75"/>
      <c r="T1394" s="75"/>
      <c r="U1394" s="75"/>
      <c r="V1394" s="75"/>
      <c r="W1394" s="75"/>
      <c r="X1394" s="75"/>
      <c r="Y1394" s="75"/>
      <c r="Z1394" s="75"/>
      <c r="AA1394" s="75"/>
      <c r="AB1394" s="75"/>
      <c r="AC1394" s="75"/>
      <c r="AD1394" s="75"/>
      <c r="AE1394" s="75"/>
      <c r="AF1394" s="75"/>
      <c r="AG1394" s="75"/>
      <c r="AH1394" s="75"/>
      <c r="AI1394" s="75"/>
      <c r="AJ1394" s="75"/>
      <c r="AK1394" s="75"/>
      <c r="AL1394" s="75"/>
      <c r="AM1394" s="75"/>
      <c r="AN1394" s="75"/>
      <c r="AO1394" s="75"/>
      <c r="AP1394" s="75"/>
      <c r="AQ1394" s="75"/>
      <c r="AR1394" s="75"/>
      <c r="AS1394" s="75"/>
      <c r="AT1394" s="75"/>
      <c r="AU1394" s="75"/>
      <c r="AV1394" s="75"/>
      <c r="AW1394" s="75"/>
      <c r="AX1394" s="75"/>
      <c r="AY1394" s="75"/>
      <c r="AZ1394" s="75"/>
      <c r="BA1394" s="75"/>
      <c r="BB1394" s="75"/>
      <c r="BC1394" s="75"/>
      <c r="BD1394" s="75"/>
      <c r="BE1394" s="75"/>
      <c r="BF1394" s="75" t="s">
        <v>439</v>
      </c>
      <c r="BG1394" s="75"/>
      <c r="BH1394" s="75"/>
      <c r="BI1394" s="75" t="s">
        <v>439</v>
      </c>
      <c r="BJ1394" s="75"/>
      <c r="BK1394" s="75"/>
      <c r="BL1394" s="75" t="s">
        <v>439</v>
      </c>
      <c r="BM1394" s="75"/>
    </row>
    <row r="1395" spans="1:65" ht="15" customHeight="1" x14ac:dyDescent="0.2">
      <c r="A1395" s="38"/>
      <c r="B1395" s="38"/>
      <c r="C1395" s="75"/>
      <c r="D1395" s="75"/>
      <c r="E1395" s="75"/>
      <c r="F1395" s="75"/>
      <c r="G1395" s="75"/>
      <c r="H1395" s="75"/>
      <c r="I1395" s="75"/>
      <c r="J1395" s="75"/>
      <c r="K1395" s="75"/>
      <c r="L1395" s="75"/>
      <c r="M1395" s="75"/>
      <c r="N1395" s="75"/>
      <c r="O1395" s="75"/>
      <c r="P1395" s="75"/>
      <c r="Q1395" s="75"/>
      <c r="R1395" s="75"/>
      <c r="S1395" s="75"/>
      <c r="T1395" s="75"/>
      <c r="U1395" s="75"/>
      <c r="V1395" s="75"/>
      <c r="W1395" s="75"/>
      <c r="X1395" s="75"/>
      <c r="Y1395" s="75"/>
      <c r="Z1395" s="75"/>
      <c r="AA1395" s="75"/>
      <c r="AB1395" s="75"/>
      <c r="AC1395" s="75"/>
      <c r="AD1395" s="75"/>
      <c r="AE1395" s="75"/>
      <c r="AF1395" s="75"/>
      <c r="AG1395" s="75"/>
      <c r="AH1395" s="75"/>
      <c r="AI1395" s="75"/>
      <c r="AJ1395" s="75"/>
      <c r="AK1395" s="75"/>
      <c r="AL1395" s="75"/>
      <c r="AM1395" s="75"/>
      <c r="AN1395" s="75"/>
      <c r="AO1395" s="75"/>
      <c r="AP1395" s="75"/>
      <c r="AQ1395" s="75"/>
      <c r="AR1395" s="75"/>
      <c r="AS1395" s="75"/>
      <c r="AT1395" s="75"/>
      <c r="AU1395" s="75"/>
      <c r="AV1395" s="75"/>
      <c r="AW1395" s="75"/>
      <c r="AX1395" s="75"/>
      <c r="AY1395" s="75"/>
      <c r="AZ1395" s="75"/>
      <c r="BA1395" s="75"/>
      <c r="BB1395" s="75"/>
      <c r="BC1395" s="75"/>
      <c r="BD1395" s="75"/>
      <c r="BE1395" s="75"/>
      <c r="BF1395" s="75" t="s">
        <v>439</v>
      </c>
      <c r="BG1395" s="75"/>
      <c r="BH1395" s="75"/>
      <c r="BI1395" s="75" t="s">
        <v>439</v>
      </c>
      <c r="BJ1395" s="75"/>
      <c r="BK1395" s="75"/>
      <c r="BL1395" s="75" t="s">
        <v>439</v>
      </c>
      <c r="BM1395" s="75"/>
    </row>
    <row r="1396" spans="1:65" ht="15" customHeight="1" x14ac:dyDescent="0.2">
      <c r="A1396" s="38"/>
      <c r="B1396" s="38"/>
      <c r="C1396" s="75"/>
      <c r="D1396" s="75"/>
      <c r="E1396" s="75"/>
      <c r="F1396" s="75"/>
      <c r="G1396" s="75"/>
      <c r="H1396" s="75"/>
      <c r="I1396" s="75"/>
      <c r="J1396" s="75"/>
      <c r="K1396" s="75"/>
      <c r="L1396" s="75"/>
      <c r="M1396" s="75"/>
      <c r="N1396" s="75"/>
      <c r="O1396" s="75"/>
      <c r="P1396" s="75"/>
      <c r="Q1396" s="75"/>
      <c r="R1396" s="75"/>
      <c r="S1396" s="75"/>
      <c r="T1396" s="75"/>
      <c r="U1396" s="75"/>
      <c r="V1396" s="75"/>
      <c r="W1396" s="75"/>
      <c r="X1396" s="75"/>
      <c r="Y1396" s="75"/>
      <c r="Z1396" s="75"/>
      <c r="AA1396" s="75"/>
      <c r="AB1396" s="75"/>
      <c r="AC1396" s="75"/>
      <c r="AD1396" s="75"/>
      <c r="AE1396" s="75"/>
      <c r="AF1396" s="75"/>
      <c r="AG1396" s="75"/>
      <c r="AH1396" s="75"/>
      <c r="AI1396" s="75"/>
      <c r="AJ1396" s="75"/>
      <c r="AK1396" s="75"/>
      <c r="AL1396" s="75"/>
      <c r="AM1396" s="75"/>
      <c r="AN1396" s="75"/>
      <c r="AO1396" s="75"/>
      <c r="AP1396" s="75"/>
      <c r="AQ1396" s="75"/>
      <c r="AR1396" s="75"/>
      <c r="AS1396" s="75"/>
      <c r="AT1396" s="75"/>
      <c r="AU1396" s="75"/>
      <c r="AV1396" s="75"/>
      <c r="AW1396" s="75"/>
      <c r="AX1396" s="75"/>
      <c r="AY1396" s="75"/>
      <c r="AZ1396" s="75"/>
      <c r="BA1396" s="75"/>
      <c r="BB1396" s="75"/>
      <c r="BC1396" s="75"/>
      <c r="BD1396" s="75"/>
      <c r="BE1396" s="75"/>
      <c r="BF1396" s="75" t="s">
        <v>439</v>
      </c>
      <c r="BG1396" s="75"/>
      <c r="BH1396" s="75"/>
      <c r="BI1396" s="75" t="s">
        <v>439</v>
      </c>
      <c r="BJ1396" s="75"/>
      <c r="BK1396" s="75"/>
      <c r="BL1396" s="75" t="s">
        <v>439</v>
      </c>
      <c r="BM1396" s="75"/>
    </row>
    <row r="1397" spans="1:65" ht="15" customHeight="1" x14ac:dyDescent="0.2">
      <c r="A1397" s="38"/>
      <c r="B1397" s="38"/>
      <c r="C1397" s="75"/>
      <c r="D1397" s="75"/>
      <c r="E1397" s="75"/>
      <c r="F1397" s="75"/>
      <c r="G1397" s="75"/>
      <c r="H1397" s="75"/>
      <c r="I1397" s="75"/>
      <c r="J1397" s="75"/>
      <c r="K1397" s="75"/>
      <c r="L1397" s="75"/>
      <c r="M1397" s="75"/>
      <c r="N1397" s="75"/>
      <c r="O1397" s="75"/>
      <c r="P1397" s="75"/>
      <c r="Q1397" s="75"/>
      <c r="R1397" s="75"/>
      <c r="S1397" s="75"/>
      <c r="T1397" s="75"/>
      <c r="U1397" s="75"/>
      <c r="V1397" s="75"/>
      <c r="W1397" s="75"/>
      <c r="X1397" s="75"/>
      <c r="Y1397" s="75"/>
      <c r="Z1397" s="75"/>
      <c r="AA1397" s="75"/>
      <c r="AB1397" s="75"/>
      <c r="AC1397" s="75"/>
      <c r="AD1397" s="75"/>
      <c r="AE1397" s="75"/>
      <c r="AF1397" s="75"/>
      <c r="AG1397" s="75"/>
      <c r="AH1397" s="75"/>
      <c r="AI1397" s="75"/>
      <c r="AJ1397" s="75"/>
      <c r="AK1397" s="75"/>
      <c r="AL1397" s="75"/>
      <c r="AM1397" s="75"/>
      <c r="AN1397" s="75"/>
      <c r="AO1397" s="75"/>
      <c r="AP1397" s="75"/>
      <c r="AQ1397" s="75"/>
      <c r="AR1397" s="75"/>
      <c r="AS1397" s="75"/>
      <c r="AT1397" s="75"/>
      <c r="AU1397" s="75"/>
      <c r="AV1397" s="75"/>
      <c r="AW1397" s="75"/>
      <c r="AX1397" s="75"/>
      <c r="AY1397" s="75"/>
      <c r="AZ1397" s="75"/>
      <c r="BA1397" s="75"/>
      <c r="BB1397" s="75"/>
      <c r="BC1397" s="75"/>
      <c r="BD1397" s="75"/>
      <c r="BE1397" s="75"/>
      <c r="BF1397" s="75" t="s">
        <v>439</v>
      </c>
      <c r="BG1397" s="75"/>
      <c r="BH1397" s="75"/>
      <c r="BI1397" s="75" t="s">
        <v>439</v>
      </c>
      <c r="BJ1397" s="75"/>
      <c r="BK1397" s="75"/>
      <c r="BL1397" s="75" t="s">
        <v>439</v>
      </c>
      <c r="BM1397" s="75"/>
    </row>
    <row r="1398" spans="1:65" ht="15" customHeight="1" x14ac:dyDescent="0.2">
      <c r="A1398" s="38"/>
      <c r="B1398" s="38"/>
      <c r="C1398" s="75"/>
      <c r="D1398" s="75"/>
      <c r="E1398" s="75"/>
      <c r="F1398" s="75"/>
      <c r="G1398" s="75"/>
      <c r="H1398" s="75"/>
      <c r="I1398" s="75"/>
      <c r="J1398" s="75"/>
      <c r="K1398" s="75"/>
      <c r="L1398" s="75"/>
      <c r="M1398" s="75"/>
      <c r="N1398" s="75"/>
      <c r="O1398" s="75"/>
      <c r="P1398" s="75"/>
      <c r="Q1398" s="75"/>
      <c r="R1398" s="75"/>
      <c r="S1398" s="75"/>
      <c r="T1398" s="75"/>
      <c r="U1398" s="75"/>
      <c r="V1398" s="75"/>
      <c r="W1398" s="75"/>
      <c r="X1398" s="75"/>
      <c r="Y1398" s="75"/>
      <c r="Z1398" s="75"/>
      <c r="AA1398" s="75"/>
      <c r="AB1398" s="75"/>
      <c r="AC1398" s="75"/>
      <c r="AD1398" s="75"/>
      <c r="AE1398" s="75"/>
      <c r="AF1398" s="75"/>
      <c r="AG1398" s="75"/>
      <c r="AH1398" s="75"/>
      <c r="AI1398" s="75"/>
      <c r="AJ1398" s="75"/>
      <c r="AK1398" s="75"/>
      <c r="AL1398" s="75"/>
      <c r="AM1398" s="75"/>
      <c r="AN1398" s="75"/>
      <c r="AO1398" s="75"/>
      <c r="AP1398" s="75"/>
      <c r="AQ1398" s="75"/>
      <c r="AR1398" s="75"/>
      <c r="AS1398" s="75"/>
      <c r="AT1398" s="75"/>
      <c r="AU1398" s="75"/>
      <c r="AV1398" s="75"/>
      <c r="AW1398" s="75"/>
      <c r="AX1398" s="75"/>
      <c r="AY1398" s="75"/>
      <c r="AZ1398" s="75"/>
      <c r="BA1398" s="75"/>
      <c r="BB1398" s="75"/>
      <c r="BC1398" s="75"/>
      <c r="BD1398" s="75"/>
      <c r="BE1398" s="75"/>
      <c r="BF1398" s="75" t="s">
        <v>439</v>
      </c>
      <c r="BG1398" s="75"/>
      <c r="BH1398" s="75"/>
      <c r="BI1398" s="75" t="s">
        <v>439</v>
      </c>
      <c r="BJ1398" s="75"/>
      <c r="BK1398" s="75"/>
      <c r="BL1398" s="75" t="s">
        <v>439</v>
      </c>
      <c r="BM1398" s="75"/>
    </row>
    <row r="1399" spans="1:65" ht="15" customHeight="1" x14ac:dyDescent="0.2">
      <c r="A1399" s="38"/>
      <c r="B1399" s="38"/>
      <c r="C1399" s="75"/>
      <c r="D1399" s="75"/>
      <c r="E1399" s="75"/>
      <c r="F1399" s="75"/>
      <c r="G1399" s="75"/>
      <c r="H1399" s="75"/>
      <c r="I1399" s="75"/>
      <c r="J1399" s="75"/>
      <c r="K1399" s="75"/>
      <c r="L1399" s="75"/>
      <c r="M1399" s="75"/>
      <c r="N1399" s="75"/>
      <c r="O1399" s="75"/>
      <c r="P1399" s="75"/>
      <c r="Q1399" s="75"/>
      <c r="R1399" s="75"/>
      <c r="S1399" s="75"/>
      <c r="T1399" s="75"/>
      <c r="U1399" s="75"/>
      <c r="V1399" s="75"/>
      <c r="W1399" s="75"/>
      <c r="X1399" s="75"/>
      <c r="Y1399" s="75"/>
      <c r="Z1399" s="75"/>
      <c r="AA1399" s="75"/>
      <c r="AB1399" s="75"/>
      <c r="AC1399" s="75"/>
      <c r="AD1399" s="75"/>
      <c r="AE1399" s="75"/>
      <c r="AF1399" s="75"/>
      <c r="AG1399" s="75"/>
      <c r="AH1399" s="75"/>
      <c r="AI1399" s="75"/>
      <c r="AJ1399" s="75"/>
      <c r="AK1399" s="75"/>
      <c r="AL1399" s="75"/>
      <c r="AM1399" s="75"/>
      <c r="AN1399" s="75"/>
      <c r="AO1399" s="75"/>
      <c r="AP1399" s="75"/>
      <c r="AQ1399" s="75"/>
      <c r="AR1399" s="75"/>
      <c r="AS1399" s="75"/>
      <c r="AT1399" s="75"/>
      <c r="AU1399" s="75"/>
      <c r="AV1399" s="75"/>
      <c r="AW1399" s="75"/>
      <c r="AX1399" s="75"/>
      <c r="AY1399" s="75"/>
      <c r="AZ1399" s="75"/>
      <c r="BA1399" s="75"/>
      <c r="BB1399" s="75"/>
      <c r="BC1399" s="75"/>
      <c r="BD1399" s="75"/>
      <c r="BE1399" s="75"/>
      <c r="BF1399" s="75" t="s">
        <v>439</v>
      </c>
      <c r="BG1399" s="75"/>
      <c r="BH1399" s="75"/>
      <c r="BI1399" s="75" t="s">
        <v>439</v>
      </c>
      <c r="BJ1399" s="75"/>
      <c r="BK1399" s="75"/>
      <c r="BL1399" s="75" t="s">
        <v>439</v>
      </c>
      <c r="BM1399" s="75"/>
    </row>
    <row r="1400" spans="1:65" ht="15" customHeight="1" x14ac:dyDescent="0.2">
      <c r="A1400" s="38"/>
      <c r="B1400" s="38"/>
      <c r="C1400" s="75"/>
      <c r="D1400" s="75"/>
      <c r="E1400" s="75"/>
      <c r="F1400" s="75"/>
      <c r="G1400" s="75"/>
      <c r="H1400" s="75"/>
      <c r="I1400" s="75"/>
      <c r="J1400" s="75"/>
      <c r="K1400" s="75"/>
      <c r="L1400" s="75"/>
      <c r="M1400" s="75"/>
      <c r="N1400" s="75"/>
      <c r="O1400" s="75"/>
      <c r="P1400" s="75"/>
      <c r="Q1400" s="75"/>
      <c r="R1400" s="75"/>
      <c r="S1400" s="75"/>
      <c r="T1400" s="75"/>
      <c r="U1400" s="75"/>
      <c r="V1400" s="75"/>
      <c r="W1400" s="75"/>
      <c r="X1400" s="75"/>
      <c r="Y1400" s="75"/>
      <c r="Z1400" s="75"/>
      <c r="AA1400" s="75"/>
      <c r="AB1400" s="75"/>
      <c r="AC1400" s="75"/>
      <c r="AD1400" s="75"/>
      <c r="AE1400" s="75"/>
      <c r="AF1400" s="75"/>
      <c r="AG1400" s="75"/>
      <c r="AH1400" s="75"/>
      <c r="AI1400" s="75"/>
      <c r="AJ1400" s="75"/>
      <c r="AK1400" s="75"/>
      <c r="AL1400" s="75"/>
      <c r="AM1400" s="75"/>
      <c r="AN1400" s="75"/>
      <c r="AO1400" s="75"/>
      <c r="AP1400" s="75"/>
      <c r="AQ1400" s="75"/>
      <c r="AR1400" s="75"/>
      <c r="AS1400" s="75"/>
      <c r="AT1400" s="75"/>
      <c r="AU1400" s="75"/>
      <c r="AV1400" s="75"/>
      <c r="AW1400" s="75"/>
      <c r="AX1400" s="75"/>
      <c r="AY1400" s="75"/>
      <c r="AZ1400" s="75"/>
      <c r="BA1400" s="75"/>
      <c r="BB1400" s="75"/>
      <c r="BC1400" s="75"/>
      <c r="BD1400" s="75"/>
      <c r="BE1400" s="75"/>
      <c r="BF1400" s="75" t="s">
        <v>439</v>
      </c>
      <c r="BG1400" s="75"/>
      <c r="BH1400" s="75"/>
      <c r="BI1400" s="75" t="s">
        <v>439</v>
      </c>
      <c r="BJ1400" s="75"/>
      <c r="BK1400" s="75"/>
      <c r="BL1400" s="75" t="s">
        <v>439</v>
      </c>
      <c r="BM1400" s="75"/>
    </row>
    <row r="1401" spans="1:65" ht="15" customHeight="1" x14ac:dyDescent="0.2">
      <c r="A1401" s="38"/>
      <c r="B1401" s="38"/>
      <c r="C1401" s="75"/>
      <c r="D1401" s="75"/>
      <c r="E1401" s="75"/>
      <c r="F1401" s="75"/>
      <c r="G1401" s="75"/>
      <c r="H1401" s="75"/>
      <c r="I1401" s="75"/>
      <c r="J1401" s="75"/>
      <c r="K1401" s="75"/>
      <c r="L1401" s="75"/>
      <c r="M1401" s="75"/>
      <c r="N1401" s="75"/>
      <c r="O1401" s="75"/>
      <c r="P1401" s="75"/>
      <c r="Q1401" s="75"/>
      <c r="R1401" s="75"/>
      <c r="S1401" s="75"/>
      <c r="T1401" s="75"/>
      <c r="U1401" s="75"/>
      <c r="V1401" s="75"/>
      <c r="W1401" s="75"/>
      <c r="X1401" s="75"/>
      <c r="Y1401" s="75"/>
      <c r="Z1401" s="75"/>
      <c r="AA1401" s="75"/>
      <c r="AB1401" s="75"/>
      <c r="AC1401" s="75"/>
      <c r="AD1401" s="75"/>
      <c r="AE1401" s="75"/>
      <c r="AF1401" s="75"/>
      <c r="AG1401" s="75"/>
      <c r="AH1401" s="75"/>
      <c r="AI1401" s="75"/>
      <c r="AJ1401" s="75"/>
      <c r="AK1401" s="75"/>
      <c r="AL1401" s="75"/>
      <c r="AM1401" s="75"/>
      <c r="AN1401" s="75"/>
      <c r="AO1401" s="75"/>
      <c r="AP1401" s="75"/>
      <c r="AQ1401" s="75"/>
      <c r="AR1401" s="75"/>
      <c r="AS1401" s="75"/>
      <c r="AT1401" s="75"/>
      <c r="AU1401" s="75"/>
      <c r="AV1401" s="75"/>
      <c r="AW1401" s="75"/>
      <c r="AX1401" s="75"/>
      <c r="AY1401" s="75"/>
      <c r="AZ1401" s="75"/>
      <c r="BA1401" s="75"/>
      <c r="BB1401" s="75"/>
      <c r="BC1401" s="75"/>
      <c r="BD1401" s="75"/>
      <c r="BE1401" s="75"/>
      <c r="BF1401" s="75" t="s">
        <v>439</v>
      </c>
      <c r="BG1401" s="75"/>
      <c r="BH1401" s="75"/>
      <c r="BI1401" s="75" t="s">
        <v>439</v>
      </c>
      <c r="BJ1401" s="75"/>
      <c r="BK1401" s="75"/>
      <c r="BL1401" s="75" t="s">
        <v>439</v>
      </c>
      <c r="BM1401" s="75"/>
    </row>
    <row r="1402" spans="1:65" ht="15" customHeight="1" x14ac:dyDescent="0.2">
      <c r="A1402" s="38"/>
      <c r="B1402" s="38"/>
      <c r="C1402" s="75"/>
      <c r="D1402" s="75"/>
      <c r="E1402" s="75"/>
      <c r="F1402" s="75"/>
      <c r="G1402" s="75"/>
      <c r="H1402" s="75"/>
      <c r="I1402" s="75"/>
      <c r="J1402" s="75"/>
      <c r="K1402" s="75"/>
      <c r="L1402" s="75"/>
      <c r="M1402" s="75"/>
      <c r="N1402" s="75"/>
      <c r="O1402" s="75"/>
      <c r="P1402" s="75"/>
      <c r="Q1402" s="75"/>
      <c r="R1402" s="75"/>
      <c r="S1402" s="75"/>
      <c r="T1402" s="75"/>
      <c r="U1402" s="75"/>
      <c r="V1402" s="75"/>
      <c r="W1402" s="75"/>
      <c r="X1402" s="75"/>
      <c r="Y1402" s="75"/>
      <c r="Z1402" s="75"/>
      <c r="AA1402" s="75"/>
      <c r="AB1402" s="75"/>
      <c r="AC1402" s="75"/>
      <c r="AD1402" s="75"/>
      <c r="AE1402" s="75"/>
      <c r="AF1402" s="75"/>
      <c r="AG1402" s="75"/>
      <c r="AH1402" s="75"/>
      <c r="AI1402" s="75"/>
      <c r="AJ1402" s="75"/>
      <c r="AK1402" s="75"/>
      <c r="AL1402" s="75"/>
      <c r="AM1402" s="75"/>
      <c r="AN1402" s="75"/>
      <c r="AO1402" s="75"/>
      <c r="AP1402" s="75"/>
      <c r="AQ1402" s="75"/>
      <c r="AR1402" s="75"/>
      <c r="AS1402" s="75"/>
      <c r="AT1402" s="75"/>
      <c r="AU1402" s="75"/>
      <c r="AV1402" s="75"/>
      <c r="AW1402" s="75"/>
      <c r="AX1402" s="75"/>
      <c r="AY1402" s="75"/>
      <c r="AZ1402" s="75"/>
      <c r="BA1402" s="75"/>
      <c r="BB1402" s="75"/>
      <c r="BC1402" s="75"/>
      <c r="BD1402" s="75"/>
      <c r="BE1402" s="75"/>
      <c r="BF1402" s="75" t="s">
        <v>439</v>
      </c>
      <c r="BG1402" s="75"/>
      <c r="BH1402" s="75"/>
      <c r="BI1402" s="75" t="s">
        <v>439</v>
      </c>
      <c r="BJ1402" s="75"/>
      <c r="BK1402" s="75"/>
      <c r="BL1402" s="75" t="s">
        <v>439</v>
      </c>
      <c r="BM1402" s="75"/>
    </row>
    <row r="1403" spans="1:65" ht="15" customHeight="1" x14ac:dyDescent="0.2">
      <c r="A1403" s="38"/>
      <c r="B1403" s="38"/>
      <c r="C1403" s="75"/>
      <c r="D1403" s="75"/>
      <c r="E1403" s="75"/>
      <c r="F1403" s="75"/>
      <c r="G1403" s="75"/>
      <c r="H1403" s="75"/>
      <c r="I1403" s="75"/>
      <c r="J1403" s="75"/>
      <c r="K1403" s="75"/>
      <c r="L1403" s="75"/>
      <c r="M1403" s="75"/>
      <c r="N1403" s="75"/>
      <c r="O1403" s="75"/>
      <c r="P1403" s="75"/>
      <c r="Q1403" s="75"/>
      <c r="R1403" s="75"/>
      <c r="S1403" s="75"/>
      <c r="T1403" s="75"/>
      <c r="U1403" s="75"/>
      <c r="V1403" s="75"/>
      <c r="W1403" s="75"/>
      <c r="X1403" s="75"/>
      <c r="Y1403" s="75"/>
      <c r="Z1403" s="75"/>
      <c r="AA1403" s="75"/>
      <c r="AB1403" s="75"/>
      <c r="AC1403" s="75"/>
      <c r="AD1403" s="75"/>
      <c r="AE1403" s="75"/>
      <c r="AF1403" s="75"/>
      <c r="AG1403" s="75"/>
      <c r="AH1403" s="75"/>
      <c r="AI1403" s="75"/>
      <c r="AJ1403" s="75"/>
      <c r="AK1403" s="75"/>
      <c r="AL1403" s="75"/>
      <c r="AM1403" s="75"/>
      <c r="AN1403" s="75"/>
      <c r="AO1403" s="75"/>
      <c r="AP1403" s="75"/>
      <c r="AQ1403" s="75"/>
      <c r="AR1403" s="75"/>
      <c r="AS1403" s="75"/>
      <c r="AT1403" s="75"/>
      <c r="AU1403" s="75"/>
      <c r="AV1403" s="75"/>
      <c r="AW1403" s="75"/>
      <c r="AX1403" s="75"/>
      <c r="AY1403" s="75"/>
      <c r="AZ1403" s="75"/>
      <c r="BA1403" s="75"/>
      <c r="BB1403" s="75"/>
      <c r="BC1403" s="75"/>
      <c r="BD1403" s="75"/>
      <c r="BE1403" s="75"/>
      <c r="BF1403" s="75" t="s">
        <v>439</v>
      </c>
      <c r="BG1403" s="75"/>
      <c r="BH1403" s="75"/>
      <c r="BI1403" s="75" t="s">
        <v>439</v>
      </c>
      <c r="BJ1403" s="75"/>
      <c r="BK1403" s="75"/>
      <c r="BL1403" s="75" t="s">
        <v>439</v>
      </c>
      <c r="BM1403" s="75"/>
    </row>
    <row r="1404" spans="1:65" ht="15" customHeight="1" x14ac:dyDescent="0.2">
      <c r="A1404" s="38"/>
      <c r="B1404" s="38"/>
      <c r="C1404" s="75"/>
      <c r="D1404" s="75"/>
      <c r="E1404" s="75"/>
      <c r="F1404" s="75"/>
      <c r="G1404" s="75"/>
      <c r="H1404" s="75"/>
      <c r="I1404" s="75"/>
      <c r="J1404" s="75"/>
      <c r="K1404" s="75"/>
      <c r="L1404" s="75"/>
      <c r="M1404" s="75"/>
      <c r="N1404" s="75"/>
      <c r="O1404" s="75"/>
      <c r="P1404" s="75"/>
      <c r="Q1404" s="75"/>
      <c r="R1404" s="75"/>
      <c r="S1404" s="75"/>
      <c r="T1404" s="75"/>
      <c r="U1404" s="75"/>
      <c r="V1404" s="75"/>
      <c r="W1404" s="75"/>
      <c r="X1404" s="75"/>
      <c r="Y1404" s="75"/>
      <c r="Z1404" s="75"/>
      <c r="AA1404" s="75"/>
      <c r="AB1404" s="75"/>
      <c r="AC1404" s="75"/>
      <c r="AD1404" s="75"/>
      <c r="AE1404" s="75"/>
      <c r="AF1404" s="75"/>
      <c r="AG1404" s="75"/>
      <c r="AH1404" s="75"/>
      <c r="AI1404" s="75"/>
      <c r="AJ1404" s="75"/>
      <c r="AK1404" s="75"/>
      <c r="AL1404" s="75"/>
      <c r="AM1404" s="75"/>
      <c r="AN1404" s="75"/>
      <c r="AO1404" s="75"/>
      <c r="AP1404" s="75"/>
      <c r="AQ1404" s="75"/>
      <c r="AR1404" s="75"/>
      <c r="AS1404" s="75"/>
      <c r="AT1404" s="75"/>
      <c r="AU1404" s="75"/>
      <c r="AV1404" s="75"/>
      <c r="AW1404" s="75"/>
      <c r="AX1404" s="75"/>
      <c r="AY1404" s="75"/>
      <c r="AZ1404" s="75"/>
      <c r="BA1404" s="75"/>
      <c r="BB1404" s="75"/>
      <c r="BC1404" s="75"/>
      <c r="BD1404" s="75"/>
      <c r="BE1404" s="75"/>
      <c r="BF1404" s="75" t="s">
        <v>439</v>
      </c>
      <c r="BG1404" s="75"/>
      <c r="BH1404" s="75"/>
      <c r="BI1404" s="75" t="s">
        <v>439</v>
      </c>
      <c r="BJ1404" s="75"/>
      <c r="BK1404" s="75"/>
      <c r="BL1404" s="75" t="s">
        <v>439</v>
      </c>
      <c r="BM1404" s="75"/>
    </row>
    <row r="1405" spans="1:65" ht="15" customHeight="1" x14ac:dyDescent="0.2">
      <c r="A1405" s="38"/>
      <c r="B1405" s="38"/>
      <c r="C1405" s="75"/>
      <c r="D1405" s="75"/>
      <c r="E1405" s="75"/>
      <c r="F1405" s="75"/>
      <c r="G1405" s="75"/>
      <c r="H1405" s="75"/>
      <c r="I1405" s="75"/>
      <c r="J1405" s="75"/>
      <c r="K1405" s="75"/>
      <c r="L1405" s="75"/>
      <c r="M1405" s="75"/>
      <c r="N1405" s="75"/>
      <c r="O1405" s="75"/>
      <c r="P1405" s="75"/>
      <c r="Q1405" s="75"/>
      <c r="R1405" s="75"/>
      <c r="S1405" s="75"/>
      <c r="T1405" s="75"/>
      <c r="U1405" s="75"/>
      <c r="V1405" s="75"/>
      <c r="W1405" s="75"/>
      <c r="X1405" s="75"/>
      <c r="Y1405" s="75"/>
      <c r="Z1405" s="75"/>
      <c r="AA1405" s="75"/>
      <c r="AB1405" s="75"/>
      <c r="AC1405" s="75"/>
      <c r="AD1405" s="75"/>
      <c r="AE1405" s="75"/>
      <c r="AF1405" s="75"/>
      <c r="AG1405" s="75"/>
      <c r="AH1405" s="75"/>
      <c r="AI1405" s="75"/>
      <c r="AJ1405" s="75"/>
      <c r="AK1405" s="75"/>
      <c r="AL1405" s="75"/>
      <c r="AM1405" s="75"/>
      <c r="AN1405" s="75"/>
      <c r="AO1405" s="75"/>
      <c r="AP1405" s="75"/>
      <c r="AQ1405" s="75"/>
      <c r="AR1405" s="75"/>
      <c r="AS1405" s="75"/>
      <c r="AT1405" s="75"/>
      <c r="AU1405" s="75"/>
      <c r="AV1405" s="75"/>
      <c r="AW1405" s="75"/>
      <c r="AX1405" s="75"/>
      <c r="AY1405" s="75"/>
      <c r="AZ1405" s="75"/>
      <c r="BA1405" s="75"/>
      <c r="BB1405" s="75"/>
      <c r="BC1405" s="75"/>
      <c r="BD1405" s="75"/>
      <c r="BE1405" s="75"/>
      <c r="BF1405" s="75" t="s">
        <v>439</v>
      </c>
      <c r="BG1405" s="75"/>
      <c r="BH1405" s="75"/>
      <c r="BI1405" s="75" t="s">
        <v>439</v>
      </c>
      <c r="BJ1405" s="75"/>
      <c r="BK1405" s="75"/>
      <c r="BL1405" s="75" t="s">
        <v>439</v>
      </c>
      <c r="BM1405" s="75"/>
    </row>
    <row r="1406" spans="1:65" ht="15" customHeight="1" x14ac:dyDescent="0.2">
      <c r="A1406" s="38"/>
      <c r="B1406" s="38"/>
      <c r="C1406" s="75"/>
      <c r="D1406" s="75"/>
      <c r="E1406" s="75"/>
      <c r="F1406" s="75"/>
      <c r="G1406" s="75"/>
      <c r="H1406" s="75"/>
      <c r="I1406" s="75"/>
      <c r="J1406" s="75"/>
      <c r="K1406" s="75"/>
      <c r="L1406" s="75"/>
      <c r="M1406" s="75"/>
      <c r="N1406" s="75"/>
      <c r="O1406" s="75"/>
      <c r="P1406" s="75"/>
      <c r="Q1406" s="75"/>
      <c r="R1406" s="75"/>
      <c r="S1406" s="75"/>
      <c r="T1406" s="75"/>
      <c r="U1406" s="75"/>
      <c r="V1406" s="75"/>
      <c r="W1406" s="75"/>
      <c r="X1406" s="75"/>
      <c r="Y1406" s="75"/>
      <c r="Z1406" s="75"/>
      <c r="AA1406" s="75"/>
      <c r="AB1406" s="75"/>
      <c r="AC1406" s="75"/>
      <c r="AD1406" s="75"/>
      <c r="AE1406" s="75"/>
      <c r="AF1406" s="75"/>
      <c r="AG1406" s="75"/>
      <c r="AH1406" s="75"/>
      <c r="AI1406" s="75"/>
      <c r="AJ1406" s="75"/>
      <c r="AK1406" s="75"/>
      <c r="AL1406" s="75"/>
      <c r="AM1406" s="75"/>
      <c r="AN1406" s="75"/>
      <c r="AO1406" s="75"/>
      <c r="AP1406" s="75"/>
      <c r="AQ1406" s="75"/>
      <c r="AR1406" s="75"/>
      <c r="AS1406" s="75"/>
      <c r="AT1406" s="75"/>
      <c r="AU1406" s="75"/>
      <c r="AV1406" s="75"/>
      <c r="AW1406" s="75"/>
      <c r="AX1406" s="75"/>
      <c r="AY1406" s="75"/>
      <c r="AZ1406" s="75"/>
      <c r="BA1406" s="75"/>
      <c r="BB1406" s="75"/>
      <c r="BC1406" s="75"/>
      <c r="BD1406" s="75"/>
      <c r="BE1406" s="75"/>
      <c r="BF1406" s="75" t="s">
        <v>439</v>
      </c>
      <c r="BG1406" s="75"/>
      <c r="BH1406" s="75"/>
      <c r="BI1406" s="75" t="s">
        <v>439</v>
      </c>
      <c r="BJ1406" s="75"/>
      <c r="BK1406" s="75"/>
      <c r="BL1406" s="75" t="s">
        <v>439</v>
      </c>
      <c r="BM1406" s="75"/>
    </row>
    <row r="1407" spans="1:65" ht="15" customHeight="1" x14ac:dyDescent="0.2">
      <c r="A1407" s="38"/>
      <c r="B1407" s="38"/>
      <c r="C1407" s="75"/>
      <c r="D1407" s="75"/>
      <c r="E1407" s="75"/>
      <c r="F1407" s="75"/>
      <c r="G1407" s="75"/>
      <c r="H1407" s="75"/>
      <c r="I1407" s="75"/>
      <c r="J1407" s="75"/>
      <c r="K1407" s="75"/>
      <c r="L1407" s="75"/>
      <c r="M1407" s="75"/>
      <c r="N1407" s="75"/>
      <c r="O1407" s="75"/>
      <c r="P1407" s="75"/>
      <c r="Q1407" s="75"/>
      <c r="R1407" s="75"/>
      <c r="S1407" s="75"/>
      <c r="T1407" s="75"/>
      <c r="U1407" s="75"/>
      <c r="V1407" s="75"/>
      <c r="W1407" s="75"/>
      <c r="X1407" s="75"/>
      <c r="Y1407" s="75"/>
      <c r="Z1407" s="75"/>
      <c r="AA1407" s="75"/>
      <c r="AB1407" s="75"/>
      <c r="AC1407" s="75"/>
      <c r="AD1407" s="75"/>
      <c r="AE1407" s="75"/>
      <c r="AF1407" s="75"/>
      <c r="AG1407" s="75"/>
      <c r="AH1407" s="75"/>
      <c r="AI1407" s="75"/>
      <c r="AJ1407" s="75"/>
      <c r="AK1407" s="75"/>
      <c r="AL1407" s="75"/>
      <c r="AM1407" s="75"/>
      <c r="AN1407" s="75"/>
      <c r="AO1407" s="75"/>
      <c r="AP1407" s="75"/>
      <c r="AQ1407" s="75"/>
      <c r="AR1407" s="75"/>
      <c r="AS1407" s="75"/>
      <c r="AT1407" s="75"/>
      <c r="AU1407" s="75"/>
      <c r="AV1407" s="75"/>
      <c r="AW1407" s="75"/>
      <c r="AX1407" s="75"/>
      <c r="AY1407" s="75"/>
      <c r="AZ1407" s="75"/>
      <c r="BA1407" s="75"/>
      <c r="BB1407" s="75"/>
      <c r="BC1407" s="75"/>
      <c r="BD1407" s="75"/>
      <c r="BE1407" s="75"/>
      <c r="BF1407" s="75" t="s">
        <v>439</v>
      </c>
      <c r="BG1407" s="75"/>
      <c r="BH1407" s="75"/>
      <c r="BI1407" s="75" t="s">
        <v>439</v>
      </c>
      <c r="BJ1407" s="75"/>
      <c r="BK1407" s="75"/>
      <c r="BL1407" s="75" t="s">
        <v>439</v>
      </c>
      <c r="BM1407" s="75"/>
    </row>
    <row r="1408" spans="1:65" ht="15" customHeight="1" x14ac:dyDescent="0.2">
      <c r="A1408" s="38"/>
      <c r="B1408" s="38"/>
      <c r="C1408" s="75"/>
      <c r="D1408" s="75"/>
      <c r="E1408" s="75"/>
      <c r="F1408" s="75"/>
      <c r="G1408" s="75"/>
      <c r="H1408" s="75"/>
      <c r="I1408" s="75"/>
      <c r="J1408" s="75"/>
      <c r="K1408" s="75"/>
      <c r="L1408" s="75"/>
      <c r="M1408" s="75"/>
      <c r="N1408" s="75"/>
      <c r="O1408" s="75"/>
      <c r="P1408" s="75"/>
      <c r="Q1408" s="75"/>
      <c r="R1408" s="75"/>
      <c r="S1408" s="75"/>
      <c r="T1408" s="75"/>
      <c r="U1408" s="75"/>
      <c r="V1408" s="75"/>
      <c r="W1408" s="75"/>
      <c r="X1408" s="75"/>
      <c r="Y1408" s="75"/>
      <c r="Z1408" s="75"/>
      <c r="AA1408" s="75"/>
      <c r="AB1408" s="75"/>
      <c r="AC1408" s="75"/>
      <c r="AD1408" s="75"/>
      <c r="AE1408" s="75"/>
      <c r="AF1408" s="75"/>
      <c r="AG1408" s="75"/>
      <c r="AH1408" s="75"/>
      <c r="AI1408" s="75"/>
      <c r="AJ1408" s="75"/>
      <c r="AK1408" s="75"/>
      <c r="AL1408" s="75"/>
      <c r="AM1408" s="75"/>
      <c r="AN1408" s="75"/>
      <c r="AO1408" s="75"/>
      <c r="AP1408" s="75"/>
      <c r="AQ1408" s="75"/>
      <c r="AR1408" s="75"/>
      <c r="AS1408" s="75"/>
      <c r="AT1408" s="75"/>
      <c r="AU1408" s="75"/>
      <c r="AV1408" s="75"/>
      <c r="AW1408" s="75"/>
      <c r="AX1408" s="75"/>
      <c r="AY1408" s="75"/>
      <c r="AZ1408" s="75"/>
      <c r="BA1408" s="75"/>
      <c r="BB1408" s="75"/>
      <c r="BC1408" s="75"/>
      <c r="BD1408" s="75"/>
      <c r="BE1408" s="75"/>
      <c r="BF1408" s="75" t="s">
        <v>439</v>
      </c>
      <c r="BG1408" s="75"/>
      <c r="BH1408" s="75"/>
      <c r="BI1408" s="75" t="s">
        <v>439</v>
      </c>
      <c r="BJ1408" s="75"/>
      <c r="BK1408" s="75"/>
      <c r="BL1408" s="75" t="s">
        <v>439</v>
      </c>
      <c r="BM1408" s="75"/>
    </row>
    <row r="1409" spans="1:65" ht="15" customHeight="1" x14ac:dyDescent="0.2">
      <c r="A1409" s="38"/>
      <c r="B1409" s="38"/>
      <c r="C1409" s="75"/>
      <c r="D1409" s="75"/>
      <c r="E1409" s="75"/>
      <c r="F1409" s="75"/>
      <c r="G1409" s="75"/>
      <c r="H1409" s="75"/>
      <c r="I1409" s="75"/>
      <c r="J1409" s="75"/>
      <c r="K1409" s="75"/>
      <c r="L1409" s="75"/>
      <c r="M1409" s="75"/>
      <c r="N1409" s="75"/>
      <c r="O1409" s="75"/>
      <c r="P1409" s="75"/>
      <c r="Q1409" s="75"/>
      <c r="R1409" s="75"/>
      <c r="S1409" s="75"/>
      <c r="T1409" s="75"/>
      <c r="U1409" s="75"/>
      <c r="V1409" s="75"/>
      <c r="W1409" s="75"/>
      <c r="X1409" s="75"/>
      <c r="Y1409" s="75"/>
      <c r="Z1409" s="75"/>
      <c r="AA1409" s="75"/>
      <c r="AB1409" s="75"/>
      <c r="AC1409" s="75"/>
      <c r="AD1409" s="75"/>
      <c r="AE1409" s="75"/>
      <c r="AF1409" s="75"/>
      <c r="AG1409" s="75"/>
      <c r="AH1409" s="75"/>
      <c r="AI1409" s="75"/>
      <c r="AJ1409" s="75"/>
      <c r="AK1409" s="75"/>
      <c r="AL1409" s="75"/>
      <c r="AM1409" s="75"/>
      <c r="AN1409" s="75"/>
      <c r="AO1409" s="75"/>
      <c r="AP1409" s="75"/>
      <c r="AQ1409" s="75"/>
      <c r="AR1409" s="75"/>
      <c r="AS1409" s="75"/>
      <c r="AT1409" s="75"/>
      <c r="AU1409" s="75"/>
      <c r="AV1409" s="75"/>
      <c r="AW1409" s="75"/>
      <c r="AX1409" s="75"/>
      <c r="AY1409" s="75"/>
      <c r="AZ1409" s="75"/>
      <c r="BA1409" s="75"/>
      <c r="BB1409" s="75"/>
      <c r="BC1409" s="75"/>
      <c r="BD1409" s="75"/>
      <c r="BE1409" s="75"/>
      <c r="BF1409" s="75" t="s">
        <v>439</v>
      </c>
      <c r="BG1409" s="75"/>
      <c r="BH1409" s="75"/>
      <c r="BI1409" s="75" t="s">
        <v>439</v>
      </c>
      <c r="BJ1409" s="75"/>
      <c r="BK1409" s="75"/>
      <c r="BL1409" s="75" t="s">
        <v>439</v>
      </c>
      <c r="BM1409" s="75"/>
    </row>
    <row r="1410" spans="1:65" ht="15" customHeight="1" x14ac:dyDescent="0.2">
      <c r="A1410" s="38"/>
      <c r="B1410" s="38"/>
      <c r="C1410" s="75"/>
      <c r="D1410" s="75"/>
      <c r="E1410" s="75"/>
      <c r="F1410" s="75"/>
      <c r="G1410" s="75"/>
      <c r="H1410" s="75"/>
      <c r="I1410" s="75"/>
      <c r="J1410" s="75"/>
      <c r="K1410" s="75"/>
      <c r="L1410" s="75"/>
      <c r="M1410" s="75"/>
      <c r="N1410" s="75"/>
      <c r="O1410" s="75"/>
      <c r="P1410" s="75"/>
      <c r="Q1410" s="75"/>
      <c r="R1410" s="75"/>
      <c r="S1410" s="75"/>
      <c r="T1410" s="75"/>
      <c r="U1410" s="75"/>
      <c r="V1410" s="75"/>
      <c r="W1410" s="75"/>
      <c r="X1410" s="75"/>
      <c r="Y1410" s="75"/>
      <c r="Z1410" s="75"/>
      <c r="AA1410" s="75"/>
      <c r="AB1410" s="75"/>
      <c r="AC1410" s="75"/>
      <c r="AD1410" s="75"/>
      <c r="AE1410" s="75"/>
      <c r="AF1410" s="75"/>
      <c r="AG1410" s="75"/>
      <c r="AH1410" s="75"/>
      <c r="AI1410" s="75"/>
      <c r="AJ1410" s="75"/>
      <c r="AK1410" s="75"/>
      <c r="AL1410" s="75"/>
      <c r="AM1410" s="75"/>
      <c r="AN1410" s="75"/>
      <c r="AO1410" s="75"/>
      <c r="AP1410" s="75"/>
      <c r="AQ1410" s="75"/>
      <c r="AR1410" s="75"/>
      <c r="AS1410" s="75"/>
      <c r="AT1410" s="75"/>
      <c r="AU1410" s="75"/>
      <c r="AV1410" s="75"/>
      <c r="AW1410" s="75"/>
      <c r="AX1410" s="75"/>
      <c r="AY1410" s="75"/>
      <c r="AZ1410" s="75"/>
      <c r="BA1410" s="75"/>
      <c r="BB1410" s="75"/>
      <c r="BC1410" s="75"/>
      <c r="BD1410" s="75"/>
      <c r="BE1410" s="75"/>
      <c r="BF1410" s="75" t="s">
        <v>439</v>
      </c>
      <c r="BG1410" s="75"/>
      <c r="BH1410" s="75"/>
      <c r="BI1410" s="75" t="s">
        <v>439</v>
      </c>
      <c r="BJ1410" s="75"/>
      <c r="BK1410" s="75"/>
      <c r="BL1410" s="75" t="s">
        <v>439</v>
      </c>
      <c r="BM1410" s="75"/>
    </row>
    <row r="1411" spans="1:65" ht="15" customHeight="1" x14ac:dyDescent="0.2">
      <c r="A1411" s="38"/>
      <c r="B1411" s="38"/>
      <c r="C1411" s="75"/>
      <c r="D1411" s="75"/>
      <c r="E1411" s="75"/>
      <c r="F1411" s="75"/>
      <c r="G1411" s="75"/>
      <c r="H1411" s="75"/>
      <c r="I1411" s="75"/>
      <c r="J1411" s="75"/>
      <c r="K1411" s="75"/>
      <c r="L1411" s="75"/>
      <c r="M1411" s="75"/>
      <c r="N1411" s="75"/>
      <c r="O1411" s="75"/>
      <c r="P1411" s="75"/>
      <c r="Q1411" s="75"/>
      <c r="R1411" s="75"/>
      <c r="S1411" s="75"/>
      <c r="T1411" s="75"/>
      <c r="U1411" s="75"/>
      <c r="V1411" s="75"/>
      <c r="W1411" s="75"/>
      <c r="X1411" s="75"/>
      <c r="Y1411" s="75"/>
      <c r="Z1411" s="75"/>
      <c r="AA1411" s="75"/>
      <c r="AB1411" s="75"/>
      <c r="AC1411" s="75"/>
      <c r="AD1411" s="75"/>
      <c r="AE1411" s="75"/>
      <c r="AF1411" s="75"/>
      <c r="AG1411" s="75"/>
      <c r="AH1411" s="75"/>
      <c r="AI1411" s="75"/>
      <c r="AJ1411" s="75"/>
      <c r="AK1411" s="75"/>
      <c r="AL1411" s="75"/>
      <c r="AM1411" s="75"/>
      <c r="AN1411" s="75"/>
      <c r="AO1411" s="75"/>
      <c r="AP1411" s="75"/>
      <c r="AQ1411" s="75"/>
      <c r="AR1411" s="75"/>
      <c r="AS1411" s="75"/>
      <c r="AT1411" s="75"/>
      <c r="AU1411" s="75"/>
      <c r="AV1411" s="75"/>
      <c r="AW1411" s="75"/>
      <c r="AX1411" s="75"/>
      <c r="AY1411" s="75"/>
      <c r="AZ1411" s="75"/>
      <c r="BA1411" s="75"/>
      <c r="BB1411" s="75"/>
      <c r="BC1411" s="75"/>
      <c r="BD1411" s="75"/>
      <c r="BE1411" s="75"/>
      <c r="BF1411" s="75" t="s">
        <v>439</v>
      </c>
      <c r="BG1411" s="75"/>
      <c r="BH1411" s="75"/>
      <c r="BI1411" s="75" t="s">
        <v>439</v>
      </c>
      <c r="BJ1411" s="75"/>
      <c r="BK1411" s="75"/>
      <c r="BL1411" s="75" t="s">
        <v>439</v>
      </c>
      <c r="BM1411" s="75"/>
    </row>
    <row r="1412" spans="1:65" ht="15" customHeight="1" x14ac:dyDescent="0.2">
      <c r="A1412" s="38"/>
      <c r="B1412" s="38"/>
      <c r="C1412" s="75"/>
      <c r="D1412" s="75"/>
      <c r="E1412" s="75"/>
      <c r="F1412" s="75"/>
      <c r="G1412" s="75"/>
      <c r="H1412" s="75"/>
      <c r="I1412" s="75"/>
      <c r="J1412" s="75"/>
      <c r="K1412" s="75"/>
      <c r="L1412" s="75"/>
      <c r="M1412" s="75"/>
      <c r="N1412" s="75"/>
      <c r="O1412" s="75"/>
      <c r="P1412" s="75"/>
      <c r="Q1412" s="75"/>
      <c r="R1412" s="75"/>
      <c r="S1412" s="75"/>
      <c r="T1412" s="75"/>
      <c r="U1412" s="75"/>
      <c r="V1412" s="75"/>
      <c r="W1412" s="75"/>
      <c r="X1412" s="75"/>
      <c r="Y1412" s="75"/>
      <c r="Z1412" s="75"/>
      <c r="AA1412" s="75"/>
      <c r="AB1412" s="75"/>
      <c r="AC1412" s="75"/>
      <c r="AD1412" s="75"/>
      <c r="AE1412" s="75"/>
      <c r="AF1412" s="75"/>
      <c r="AG1412" s="75"/>
      <c r="AH1412" s="75"/>
      <c r="AI1412" s="75"/>
      <c r="AJ1412" s="75"/>
      <c r="AK1412" s="75"/>
      <c r="AL1412" s="75"/>
      <c r="AM1412" s="75"/>
      <c r="AN1412" s="75"/>
      <c r="AO1412" s="75"/>
      <c r="AP1412" s="75"/>
      <c r="AQ1412" s="75"/>
      <c r="AR1412" s="75"/>
      <c r="AS1412" s="75"/>
      <c r="AT1412" s="75"/>
      <c r="AU1412" s="75"/>
      <c r="AV1412" s="75"/>
      <c r="AW1412" s="75"/>
      <c r="AX1412" s="75"/>
      <c r="AY1412" s="75"/>
      <c r="AZ1412" s="75"/>
      <c r="BA1412" s="75"/>
      <c r="BB1412" s="75"/>
      <c r="BC1412" s="75"/>
      <c r="BD1412" s="75"/>
      <c r="BE1412" s="75"/>
      <c r="BF1412" s="75" t="s">
        <v>439</v>
      </c>
      <c r="BG1412" s="75"/>
      <c r="BH1412" s="75"/>
      <c r="BI1412" s="75" t="s">
        <v>439</v>
      </c>
      <c r="BJ1412" s="75"/>
      <c r="BK1412" s="75"/>
      <c r="BL1412" s="75" t="s">
        <v>439</v>
      </c>
      <c r="BM1412" s="75"/>
    </row>
    <row r="1413" spans="1:65" ht="15" customHeight="1" x14ac:dyDescent="0.2">
      <c r="A1413" s="38"/>
      <c r="B1413" s="38"/>
      <c r="C1413" s="75"/>
      <c r="D1413" s="75"/>
      <c r="E1413" s="75"/>
      <c r="F1413" s="75"/>
      <c r="G1413" s="75"/>
      <c r="H1413" s="75"/>
      <c r="I1413" s="75"/>
      <c r="J1413" s="75"/>
      <c r="K1413" s="75"/>
      <c r="L1413" s="75"/>
      <c r="M1413" s="75"/>
      <c r="N1413" s="75"/>
      <c r="O1413" s="75"/>
      <c r="P1413" s="75"/>
      <c r="Q1413" s="75"/>
      <c r="R1413" s="75"/>
      <c r="S1413" s="75"/>
      <c r="T1413" s="75"/>
      <c r="U1413" s="75"/>
      <c r="V1413" s="75"/>
      <c r="W1413" s="75"/>
      <c r="X1413" s="75"/>
      <c r="Y1413" s="75"/>
      <c r="Z1413" s="75"/>
      <c r="AA1413" s="75"/>
      <c r="AB1413" s="75"/>
      <c r="AC1413" s="75"/>
      <c r="AD1413" s="75"/>
      <c r="AE1413" s="75"/>
      <c r="AF1413" s="75"/>
      <c r="AG1413" s="75"/>
      <c r="AH1413" s="75"/>
      <c r="AI1413" s="75"/>
      <c r="AJ1413" s="75"/>
      <c r="AK1413" s="75"/>
      <c r="AL1413" s="75"/>
      <c r="AM1413" s="75"/>
      <c r="AN1413" s="75"/>
      <c r="AO1413" s="75"/>
      <c r="AP1413" s="75"/>
      <c r="AQ1413" s="75"/>
      <c r="AR1413" s="75"/>
      <c r="AS1413" s="75"/>
      <c r="AT1413" s="75"/>
      <c r="AU1413" s="75"/>
      <c r="AV1413" s="75"/>
      <c r="AW1413" s="75"/>
      <c r="AX1413" s="75"/>
      <c r="AY1413" s="75"/>
      <c r="AZ1413" s="75"/>
      <c r="BA1413" s="75"/>
      <c r="BB1413" s="75"/>
      <c r="BC1413" s="75"/>
      <c r="BD1413" s="75"/>
      <c r="BE1413" s="75"/>
      <c r="BF1413" s="75" t="s">
        <v>439</v>
      </c>
      <c r="BG1413" s="75"/>
      <c r="BH1413" s="75"/>
      <c r="BI1413" s="75" t="s">
        <v>439</v>
      </c>
      <c r="BJ1413" s="75"/>
      <c r="BK1413" s="75"/>
      <c r="BL1413" s="75" t="s">
        <v>439</v>
      </c>
      <c r="BM1413" s="75"/>
    </row>
    <row r="1414" spans="1:65" ht="15" customHeight="1" x14ac:dyDescent="0.2">
      <c r="A1414" s="38"/>
      <c r="B1414" s="38"/>
      <c r="C1414" s="75"/>
      <c r="D1414" s="75"/>
      <c r="E1414" s="75"/>
      <c r="F1414" s="75"/>
      <c r="G1414" s="75"/>
      <c r="H1414" s="75"/>
      <c r="I1414" s="75"/>
      <c r="J1414" s="75"/>
      <c r="K1414" s="75"/>
      <c r="L1414" s="75"/>
      <c r="M1414" s="75"/>
      <c r="N1414" s="75"/>
      <c r="O1414" s="75"/>
      <c r="P1414" s="75"/>
      <c r="Q1414" s="75"/>
      <c r="R1414" s="75"/>
      <c r="S1414" s="75"/>
      <c r="T1414" s="75"/>
      <c r="U1414" s="75"/>
      <c r="V1414" s="75"/>
      <c r="W1414" s="75"/>
      <c r="X1414" s="75"/>
      <c r="Y1414" s="75"/>
      <c r="Z1414" s="75"/>
      <c r="AA1414" s="75"/>
      <c r="AB1414" s="75"/>
      <c r="AC1414" s="75"/>
      <c r="AD1414" s="75"/>
      <c r="AE1414" s="75"/>
      <c r="AF1414" s="75"/>
      <c r="AG1414" s="75"/>
      <c r="AH1414" s="75"/>
      <c r="AI1414" s="75"/>
      <c r="AJ1414" s="75"/>
      <c r="AK1414" s="75"/>
      <c r="AL1414" s="75"/>
      <c r="AM1414" s="75"/>
      <c r="AN1414" s="75"/>
      <c r="AO1414" s="75"/>
      <c r="AP1414" s="75"/>
      <c r="AQ1414" s="75"/>
      <c r="AR1414" s="75"/>
      <c r="AS1414" s="75"/>
      <c r="AT1414" s="75"/>
      <c r="AU1414" s="75"/>
      <c r="AV1414" s="75"/>
      <c r="AW1414" s="75"/>
      <c r="AX1414" s="75"/>
      <c r="AY1414" s="75"/>
      <c r="AZ1414" s="75"/>
      <c r="BA1414" s="75"/>
      <c r="BB1414" s="75"/>
      <c r="BC1414" s="75"/>
      <c r="BD1414" s="75"/>
      <c r="BE1414" s="75"/>
      <c r="BF1414" s="75" t="s">
        <v>439</v>
      </c>
      <c r="BG1414" s="75"/>
      <c r="BH1414" s="75"/>
      <c r="BI1414" s="75" t="s">
        <v>439</v>
      </c>
      <c r="BJ1414" s="75"/>
      <c r="BK1414" s="75"/>
      <c r="BL1414" s="75" t="s">
        <v>439</v>
      </c>
      <c r="BM1414" s="75"/>
    </row>
    <row r="1415" spans="1:65" ht="15" customHeight="1" x14ac:dyDescent="0.2">
      <c r="A1415" s="38"/>
      <c r="B1415" s="38"/>
      <c r="C1415" s="75"/>
      <c r="D1415" s="75"/>
      <c r="E1415" s="75"/>
      <c r="F1415" s="75"/>
      <c r="G1415" s="75"/>
      <c r="H1415" s="75"/>
      <c r="I1415" s="75"/>
      <c r="J1415" s="75"/>
      <c r="K1415" s="75"/>
      <c r="L1415" s="75"/>
      <c r="M1415" s="75"/>
      <c r="N1415" s="75"/>
      <c r="O1415" s="75"/>
      <c r="P1415" s="75"/>
      <c r="Q1415" s="75"/>
      <c r="R1415" s="75"/>
      <c r="S1415" s="75"/>
      <c r="T1415" s="75"/>
      <c r="U1415" s="75"/>
      <c r="V1415" s="75"/>
      <c r="W1415" s="75"/>
      <c r="X1415" s="75"/>
      <c r="Y1415" s="75"/>
      <c r="Z1415" s="75"/>
      <c r="AA1415" s="75"/>
      <c r="AB1415" s="75"/>
      <c r="AC1415" s="75"/>
      <c r="AD1415" s="75"/>
      <c r="AE1415" s="75"/>
      <c r="AF1415" s="75"/>
      <c r="AG1415" s="75"/>
      <c r="AH1415" s="75"/>
      <c r="AI1415" s="75"/>
      <c r="AJ1415" s="75"/>
      <c r="AK1415" s="75"/>
      <c r="AL1415" s="75"/>
      <c r="AM1415" s="75"/>
      <c r="AN1415" s="75"/>
      <c r="AO1415" s="75"/>
      <c r="AP1415" s="75"/>
      <c r="AQ1415" s="75"/>
      <c r="AR1415" s="75"/>
      <c r="AS1415" s="75"/>
      <c r="AT1415" s="75"/>
      <c r="AU1415" s="75"/>
      <c r="AV1415" s="75"/>
      <c r="AW1415" s="75"/>
      <c r="AX1415" s="75"/>
      <c r="AY1415" s="75"/>
      <c r="AZ1415" s="75"/>
      <c r="BA1415" s="75"/>
      <c r="BB1415" s="75"/>
      <c r="BC1415" s="75"/>
      <c r="BD1415" s="75"/>
      <c r="BE1415" s="75"/>
      <c r="BF1415" s="75" t="s">
        <v>439</v>
      </c>
      <c r="BG1415" s="75"/>
      <c r="BH1415" s="75"/>
      <c r="BI1415" s="75" t="s">
        <v>439</v>
      </c>
      <c r="BJ1415" s="75"/>
      <c r="BK1415" s="75"/>
      <c r="BL1415" s="75" t="s">
        <v>439</v>
      </c>
      <c r="BM1415" s="75"/>
    </row>
    <row r="1416" spans="1:65" ht="15" customHeight="1" x14ac:dyDescent="0.2">
      <c r="A1416" s="38"/>
      <c r="B1416" s="38"/>
      <c r="C1416" s="75"/>
      <c r="D1416" s="75"/>
      <c r="E1416" s="75"/>
      <c r="F1416" s="75"/>
      <c r="G1416" s="75"/>
      <c r="H1416" s="75"/>
      <c r="I1416" s="75"/>
      <c r="J1416" s="75"/>
      <c r="K1416" s="75"/>
      <c r="L1416" s="75"/>
      <c r="M1416" s="75"/>
      <c r="N1416" s="75"/>
      <c r="O1416" s="75"/>
      <c r="P1416" s="75"/>
      <c r="Q1416" s="75"/>
      <c r="R1416" s="75"/>
      <c r="S1416" s="75"/>
      <c r="T1416" s="75"/>
      <c r="U1416" s="75"/>
      <c r="V1416" s="75"/>
      <c r="W1416" s="75"/>
      <c r="X1416" s="75"/>
      <c r="Y1416" s="75"/>
      <c r="Z1416" s="75"/>
      <c r="AA1416" s="75"/>
      <c r="AB1416" s="75"/>
      <c r="AC1416" s="75"/>
      <c r="AD1416" s="75"/>
      <c r="AE1416" s="75"/>
      <c r="AF1416" s="75"/>
      <c r="AG1416" s="75"/>
      <c r="AH1416" s="75"/>
      <c r="AI1416" s="75"/>
      <c r="AJ1416" s="75"/>
      <c r="AK1416" s="75"/>
      <c r="AL1416" s="75"/>
      <c r="AM1416" s="75"/>
      <c r="AN1416" s="75"/>
      <c r="AO1416" s="75"/>
      <c r="AP1416" s="75"/>
      <c r="AQ1416" s="75"/>
      <c r="AR1416" s="75"/>
      <c r="AS1416" s="75"/>
      <c r="AT1416" s="75"/>
      <c r="AU1416" s="75"/>
      <c r="AV1416" s="75"/>
      <c r="AW1416" s="75"/>
      <c r="AX1416" s="75"/>
      <c r="AY1416" s="75"/>
      <c r="AZ1416" s="75"/>
      <c r="BA1416" s="75"/>
      <c r="BB1416" s="75"/>
      <c r="BC1416" s="75"/>
      <c r="BD1416" s="75"/>
      <c r="BE1416" s="75"/>
      <c r="BF1416" s="75" t="s">
        <v>439</v>
      </c>
      <c r="BG1416" s="75"/>
      <c r="BH1416" s="75"/>
      <c r="BI1416" s="75" t="s">
        <v>439</v>
      </c>
      <c r="BJ1416" s="75"/>
      <c r="BK1416" s="75"/>
      <c r="BL1416" s="75" t="s">
        <v>439</v>
      </c>
      <c r="BM1416" s="75"/>
    </row>
    <row r="1417" spans="1:65" ht="15" customHeight="1" x14ac:dyDescent="0.2">
      <c r="A1417" s="38"/>
      <c r="B1417" s="38"/>
      <c r="C1417" s="75"/>
      <c r="D1417" s="75"/>
      <c r="E1417" s="75"/>
      <c r="F1417" s="75"/>
      <c r="G1417" s="75"/>
      <c r="H1417" s="75"/>
      <c r="I1417" s="75"/>
      <c r="J1417" s="75"/>
      <c r="K1417" s="75"/>
      <c r="L1417" s="75"/>
      <c r="M1417" s="75"/>
      <c r="N1417" s="75"/>
      <c r="O1417" s="75"/>
      <c r="P1417" s="75"/>
      <c r="Q1417" s="75"/>
      <c r="R1417" s="75"/>
      <c r="S1417" s="75"/>
      <c r="T1417" s="75"/>
      <c r="U1417" s="75"/>
      <c r="V1417" s="75"/>
      <c r="W1417" s="75"/>
      <c r="X1417" s="75"/>
      <c r="Y1417" s="75"/>
      <c r="Z1417" s="75"/>
      <c r="AA1417" s="75"/>
      <c r="AB1417" s="75"/>
      <c r="AC1417" s="75"/>
      <c r="AD1417" s="75"/>
      <c r="AE1417" s="75"/>
      <c r="AF1417" s="75"/>
      <c r="AG1417" s="75"/>
      <c r="AH1417" s="75"/>
      <c r="AI1417" s="75"/>
      <c r="AJ1417" s="75"/>
      <c r="AK1417" s="75"/>
      <c r="AL1417" s="75"/>
      <c r="AM1417" s="75"/>
      <c r="AN1417" s="75"/>
      <c r="AO1417" s="75"/>
      <c r="AP1417" s="75"/>
      <c r="AQ1417" s="75"/>
      <c r="AR1417" s="75"/>
      <c r="AS1417" s="75"/>
      <c r="AT1417" s="75"/>
      <c r="AU1417" s="75"/>
      <c r="AV1417" s="75"/>
      <c r="AW1417" s="75"/>
      <c r="AX1417" s="75"/>
      <c r="AY1417" s="75"/>
      <c r="AZ1417" s="75"/>
      <c r="BA1417" s="75"/>
      <c r="BB1417" s="75"/>
      <c r="BC1417" s="75"/>
      <c r="BD1417" s="75"/>
      <c r="BE1417" s="75"/>
      <c r="BF1417" s="75" t="s">
        <v>439</v>
      </c>
      <c r="BG1417" s="75"/>
      <c r="BH1417" s="75"/>
      <c r="BI1417" s="75" t="s">
        <v>439</v>
      </c>
      <c r="BJ1417" s="75"/>
      <c r="BK1417" s="75"/>
      <c r="BL1417" s="75" t="s">
        <v>439</v>
      </c>
      <c r="BM1417" s="75"/>
    </row>
    <row r="1418" spans="1:65" ht="15" customHeight="1" x14ac:dyDescent="0.2">
      <c r="A1418" s="38"/>
      <c r="B1418" s="38"/>
      <c r="C1418" s="75"/>
      <c r="D1418" s="75"/>
      <c r="E1418" s="75"/>
      <c r="F1418" s="75"/>
      <c r="G1418" s="75"/>
      <c r="H1418" s="75"/>
      <c r="I1418" s="75"/>
      <c r="J1418" s="75"/>
      <c r="K1418" s="75"/>
      <c r="L1418" s="75"/>
      <c r="M1418" s="75"/>
      <c r="N1418" s="75"/>
      <c r="O1418" s="75"/>
      <c r="P1418" s="75"/>
      <c r="Q1418" s="75"/>
      <c r="R1418" s="75"/>
      <c r="S1418" s="75"/>
      <c r="T1418" s="75"/>
      <c r="U1418" s="75"/>
      <c r="V1418" s="75"/>
      <c r="W1418" s="75"/>
      <c r="X1418" s="75"/>
      <c r="Y1418" s="75"/>
      <c r="Z1418" s="75"/>
      <c r="AA1418" s="75"/>
      <c r="AB1418" s="75"/>
      <c r="AC1418" s="75"/>
      <c r="AD1418" s="75"/>
      <c r="AE1418" s="75"/>
      <c r="AF1418" s="75"/>
      <c r="AG1418" s="75"/>
      <c r="AH1418" s="75"/>
      <c r="AI1418" s="75"/>
      <c r="AJ1418" s="75"/>
      <c r="AK1418" s="75"/>
      <c r="AL1418" s="75"/>
      <c r="AM1418" s="75"/>
      <c r="AN1418" s="75"/>
      <c r="AO1418" s="75"/>
      <c r="AP1418" s="75"/>
      <c r="AQ1418" s="75"/>
      <c r="AR1418" s="75"/>
      <c r="AS1418" s="75"/>
      <c r="AT1418" s="75"/>
      <c r="AU1418" s="75"/>
      <c r="AV1418" s="75"/>
      <c r="AW1418" s="75"/>
      <c r="AX1418" s="75"/>
      <c r="AY1418" s="75"/>
      <c r="AZ1418" s="75"/>
      <c r="BA1418" s="75"/>
      <c r="BB1418" s="75"/>
      <c r="BC1418" s="75"/>
      <c r="BD1418" s="75"/>
      <c r="BE1418" s="75"/>
      <c r="BF1418" s="75" t="s">
        <v>439</v>
      </c>
      <c r="BG1418" s="75"/>
      <c r="BH1418" s="75"/>
      <c r="BI1418" s="75" t="s">
        <v>439</v>
      </c>
      <c r="BJ1418" s="75"/>
      <c r="BK1418" s="75"/>
      <c r="BL1418" s="75" t="s">
        <v>439</v>
      </c>
      <c r="BM1418" s="75"/>
    </row>
    <row r="1419" spans="1:65" ht="15" customHeight="1" x14ac:dyDescent="0.2">
      <c r="A1419" s="38"/>
      <c r="B1419" s="38"/>
      <c r="C1419" s="75"/>
      <c r="D1419" s="75"/>
      <c r="E1419" s="75"/>
      <c r="F1419" s="75"/>
      <c r="G1419" s="75"/>
      <c r="H1419" s="75"/>
      <c r="I1419" s="75"/>
      <c r="J1419" s="75"/>
      <c r="K1419" s="75"/>
      <c r="L1419" s="75"/>
      <c r="M1419" s="75"/>
      <c r="N1419" s="75"/>
      <c r="O1419" s="75"/>
      <c r="P1419" s="75"/>
      <c r="Q1419" s="75"/>
      <c r="R1419" s="75"/>
      <c r="S1419" s="75"/>
      <c r="T1419" s="75"/>
      <c r="U1419" s="75"/>
      <c r="V1419" s="75"/>
      <c r="W1419" s="75"/>
      <c r="X1419" s="75"/>
      <c r="Y1419" s="75"/>
      <c r="Z1419" s="75"/>
      <c r="AA1419" s="75"/>
      <c r="AB1419" s="75"/>
      <c r="AC1419" s="75"/>
      <c r="AD1419" s="75"/>
      <c r="AE1419" s="75"/>
      <c r="AF1419" s="75"/>
      <c r="AG1419" s="75"/>
      <c r="AH1419" s="75"/>
      <c r="AI1419" s="75"/>
      <c r="AJ1419" s="75"/>
      <c r="AK1419" s="75"/>
      <c r="AL1419" s="75"/>
      <c r="AM1419" s="75"/>
      <c r="AN1419" s="75"/>
      <c r="AO1419" s="75"/>
      <c r="AP1419" s="75"/>
      <c r="AQ1419" s="75"/>
      <c r="AR1419" s="75"/>
      <c r="AS1419" s="75"/>
      <c r="AT1419" s="75"/>
      <c r="AU1419" s="75"/>
      <c r="AV1419" s="75"/>
      <c r="AW1419" s="75"/>
      <c r="AX1419" s="75"/>
      <c r="AY1419" s="75"/>
      <c r="AZ1419" s="75"/>
      <c r="BA1419" s="75"/>
      <c r="BB1419" s="75"/>
      <c r="BC1419" s="75"/>
      <c r="BD1419" s="75"/>
      <c r="BE1419" s="75"/>
      <c r="BF1419" s="75" t="s">
        <v>439</v>
      </c>
      <c r="BG1419" s="75"/>
      <c r="BH1419" s="75"/>
      <c r="BI1419" s="75" t="s">
        <v>439</v>
      </c>
      <c r="BJ1419" s="75"/>
      <c r="BK1419" s="75"/>
      <c r="BL1419" s="75" t="s">
        <v>439</v>
      </c>
      <c r="BM1419" s="75"/>
    </row>
    <row r="1420" spans="1:65" ht="15" customHeight="1" x14ac:dyDescent="0.2">
      <c r="A1420" s="38"/>
      <c r="B1420" s="38"/>
      <c r="C1420" s="75"/>
      <c r="D1420" s="75"/>
      <c r="E1420" s="75"/>
      <c r="F1420" s="75"/>
      <c r="G1420" s="75"/>
      <c r="H1420" s="75"/>
      <c r="I1420" s="75"/>
      <c r="J1420" s="75"/>
      <c r="K1420" s="75"/>
      <c r="L1420" s="75"/>
      <c r="M1420" s="75"/>
      <c r="N1420" s="75"/>
      <c r="O1420" s="75"/>
      <c r="P1420" s="75"/>
      <c r="Q1420" s="75"/>
      <c r="R1420" s="75"/>
      <c r="S1420" s="75"/>
      <c r="T1420" s="75"/>
      <c r="U1420" s="75"/>
      <c r="V1420" s="75"/>
      <c r="W1420" s="75"/>
      <c r="X1420" s="75"/>
      <c r="Y1420" s="75"/>
      <c r="Z1420" s="75"/>
      <c r="AA1420" s="75"/>
      <c r="AB1420" s="75"/>
      <c r="AC1420" s="75"/>
      <c r="AD1420" s="75"/>
      <c r="AE1420" s="75"/>
      <c r="AF1420" s="75"/>
      <c r="AG1420" s="75"/>
      <c r="AH1420" s="75"/>
      <c r="AI1420" s="75"/>
      <c r="AJ1420" s="75"/>
      <c r="AK1420" s="75"/>
      <c r="AL1420" s="75"/>
      <c r="AM1420" s="75"/>
      <c r="AN1420" s="75"/>
      <c r="AO1420" s="75"/>
      <c r="AP1420" s="75"/>
      <c r="AQ1420" s="75"/>
      <c r="AR1420" s="75"/>
      <c r="AS1420" s="75"/>
      <c r="AT1420" s="75"/>
      <c r="AU1420" s="75"/>
      <c r="AV1420" s="75"/>
      <c r="AW1420" s="75"/>
      <c r="AX1420" s="75"/>
      <c r="AY1420" s="75"/>
      <c r="AZ1420" s="75"/>
      <c r="BA1420" s="75"/>
      <c r="BB1420" s="75"/>
      <c r="BC1420" s="75"/>
      <c r="BD1420" s="75"/>
      <c r="BE1420" s="75"/>
      <c r="BF1420" s="75" t="s">
        <v>439</v>
      </c>
      <c r="BG1420" s="75"/>
      <c r="BH1420" s="75"/>
      <c r="BI1420" s="75" t="s">
        <v>439</v>
      </c>
      <c r="BJ1420" s="75"/>
      <c r="BK1420" s="75"/>
      <c r="BL1420" s="75" t="s">
        <v>439</v>
      </c>
      <c r="BM1420" s="75"/>
    </row>
    <row r="1421" spans="1:65" ht="15" customHeight="1" x14ac:dyDescent="0.2">
      <c r="A1421" s="38"/>
      <c r="B1421" s="38"/>
      <c r="C1421" s="75"/>
      <c r="D1421" s="75"/>
      <c r="E1421" s="75"/>
      <c r="F1421" s="75"/>
      <c r="G1421" s="75"/>
      <c r="H1421" s="75"/>
      <c r="I1421" s="75"/>
      <c r="J1421" s="75"/>
      <c r="K1421" s="75"/>
      <c r="L1421" s="75"/>
      <c r="M1421" s="75"/>
      <c r="N1421" s="75"/>
      <c r="O1421" s="75"/>
      <c r="P1421" s="75"/>
      <c r="Q1421" s="75"/>
      <c r="R1421" s="75"/>
      <c r="S1421" s="75"/>
      <c r="T1421" s="75"/>
      <c r="U1421" s="75"/>
      <c r="V1421" s="75"/>
      <c r="W1421" s="75"/>
      <c r="X1421" s="75"/>
      <c r="Y1421" s="75"/>
      <c r="Z1421" s="75"/>
      <c r="AA1421" s="75"/>
      <c r="AB1421" s="75"/>
      <c r="AC1421" s="75"/>
      <c r="AD1421" s="75"/>
      <c r="AE1421" s="75"/>
      <c r="AF1421" s="75"/>
      <c r="AG1421" s="75"/>
      <c r="AH1421" s="75"/>
      <c r="AI1421" s="75"/>
      <c r="AJ1421" s="75"/>
      <c r="AK1421" s="75"/>
      <c r="AL1421" s="75"/>
      <c r="AM1421" s="75"/>
      <c r="AN1421" s="75"/>
      <c r="AO1421" s="75"/>
      <c r="AP1421" s="75"/>
      <c r="AQ1421" s="75"/>
      <c r="AR1421" s="75"/>
      <c r="AS1421" s="75"/>
      <c r="AT1421" s="75"/>
      <c r="AU1421" s="75"/>
      <c r="AV1421" s="75"/>
      <c r="AW1421" s="75"/>
      <c r="AX1421" s="75"/>
      <c r="AY1421" s="75"/>
      <c r="AZ1421" s="75"/>
      <c r="BA1421" s="75"/>
      <c r="BB1421" s="75"/>
      <c r="BC1421" s="75"/>
      <c r="BD1421" s="75"/>
      <c r="BE1421" s="75"/>
      <c r="BF1421" s="75" t="s">
        <v>439</v>
      </c>
      <c r="BG1421" s="75"/>
      <c r="BH1421" s="75"/>
      <c r="BI1421" s="75" t="s">
        <v>439</v>
      </c>
      <c r="BJ1421" s="75"/>
      <c r="BK1421" s="75"/>
      <c r="BL1421" s="75" t="s">
        <v>439</v>
      </c>
      <c r="BM1421" s="75"/>
    </row>
    <row r="1422" spans="1:65" ht="15" customHeight="1" x14ac:dyDescent="0.2">
      <c r="A1422" s="38"/>
      <c r="B1422" s="38"/>
      <c r="C1422" s="75"/>
      <c r="D1422" s="75"/>
      <c r="E1422" s="75"/>
      <c r="F1422" s="75"/>
      <c r="G1422" s="75"/>
      <c r="H1422" s="75"/>
      <c r="I1422" s="75"/>
      <c r="J1422" s="75"/>
      <c r="K1422" s="75"/>
      <c r="L1422" s="75"/>
      <c r="M1422" s="75"/>
      <c r="N1422" s="75"/>
      <c r="O1422" s="75"/>
      <c r="P1422" s="75"/>
      <c r="Q1422" s="75"/>
      <c r="R1422" s="75"/>
      <c r="S1422" s="75"/>
      <c r="T1422" s="75"/>
      <c r="U1422" s="75"/>
      <c r="V1422" s="75"/>
      <c r="W1422" s="75"/>
      <c r="X1422" s="75"/>
      <c r="Y1422" s="75"/>
      <c r="Z1422" s="75"/>
      <c r="AA1422" s="75"/>
      <c r="AB1422" s="75"/>
      <c r="AC1422" s="75"/>
      <c r="AD1422" s="75"/>
      <c r="AE1422" s="75"/>
      <c r="AF1422" s="75"/>
      <c r="AG1422" s="75"/>
      <c r="AH1422" s="75"/>
      <c r="AI1422" s="75"/>
      <c r="AJ1422" s="75"/>
      <c r="AK1422" s="75"/>
      <c r="AL1422" s="75"/>
      <c r="AM1422" s="75"/>
      <c r="AN1422" s="75"/>
      <c r="AO1422" s="75"/>
      <c r="AP1422" s="75"/>
      <c r="AQ1422" s="75"/>
      <c r="AR1422" s="75"/>
      <c r="AS1422" s="75"/>
      <c r="AT1422" s="75"/>
      <c r="AU1422" s="75"/>
      <c r="AV1422" s="75"/>
      <c r="AW1422" s="75"/>
      <c r="AX1422" s="75"/>
      <c r="AY1422" s="75"/>
      <c r="AZ1422" s="75"/>
      <c r="BA1422" s="75"/>
      <c r="BB1422" s="75"/>
      <c r="BC1422" s="75"/>
      <c r="BD1422" s="75"/>
      <c r="BE1422" s="75"/>
      <c r="BF1422" s="75" t="s">
        <v>439</v>
      </c>
      <c r="BG1422" s="75"/>
      <c r="BH1422" s="75"/>
      <c r="BI1422" s="75" t="s">
        <v>439</v>
      </c>
      <c r="BJ1422" s="75"/>
      <c r="BK1422" s="75"/>
      <c r="BL1422" s="75" t="s">
        <v>439</v>
      </c>
      <c r="BM1422" s="75"/>
    </row>
    <row r="1423" spans="1:65" ht="15" customHeight="1" x14ac:dyDescent="0.2">
      <c r="A1423" s="38"/>
      <c r="B1423" s="38"/>
      <c r="C1423" s="75"/>
      <c r="D1423" s="75"/>
      <c r="E1423" s="75"/>
      <c r="F1423" s="75"/>
      <c r="G1423" s="75"/>
      <c r="H1423" s="75"/>
      <c r="I1423" s="75"/>
      <c r="J1423" s="75"/>
      <c r="K1423" s="75"/>
      <c r="L1423" s="75"/>
      <c r="M1423" s="75"/>
      <c r="N1423" s="75"/>
      <c r="O1423" s="75"/>
      <c r="P1423" s="75"/>
      <c r="Q1423" s="75"/>
      <c r="R1423" s="75"/>
      <c r="S1423" s="75"/>
      <c r="T1423" s="75"/>
      <c r="U1423" s="75"/>
      <c r="V1423" s="75"/>
      <c r="W1423" s="75"/>
      <c r="X1423" s="75"/>
      <c r="Y1423" s="75"/>
      <c r="Z1423" s="75"/>
      <c r="AA1423" s="75"/>
      <c r="AB1423" s="75"/>
      <c r="AC1423" s="75"/>
      <c r="AD1423" s="75"/>
      <c r="AE1423" s="75"/>
      <c r="AF1423" s="75"/>
      <c r="AG1423" s="75"/>
      <c r="AH1423" s="75"/>
      <c r="AI1423" s="75"/>
      <c r="AJ1423" s="75"/>
      <c r="AK1423" s="75"/>
      <c r="AL1423" s="75"/>
      <c r="AM1423" s="75"/>
      <c r="AN1423" s="75"/>
      <c r="AO1423" s="75"/>
      <c r="AP1423" s="75"/>
      <c r="AQ1423" s="75"/>
      <c r="AR1423" s="75"/>
      <c r="AS1423" s="75"/>
      <c r="AT1423" s="75"/>
      <c r="AU1423" s="75"/>
      <c r="AV1423" s="75"/>
      <c r="AW1423" s="75"/>
      <c r="AX1423" s="75"/>
      <c r="AY1423" s="75"/>
      <c r="AZ1423" s="75"/>
      <c r="BA1423" s="75"/>
      <c r="BB1423" s="75"/>
      <c r="BC1423" s="75"/>
      <c r="BD1423" s="75"/>
      <c r="BE1423" s="75"/>
      <c r="BF1423" s="75" t="s">
        <v>439</v>
      </c>
      <c r="BG1423" s="75"/>
      <c r="BH1423" s="75"/>
      <c r="BI1423" s="75" t="s">
        <v>439</v>
      </c>
      <c r="BJ1423" s="75"/>
      <c r="BK1423" s="75"/>
      <c r="BL1423" s="75" t="s">
        <v>439</v>
      </c>
      <c r="BM1423" s="75"/>
    </row>
    <row r="1424" spans="1:65" ht="15" customHeight="1" x14ac:dyDescent="0.2">
      <c r="A1424" s="38"/>
      <c r="B1424" s="38"/>
      <c r="C1424" s="75"/>
      <c r="D1424" s="75"/>
      <c r="E1424" s="75"/>
      <c r="F1424" s="75"/>
      <c r="G1424" s="75"/>
      <c r="H1424" s="75"/>
      <c r="I1424" s="75"/>
      <c r="J1424" s="75"/>
      <c r="K1424" s="75"/>
      <c r="L1424" s="75"/>
      <c r="M1424" s="75"/>
      <c r="N1424" s="75"/>
      <c r="O1424" s="75"/>
      <c r="P1424" s="75"/>
      <c r="Q1424" s="75"/>
      <c r="R1424" s="75"/>
      <c r="S1424" s="75"/>
      <c r="T1424" s="75"/>
      <c r="U1424" s="75"/>
      <c r="V1424" s="75"/>
      <c r="W1424" s="75"/>
      <c r="X1424" s="75"/>
      <c r="Y1424" s="75"/>
      <c r="Z1424" s="75"/>
      <c r="AA1424" s="75"/>
      <c r="AB1424" s="75"/>
      <c r="AC1424" s="75"/>
      <c r="AD1424" s="75"/>
      <c r="AE1424" s="75"/>
      <c r="AF1424" s="75"/>
      <c r="AG1424" s="75"/>
      <c r="AH1424" s="75"/>
      <c r="AI1424" s="75"/>
      <c r="AJ1424" s="75"/>
      <c r="AK1424" s="75"/>
      <c r="AL1424" s="75"/>
      <c r="AM1424" s="75"/>
      <c r="AN1424" s="75"/>
      <c r="AO1424" s="75"/>
      <c r="AP1424" s="75"/>
      <c r="AQ1424" s="75"/>
      <c r="AR1424" s="75"/>
      <c r="AS1424" s="75"/>
      <c r="AT1424" s="75"/>
      <c r="AU1424" s="75"/>
      <c r="AV1424" s="75"/>
      <c r="AW1424" s="75"/>
      <c r="AX1424" s="75"/>
      <c r="AY1424" s="75"/>
      <c r="AZ1424" s="75"/>
      <c r="BA1424" s="75"/>
      <c r="BB1424" s="75"/>
      <c r="BC1424" s="75"/>
      <c r="BD1424" s="75"/>
      <c r="BE1424" s="75"/>
      <c r="BF1424" s="75" t="s">
        <v>439</v>
      </c>
      <c r="BG1424" s="75"/>
      <c r="BH1424" s="75"/>
      <c r="BI1424" s="75" t="s">
        <v>439</v>
      </c>
      <c r="BJ1424" s="75"/>
      <c r="BK1424" s="75"/>
      <c r="BL1424" s="75" t="s">
        <v>439</v>
      </c>
      <c r="BM1424" s="75"/>
    </row>
    <row r="1425" spans="1:65" ht="15" customHeight="1" x14ac:dyDescent="0.2">
      <c r="A1425" s="38"/>
      <c r="B1425" s="38"/>
      <c r="C1425" s="75"/>
      <c r="D1425" s="75"/>
      <c r="E1425" s="75"/>
      <c r="F1425" s="75"/>
      <c r="G1425" s="75"/>
      <c r="H1425" s="75"/>
      <c r="I1425" s="75"/>
      <c r="J1425" s="75"/>
      <c r="K1425" s="75"/>
      <c r="L1425" s="75"/>
      <c r="M1425" s="75"/>
      <c r="N1425" s="75"/>
      <c r="O1425" s="75"/>
      <c r="P1425" s="75"/>
      <c r="Q1425" s="75"/>
      <c r="R1425" s="75"/>
      <c r="S1425" s="75"/>
      <c r="T1425" s="75"/>
      <c r="U1425" s="75"/>
      <c r="V1425" s="75"/>
      <c r="W1425" s="75"/>
      <c r="X1425" s="75"/>
      <c r="Y1425" s="75"/>
      <c r="Z1425" s="75"/>
      <c r="AA1425" s="75"/>
      <c r="AB1425" s="75"/>
      <c r="AC1425" s="75"/>
      <c r="AD1425" s="75"/>
      <c r="AE1425" s="75"/>
      <c r="AF1425" s="75"/>
      <c r="AG1425" s="75"/>
      <c r="AH1425" s="75"/>
      <c r="AI1425" s="75"/>
      <c r="AJ1425" s="75"/>
      <c r="AK1425" s="75"/>
      <c r="AL1425" s="75"/>
      <c r="AM1425" s="75"/>
      <c r="AN1425" s="75"/>
      <c r="AO1425" s="75"/>
      <c r="AP1425" s="75"/>
      <c r="AQ1425" s="75"/>
      <c r="AR1425" s="75"/>
      <c r="AS1425" s="75"/>
      <c r="AT1425" s="75"/>
      <c r="AU1425" s="75"/>
      <c r="AV1425" s="75"/>
      <c r="AW1425" s="75"/>
      <c r="AX1425" s="75"/>
      <c r="AY1425" s="75"/>
      <c r="AZ1425" s="75"/>
      <c r="BA1425" s="75"/>
      <c r="BB1425" s="75"/>
      <c r="BC1425" s="75"/>
      <c r="BD1425" s="75"/>
      <c r="BE1425" s="75"/>
      <c r="BF1425" s="75" t="s">
        <v>439</v>
      </c>
      <c r="BG1425" s="75"/>
      <c r="BH1425" s="75"/>
      <c r="BI1425" s="75" t="s">
        <v>439</v>
      </c>
      <c r="BJ1425" s="75"/>
      <c r="BK1425" s="75"/>
      <c r="BL1425" s="75" t="s">
        <v>439</v>
      </c>
      <c r="BM1425" s="75"/>
    </row>
    <row r="1426" spans="1:65" ht="15" customHeight="1" x14ac:dyDescent="0.2">
      <c r="A1426" s="38"/>
      <c r="B1426" s="38"/>
      <c r="C1426" s="75"/>
      <c r="D1426" s="75"/>
      <c r="E1426" s="75"/>
      <c r="F1426" s="75"/>
      <c r="G1426" s="75"/>
      <c r="H1426" s="75"/>
      <c r="I1426" s="75"/>
      <c r="J1426" s="75"/>
      <c r="K1426" s="75"/>
      <c r="L1426" s="75"/>
      <c r="M1426" s="75"/>
      <c r="N1426" s="75"/>
      <c r="O1426" s="75"/>
      <c r="P1426" s="75"/>
      <c r="Q1426" s="75"/>
      <c r="R1426" s="75"/>
      <c r="S1426" s="75"/>
      <c r="T1426" s="75"/>
      <c r="U1426" s="75"/>
      <c r="V1426" s="75"/>
      <c r="W1426" s="75"/>
      <c r="X1426" s="75"/>
      <c r="Y1426" s="75"/>
      <c r="Z1426" s="75"/>
      <c r="AA1426" s="75"/>
      <c r="AB1426" s="75"/>
      <c r="AC1426" s="75"/>
      <c r="AD1426" s="75"/>
      <c r="AE1426" s="75"/>
      <c r="AF1426" s="75"/>
      <c r="AG1426" s="75"/>
      <c r="AH1426" s="75"/>
      <c r="AI1426" s="75"/>
      <c r="AJ1426" s="75"/>
      <c r="AK1426" s="75"/>
      <c r="AL1426" s="75"/>
      <c r="AM1426" s="75"/>
      <c r="AN1426" s="75"/>
      <c r="AO1426" s="75"/>
      <c r="AP1426" s="75"/>
      <c r="AQ1426" s="75"/>
      <c r="AR1426" s="75"/>
      <c r="AS1426" s="75"/>
      <c r="AT1426" s="75"/>
      <c r="AU1426" s="75"/>
      <c r="AV1426" s="75"/>
      <c r="AW1426" s="75"/>
      <c r="AX1426" s="75"/>
      <c r="AY1426" s="75"/>
      <c r="AZ1426" s="75"/>
      <c r="BA1426" s="75"/>
      <c r="BB1426" s="75"/>
      <c r="BC1426" s="75"/>
      <c r="BD1426" s="75"/>
      <c r="BE1426" s="75"/>
      <c r="BF1426" s="75" t="s">
        <v>439</v>
      </c>
      <c r="BG1426" s="75"/>
      <c r="BH1426" s="75"/>
      <c r="BI1426" s="75" t="s">
        <v>439</v>
      </c>
      <c r="BJ1426" s="75"/>
      <c r="BK1426" s="75"/>
      <c r="BL1426" s="75" t="s">
        <v>439</v>
      </c>
      <c r="BM1426" s="75"/>
    </row>
    <row r="1427" spans="1:65" ht="15" customHeight="1" x14ac:dyDescent="0.2">
      <c r="A1427" s="38"/>
      <c r="B1427" s="38"/>
      <c r="C1427" s="75"/>
      <c r="D1427" s="75"/>
      <c r="E1427" s="75"/>
      <c r="F1427" s="75"/>
      <c r="G1427" s="75"/>
      <c r="H1427" s="75"/>
      <c r="I1427" s="75"/>
      <c r="J1427" s="75"/>
      <c r="K1427" s="75"/>
      <c r="L1427" s="75"/>
      <c r="M1427" s="75"/>
      <c r="N1427" s="75"/>
      <c r="O1427" s="75"/>
      <c r="P1427" s="75"/>
      <c r="Q1427" s="75"/>
      <c r="R1427" s="75"/>
      <c r="S1427" s="75"/>
      <c r="T1427" s="75"/>
      <c r="U1427" s="75"/>
      <c r="V1427" s="75"/>
      <c r="W1427" s="75"/>
      <c r="X1427" s="75"/>
      <c r="Y1427" s="75"/>
      <c r="Z1427" s="75"/>
      <c r="AA1427" s="75"/>
      <c r="AB1427" s="75"/>
      <c r="AC1427" s="75"/>
      <c r="AD1427" s="75"/>
      <c r="AE1427" s="75"/>
      <c r="AF1427" s="75"/>
      <c r="AG1427" s="75"/>
      <c r="AH1427" s="75"/>
      <c r="AI1427" s="75"/>
      <c r="AJ1427" s="75"/>
      <c r="AK1427" s="75"/>
      <c r="AL1427" s="75"/>
      <c r="AM1427" s="75"/>
      <c r="AN1427" s="75"/>
      <c r="AO1427" s="75"/>
      <c r="AP1427" s="75"/>
      <c r="AQ1427" s="75"/>
      <c r="AR1427" s="75"/>
      <c r="AS1427" s="75"/>
      <c r="AT1427" s="75"/>
      <c r="AU1427" s="75"/>
      <c r="AV1427" s="75"/>
      <c r="AW1427" s="75"/>
      <c r="AX1427" s="75"/>
      <c r="AY1427" s="75"/>
      <c r="AZ1427" s="75"/>
      <c r="BA1427" s="75"/>
      <c r="BB1427" s="75"/>
      <c r="BC1427" s="75"/>
      <c r="BD1427" s="75"/>
      <c r="BE1427" s="75"/>
      <c r="BF1427" s="75" t="s">
        <v>439</v>
      </c>
      <c r="BG1427" s="75"/>
      <c r="BH1427" s="75"/>
      <c r="BI1427" s="75" t="s">
        <v>439</v>
      </c>
      <c r="BJ1427" s="75"/>
      <c r="BK1427" s="75"/>
      <c r="BL1427" s="75" t="s">
        <v>439</v>
      </c>
      <c r="BM1427" s="75"/>
    </row>
    <row r="1428" spans="1:65" ht="15" customHeight="1" x14ac:dyDescent="0.2">
      <c r="A1428" s="38"/>
      <c r="B1428" s="38"/>
      <c r="C1428" s="75"/>
      <c r="D1428" s="75"/>
      <c r="E1428" s="75"/>
      <c r="F1428" s="75"/>
      <c r="G1428" s="75"/>
      <c r="H1428" s="75"/>
      <c r="I1428" s="75"/>
      <c r="J1428" s="75"/>
      <c r="K1428" s="75"/>
      <c r="L1428" s="75"/>
      <c r="M1428" s="75"/>
      <c r="N1428" s="75"/>
      <c r="O1428" s="75"/>
      <c r="P1428" s="75"/>
      <c r="Q1428" s="75"/>
      <c r="R1428" s="75"/>
      <c r="S1428" s="75"/>
      <c r="T1428" s="75"/>
      <c r="U1428" s="75"/>
      <c r="V1428" s="75"/>
      <c r="W1428" s="75"/>
      <c r="X1428" s="75"/>
      <c r="Y1428" s="75"/>
      <c r="Z1428" s="75"/>
      <c r="AA1428" s="75"/>
      <c r="AB1428" s="75"/>
      <c r="AC1428" s="75"/>
      <c r="AD1428" s="75"/>
      <c r="AE1428" s="75"/>
      <c r="AF1428" s="75"/>
      <c r="AG1428" s="75"/>
      <c r="AH1428" s="75"/>
      <c r="AI1428" s="75"/>
      <c r="AJ1428" s="75"/>
      <c r="AK1428" s="75"/>
      <c r="AL1428" s="75"/>
      <c r="AM1428" s="75"/>
      <c r="AN1428" s="75"/>
      <c r="AO1428" s="75"/>
      <c r="AP1428" s="75"/>
      <c r="AQ1428" s="75"/>
      <c r="AR1428" s="75"/>
      <c r="AS1428" s="75"/>
      <c r="AT1428" s="75"/>
      <c r="AU1428" s="75"/>
      <c r="AV1428" s="75"/>
      <c r="AW1428" s="75"/>
      <c r="AX1428" s="75"/>
      <c r="AY1428" s="75"/>
      <c r="AZ1428" s="75"/>
      <c r="BA1428" s="75"/>
      <c r="BB1428" s="75"/>
      <c r="BC1428" s="75"/>
      <c r="BD1428" s="75"/>
      <c r="BE1428" s="75"/>
      <c r="BF1428" s="75" t="s">
        <v>439</v>
      </c>
      <c r="BG1428" s="75"/>
      <c r="BH1428" s="75"/>
      <c r="BI1428" s="75" t="s">
        <v>439</v>
      </c>
      <c r="BJ1428" s="75"/>
      <c r="BK1428" s="75"/>
      <c r="BL1428" s="75" t="s">
        <v>439</v>
      </c>
      <c r="BM1428" s="75"/>
    </row>
    <row r="1429" spans="1:65" ht="15" customHeight="1" x14ac:dyDescent="0.2">
      <c r="A1429" s="38"/>
      <c r="B1429" s="38"/>
      <c r="C1429" s="75"/>
      <c r="D1429" s="75"/>
      <c r="E1429" s="75"/>
      <c r="F1429" s="75"/>
      <c r="G1429" s="75"/>
      <c r="H1429" s="75"/>
      <c r="I1429" s="75"/>
      <c r="J1429" s="75"/>
      <c r="K1429" s="75"/>
      <c r="L1429" s="75"/>
      <c r="M1429" s="75"/>
      <c r="N1429" s="75"/>
      <c r="O1429" s="75"/>
      <c r="P1429" s="75"/>
      <c r="Q1429" s="75"/>
      <c r="R1429" s="75"/>
      <c r="S1429" s="75"/>
      <c r="T1429" s="75"/>
      <c r="U1429" s="75"/>
      <c r="V1429" s="75"/>
      <c r="W1429" s="75"/>
      <c r="X1429" s="75"/>
      <c r="Y1429" s="75"/>
      <c r="Z1429" s="75"/>
      <c r="AA1429" s="75"/>
      <c r="AB1429" s="75"/>
      <c r="AC1429" s="75"/>
      <c r="AD1429" s="75"/>
      <c r="AE1429" s="75"/>
      <c r="AF1429" s="75"/>
      <c r="AG1429" s="75"/>
      <c r="AH1429" s="75"/>
      <c r="AI1429" s="75"/>
      <c r="AJ1429" s="75"/>
      <c r="AK1429" s="75"/>
      <c r="AL1429" s="75"/>
      <c r="AM1429" s="75"/>
      <c r="AN1429" s="75"/>
      <c r="AO1429" s="75"/>
      <c r="AP1429" s="75"/>
      <c r="AQ1429" s="75"/>
      <c r="AR1429" s="75"/>
      <c r="AS1429" s="75"/>
      <c r="AT1429" s="75"/>
      <c r="AU1429" s="75"/>
      <c r="AV1429" s="75"/>
      <c r="AW1429" s="75"/>
      <c r="AX1429" s="75"/>
      <c r="AY1429" s="75"/>
      <c r="AZ1429" s="75"/>
      <c r="BA1429" s="75"/>
      <c r="BB1429" s="75"/>
      <c r="BC1429" s="75"/>
      <c r="BD1429" s="75"/>
      <c r="BE1429" s="75"/>
      <c r="BF1429" s="75" t="s">
        <v>439</v>
      </c>
      <c r="BG1429" s="75"/>
      <c r="BH1429" s="75"/>
      <c r="BI1429" s="75" t="s">
        <v>439</v>
      </c>
      <c r="BJ1429" s="75"/>
      <c r="BK1429" s="75"/>
      <c r="BL1429" s="75" t="s">
        <v>439</v>
      </c>
      <c r="BM1429" s="75"/>
    </row>
    <row r="1430" spans="1:65" ht="15" customHeight="1" x14ac:dyDescent="0.2">
      <c r="A1430" s="38"/>
      <c r="B1430" s="38"/>
      <c r="C1430" s="75"/>
      <c r="D1430" s="75"/>
      <c r="E1430" s="75"/>
      <c r="F1430" s="75"/>
      <c r="G1430" s="75"/>
      <c r="H1430" s="75"/>
      <c r="I1430" s="75"/>
      <c r="J1430" s="75"/>
      <c r="K1430" s="75"/>
      <c r="L1430" s="75"/>
      <c r="M1430" s="75"/>
      <c r="N1430" s="75"/>
      <c r="O1430" s="75"/>
      <c r="P1430" s="75"/>
      <c r="Q1430" s="75"/>
      <c r="R1430" s="75"/>
      <c r="S1430" s="75"/>
      <c r="T1430" s="75"/>
      <c r="U1430" s="75"/>
      <c r="V1430" s="75"/>
      <c r="W1430" s="75"/>
      <c r="X1430" s="75"/>
      <c r="Y1430" s="75"/>
      <c r="Z1430" s="75"/>
      <c r="AA1430" s="75"/>
      <c r="AB1430" s="75"/>
      <c r="AC1430" s="75"/>
      <c r="AD1430" s="75"/>
      <c r="AE1430" s="75"/>
      <c r="AF1430" s="75"/>
      <c r="AG1430" s="75"/>
      <c r="AH1430" s="75"/>
      <c r="AI1430" s="75"/>
      <c r="AJ1430" s="75"/>
      <c r="AK1430" s="75"/>
      <c r="AL1430" s="75"/>
      <c r="AM1430" s="75"/>
      <c r="AN1430" s="75"/>
      <c r="AO1430" s="75"/>
      <c r="AP1430" s="75"/>
      <c r="AQ1430" s="75"/>
      <c r="AR1430" s="75"/>
      <c r="AS1430" s="75"/>
      <c r="AT1430" s="75"/>
      <c r="AU1430" s="75"/>
      <c r="AV1430" s="75"/>
      <c r="AW1430" s="75"/>
      <c r="AX1430" s="75"/>
      <c r="AY1430" s="75"/>
      <c r="AZ1430" s="75"/>
      <c r="BA1430" s="75"/>
      <c r="BB1430" s="75"/>
      <c r="BC1430" s="75"/>
      <c r="BD1430" s="75"/>
      <c r="BE1430" s="75"/>
      <c r="BF1430" s="75" t="s">
        <v>439</v>
      </c>
      <c r="BG1430" s="75"/>
      <c r="BH1430" s="75"/>
      <c r="BI1430" s="75" t="s">
        <v>439</v>
      </c>
      <c r="BJ1430" s="75"/>
      <c r="BK1430" s="75"/>
      <c r="BL1430" s="75" t="s">
        <v>439</v>
      </c>
      <c r="BM1430" s="75"/>
    </row>
    <row r="1431" spans="1:65" ht="15" customHeight="1" x14ac:dyDescent="0.2">
      <c r="A1431" s="38"/>
      <c r="B1431" s="38"/>
      <c r="C1431" s="75"/>
      <c r="D1431" s="75"/>
      <c r="E1431" s="75"/>
      <c r="F1431" s="75"/>
      <c r="G1431" s="75"/>
      <c r="H1431" s="75"/>
      <c r="I1431" s="75"/>
      <c r="J1431" s="75"/>
      <c r="K1431" s="75"/>
      <c r="L1431" s="75"/>
      <c r="M1431" s="75"/>
      <c r="N1431" s="75"/>
      <c r="O1431" s="75"/>
      <c r="P1431" s="75"/>
      <c r="Q1431" s="75"/>
      <c r="R1431" s="75"/>
      <c r="S1431" s="75"/>
      <c r="T1431" s="75"/>
      <c r="U1431" s="75"/>
      <c r="V1431" s="75"/>
      <c r="W1431" s="75"/>
      <c r="X1431" s="75"/>
      <c r="Y1431" s="75"/>
      <c r="Z1431" s="75"/>
      <c r="AA1431" s="75"/>
      <c r="AB1431" s="75"/>
      <c r="AC1431" s="75"/>
      <c r="AD1431" s="75"/>
      <c r="AE1431" s="75"/>
      <c r="AF1431" s="75"/>
      <c r="AG1431" s="75"/>
      <c r="AH1431" s="75"/>
      <c r="AI1431" s="75"/>
      <c r="AJ1431" s="75"/>
      <c r="AK1431" s="75"/>
      <c r="AL1431" s="75"/>
      <c r="AM1431" s="75"/>
      <c r="AN1431" s="75"/>
      <c r="AO1431" s="75"/>
      <c r="AP1431" s="75"/>
      <c r="AQ1431" s="75"/>
      <c r="AR1431" s="75"/>
      <c r="AS1431" s="75"/>
      <c r="AT1431" s="75"/>
      <c r="AU1431" s="75"/>
      <c r="AV1431" s="75"/>
      <c r="AW1431" s="75"/>
      <c r="AX1431" s="75"/>
      <c r="AY1431" s="75"/>
      <c r="AZ1431" s="75"/>
      <c r="BA1431" s="75"/>
      <c r="BB1431" s="75"/>
      <c r="BC1431" s="75"/>
      <c r="BD1431" s="75"/>
      <c r="BE1431" s="75"/>
      <c r="BF1431" s="75" t="s">
        <v>439</v>
      </c>
      <c r="BG1431" s="75"/>
      <c r="BH1431" s="75"/>
      <c r="BI1431" s="75" t="s">
        <v>439</v>
      </c>
      <c r="BJ1431" s="75"/>
      <c r="BK1431" s="75"/>
      <c r="BL1431" s="75" t="s">
        <v>439</v>
      </c>
      <c r="BM1431" s="75"/>
    </row>
    <row r="1432" spans="1:65" ht="15" customHeight="1" x14ac:dyDescent="0.2">
      <c r="A1432" s="38"/>
      <c r="B1432" s="38"/>
      <c r="C1432" s="75"/>
      <c r="D1432" s="75"/>
      <c r="E1432" s="75"/>
      <c r="F1432" s="75"/>
      <c r="G1432" s="75"/>
      <c r="H1432" s="75"/>
      <c r="I1432" s="75"/>
      <c r="J1432" s="75"/>
      <c r="K1432" s="75"/>
      <c r="L1432" s="75"/>
      <c r="M1432" s="75"/>
      <c r="N1432" s="75"/>
      <c r="O1432" s="75"/>
      <c r="P1432" s="75"/>
      <c r="Q1432" s="75"/>
      <c r="R1432" s="75"/>
      <c r="S1432" s="75"/>
      <c r="T1432" s="75"/>
      <c r="U1432" s="75"/>
      <c r="V1432" s="75"/>
      <c r="W1432" s="75"/>
      <c r="X1432" s="75"/>
      <c r="Y1432" s="75"/>
      <c r="Z1432" s="75"/>
      <c r="AA1432" s="75"/>
      <c r="AB1432" s="75"/>
      <c r="AC1432" s="75"/>
      <c r="AD1432" s="75"/>
      <c r="AE1432" s="75"/>
      <c r="AF1432" s="75"/>
      <c r="AG1432" s="75"/>
      <c r="AH1432" s="75"/>
      <c r="AI1432" s="75"/>
      <c r="AJ1432" s="75"/>
      <c r="AK1432" s="75"/>
      <c r="AL1432" s="75"/>
      <c r="AM1432" s="75"/>
      <c r="AN1432" s="75"/>
      <c r="AO1432" s="75"/>
      <c r="AP1432" s="75"/>
      <c r="AQ1432" s="75"/>
      <c r="AR1432" s="75"/>
      <c r="AS1432" s="75"/>
      <c r="AT1432" s="75"/>
      <c r="AU1432" s="75"/>
      <c r="AV1432" s="75"/>
      <c r="AW1432" s="75"/>
      <c r="AX1432" s="75"/>
      <c r="AY1432" s="75"/>
      <c r="AZ1432" s="75"/>
      <c r="BA1432" s="75"/>
      <c r="BB1432" s="75"/>
      <c r="BC1432" s="75"/>
      <c r="BD1432" s="75"/>
      <c r="BE1432" s="75"/>
      <c r="BF1432" s="75" t="s">
        <v>439</v>
      </c>
      <c r="BG1432" s="75"/>
      <c r="BH1432" s="75"/>
      <c r="BI1432" s="75" t="s">
        <v>439</v>
      </c>
      <c r="BJ1432" s="75"/>
      <c r="BK1432" s="75"/>
      <c r="BL1432" s="75" t="s">
        <v>439</v>
      </c>
      <c r="BM1432" s="75"/>
    </row>
    <row r="1433" spans="1:65" ht="15" customHeight="1" x14ac:dyDescent="0.2">
      <c r="A1433" s="38"/>
      <c r="B1433" s="38"/>
      <c r="C1433" s="75"/>
      <c r="D1433" s="75"/>
      <c r="E1433" s="75"/>
      <c r="F1433" s="75"/>
      <c r="G1433" s="75"/>
      <c r="H1433" s="75"/>
      <c r="I1433" s="75"/>
      <c r="J1433" s="75"/>
      <c r="K1433" s="75"/>
      <c r="L1433" s="75"/>
      <c r="M1433" s="75"/>
      <c r="N1433" s="75"/>
      <c r="O1433" s="75"/>
      <c r="P1433" s="75"/>
      <c r="Q1433" s="75"/>
      <c r="R1433" s="75"/>
      <c r="S1433" s="75"/>
      <c r="T1433" s="75"/>
      <c r="U1433" s="75"/>
      <c r="V1433" s="75"/>
      <c r="W1433" s="75"/>
      <c r="X1433" s="75"/>
      <c r="Y1433" s="75"/>
      <c r="Z1433" s="75"/>
      <c r="AA1433" s="75"/>
      <c r="AB1433" s="75"/>
      <c r="AC1433" s="75"/>
      <c r="AD1433" s="75"/>
      <c r="AE1433" s="75"/>
      <c r="AF1433" s="75"/>
      <c r="AG1433" s="75"/>
      <c r="AH1433" s="75"/>
      <c r="AI1433" s="75"/>
      <c r="AJ1433" s="75"/>
      <c r="AK1433" s="75"/>
      <c r="AL1433" s="75"/>
      <c r="AM1433" s="75"/>
      <c r="AN1433" s="75"/>
      <c r="AO1433" s="75"/>
      <c r="AP1433" s="75"/>
      <c r="AQ1433" s="75"/>
      <c r="AR1433" s="75"/>
      <c r="AS1433" s="75"/>
      <c r="AT1433" s="75"/>
      <c r="AU1433" s="75"/>
      <c r="AV1433" s="75"/>
      <c r="AW1433" s="75"/>
      <c r="AX1433" s="75"/>
      <c r="AY1433" s="75"/>
      <c r="AZ1433" s="75"/>
      <c r="BA1433" s="75"/>
      <c r="BB1433" s="75"/>
      <c r="BC1433" s="75"/>
      <c r="BD1433" s="75"/>
      <c r="BE1433" s="75"/>
      <c r="BF1433" s="75" t="s">
        <v>439</v>
      </c>
      <c r="BG1433" s="75"/>
      <c r="BH1433" s="75"/>
      <c r="BI1433" s="75" t="s">
        <v>439</v>
      </c>
      <c r="BJ1433" s="75"/>
      <c r="BK1433" s="75"/>
      <c r="BL1433" s="75" t="s">
        <v>439</v>
      </c>
      <c r="BM1433" s="75"/>
    </row>
    <row r="1434" spans="1:65" ht="15" customHeight="1" x14ac:dyDescent="0.2">
      <c r="A1434" s="38"/>
      <c r="B1434" s="38"/>
      <c r="C1434" s="75"/>
      <c r="D1434" s="75"/>
      <c r="E1434" s="75"/>
      <c r="F1434" s="75"/>
      <c r="G1434" s="75"/>
      <c r="H1434" s="75"/>
      <c r="I1434" s="75"/>
      <c r="J1434" s="75"/>
      <c r="K1434" s="75"/>
      <c r="L1434" s="75"/>
      <c r="M1434" s="75"/>
      <c r="N1434" s="75"/>
      <c r="O1434" s="75"/>
      <c r="P1434" s="75"/>
      <c r="Q1434" s="75"/>
      <c r="R1434" s="75"/>
      <c r="S1434" s="75"/>
      <c r="T1434" s="75"/>
      <c r="U1434" s="75"/>
      <c r="V1434" s="75"/>
      <c r="W1434" s="75"/>
      <c r="X1434" s="75"/>
      <c r="Y1434" s="75"/>
      <c r="Z1434" s="75"/>
      <c r="AA1434" s="75"/>
      <c r="AB1434" s="75"/>
      <c r="AC1434" s="75"/>
      <c r="AD1434" s="75"/>
      <c r="AE1434" s="75"/>
      <c r="AF1434" s="75"/>
      <c r="AG1434" s="75"/>
      <c r="AH1434" s="75"/>
      <c r="AI1434" s="75"/>
      <c r="AJ1434" s="75"/>
      <c r="AK1434" s="75"/>
      <c r="AL1434" s="75"/>
      <c r="AM1434" s="75"/>
      <c r="AN1434" s="75"/>
      <c r="AO1434" s="75"/>
      <c r="AP1434" s="75"/>
      <c r="AQ1434" s="75"/>
      <c r="AR1434" s="75"/>
      <c r="AS1434" s="75"/>
      <c r="AT1434" s="75"/>
      <c r="AU1434" s="75"/>
      <c r="AV1434" s="75"/>
      <c r="AW1434" s="75"/>
      <c r="AX1434" s="75"/>
      <c r="AY1434" s="75"/>
      <c r="AZ1434" s="75"/>
      <c r="BA1434" s="75"/>
      <c r="BB1434" s="75"/>
      <c r="BC1434" s="75"/>
      <c r="BD1434" s="75"/>
      <c r="BE1434" s="75"/>
      <c r="BF1434" s="75" t="s">
        <v>439</v>
      </c>
      <c r="BG1434" s="75"/>
      <c r="BH1434" s="75"/>
      <c r="BI1434" s="75" t="s">
        <v>439</v>
      </c>
      <c r="BJ1434" s="75"/>
      <c r="BK1434" s="75"/>
      <c r="BL1434" s="75" t="s">
        <v>439</v>
      </c>
      <c r="BM1434" s="75"/>
    </row>
    <row r="1435" spans="1:65" ht="15" customHeight="1" x14ac:dyDescent="0.2">
      <c r="A1435" s="38"/>
      <c r="B1435" s="38"/>
      <c r="C1435" s="75"/>
      <c r="D1435" s="75"/>
      <c r="E1435" s="75"/>
      <c r="F1435" s="75"/>
      <c r="G1435" s="75"/>
      <c r="H1435" s="75"/>
      <c r="I1435" s="75"/>
      <c r="J1435" s="75"/>
      <c r="K1435" s="75"/>
      <c r="L1435" s="75"/>
      <c r="M1435" s="75"/>
      <c r="N1435" s="75"/>
      <c r="O1435" s="75"/>
      <c r="P1435" s="75"/>
      <c r="Q1435" s="75"/>
      <c r="R1435" s="75"/>
      <c r="S1435" s="75"/>
      <c r="T1435" s="75"/>
      <c r="U1435" s="75"/>
      <c r="V1435" s="75"/>
      <c r="W1435" s="75"/>
      <c r="X1435" s="75"/>
      <c r="Y1435" s="75"/>
      <c r="Z1435" s="75"/>
      <c r="AA1435" s="75"/>
      <c r="AB1435" s="75"/>
      <c r="AC1435" s="75"/>
      <c r="AD1435" s="75"/>
      <c r="AE1435" s="75"/>
      <c r="AF1435" s="75"/>
      <c r="AG1435" s="75"/>
      <c r="AH1435" s="75"/>
      <c r="AI1435" s="75"/>
      <c r="AJ1435" s="75"/>
      <c r="AK1435" s="75"/>
      <c r="AL1435" s="75"/>
      <c r="AM1435" s="75"/>
      <c r="AN1435" s="75"/>
      <c r="AO1435" s="75"/>
      <c r="AP1435" s="75"/>
      <c r="AQ1435" s="75"/>
      <c r="AR1435" s="75"/>
      <c r="AS1435" s="75"/>
      <c r="AT1435" s="75"/>
      <c r="AU1435" s="75"/>
      <c r="AV1435" s="75"/>
      <c r="AW1435" s="75"/>
      <c r="AX1435" s="75"/>
      <c r="AY1435" s="75"/>
      <c r="AZ1435" s="75"/>
      <c r="BA1435" s="75"/>
      <c r="BB1435" s="75"/>
      <c r="BC1435" s="75"/>
      <c r="BD1435" s="75"/>
      <c r="BE1435" s="75"/>
      <c r="BF1435" s="75" t="s">
        <v>439</v>
      </c>
      <c r="BG1435" s="75"/>
      <c r="BH1435" s="75"/>
      <c r="BI1435" s="75" t="s">
        <v>439</v>
      </c>
      <c r="BJ1435" s="75"/>
      <c r="BK1435" s="75"/>
      <c r="BL1435" s="75" t="s">
        <v>439</v>
      </c>
      <c r="BM1435" s="75"/>
    </row>
    <row r="1436" spans="1:65" ht="15" customHeight="1" x14ac:dyDescent="0.2">
      <c r="A1436" s="38"/>
      <c r="B1436" s="38"/>
      <c r="C1436" s="75"/>
      <c r="D1436" s="75"/>
      <c r="E1436" s="75"/>
      <c r="F1436" s="75"/>
      <c r="G1436" s="75"/>
      <c r="H1436" s="75"/>
      <c r="I1436" s="75"/>
      <c r="J1436" s="75"/>
      <c r="K1436" s="75"/>
      <c r="L1436" s="75"/>
      <c r="M1436" s="75"/>
      <c r="N1436" s="75"/>
      <c r="O1436" s="75"/>
      <c r="P1436" s="75"/>
      <c r="Q1436" s="75"/>
      <c r="R1436" s="75"/>
      <c r="S1436" s="75"/>
      <c r="T1436" s="75"/>
      <c r="U1436" s="75"/>
      <c r="V1436" s="75"/>
      <c r="W1436" s="75"/>
      <c r="X1436" s="75"/>
      <c r="Y1436" s="75"/>
      <c r="Z1436" s="75"/>
      <c r="AA1436" s="75"/>
      <c r="AB1436" s="75"/>
      <c r="AC1436" s="75"/>
      <c r="AD1436" s="75"/>
      <c r="AE1436" s="75"/>
      <c r="AF1436" s="75"/>
      <c r="AG1436" s="75"/>
      <c r="AH1436" s="75"/>
      <c r="AI1436" s="75"/>
      <c r="AJ1436" s="75"/>
      <c r="AK1436" s="75"/>
      <c r="AL1436" s="75"/>
      <c r="AM1436" s="75"/>
      <c r="AN1436" s="75"/>
      <c r="AO1436" s="75"/>
      <c r="AP1436" s="75"/>
      <c r="AQ1436" s="75"/>
      <c r="AR1436" s="75"/>
      <c r="AS1436" s="75"/>
      <c r="AT1436" s="75"/>
      <c r="AU1436" s="75"/>
      <c r="AV1436" s="75"/>
      <c r="AW1436" s="75"/>
      <c r="AX1436" s="75"/>
      <c r="AY1436" s="75"/>
      <c r="AZ1436" s="75"/>
      <c r="BA1436" s="75"/>
      <c r="BB1436" s="75"/>
      <c r="BC1436" s="75"/>
      <c r="BD1436" s="75"/>
      <c r="BE1436" s="75"/>
      <c r="BF1436" s="75" t="s">
        <v>439</v>
      </c>
      <c r="BG1436" s="75"/>
      <c r="BH1436" s="75"/>
      <c r="BI1436" s="75" t="s">
        <v>439</v>
      </c>
      <c r="BJ1436" s="75"/>
      <c r="BK1436" s="75"/>
      <c r="BL1436" s="75" t="s">
        <v>439</v>
      </c>
      <c r="BM1436" s="75"/>
    </row>
    <row r="1437" spans="1:65" ht="15" customHeight="1" x14ac:dyDescent="0.2">
      <c r="A1437" s="38"/>
      <c r="B1437" s="38"/>
      <c r="C1437" s="75"/>
      <c r="D1437" s="75"/>
      <c r="E1437" s="75"/>
      <c r="F1437" s="75"/>
      <c r="G1437" s="75"/>
      <c r="H1437" s="75"/>
      <c r="I1437" s="75"/>
      <c r="J1437" s="75"/>
      <c r="K1437" s="75"/>
      <c r="L1437" s="75"/>
      <c r="M1437" s="75"/>
      <c r="N1437" s="75"/>
      <c r="O1437" s="75"/>
      <c r="P1437" s="75"/>
      <c r="Q1437" s="75"/>
      <c r="R1437" s="75"/>
      <c r="S1437" s="75"/>
      <c r="T1437" s="75"/>
      <c r="U1437" s="75"/>
      <c r="V1437" s="75"/>
      <c r="W1437" s="75"/>
      <c r="X1437" s="75"/>
      <c r="Y1437" s="75"/>
      <c r="Z1437" s="75"/>
      <c r="AA1437" s="75"/>
      <c r="AB1437" s="75"/>
      <c r="AC1437" s="75"/>
      <c r="AD1437" s="75"/>
      <c r="AE1437" s="75"/>
      <c r="AF1437" s="75"/>
      <c r="AG1437" s="75"/>
      <c r="AH1437" s="75"/>
      <c r="AI1437" s="75"/>
      <c r="AJ1437" s="75"/>
      <c r="AK1437" s="75"/>
      <c r="AL1437" s="75"/>
      <c r="AM1437" s="75"/>
      <c r="AN1437" s="75"/>
      <c r="AO1437" s="75"/>
      <c r="AP1437" s="75"/>
      <c r="AQ1437" s="75"/>
      <c r="AR1437" s="75"/>
      <c r="AS1437" s="75"/>
      <c r="AT1437" s="75"/>
      <c r="AU1437" s="75"/>
      <c r="AV1437" s="75"/>
      <c r="AW1437" s="75"/>
      <c r="AX1437" s="75"/>
      <c r="AY1437" s="75"/>
      <c r="AZ1437" s="75"/>
      <c r="BA1437" s="75"/>
      <c r="BB1437" s="75"/>
      <c r="BC1437" s="75"/>
      <c r="BD1437" s="75"/>
      <c r="BE1437" s="75"/>
      <c r="BF1437" s="75" t="s">
        <v>439</v>
      </c>
      <c r="BG1437" s="75"/>
      <c r="BH1437" s="75"/>
      <c r="BI1437" s="75" t="s">
        <v>439</v>
      </c>
      <c r="BJ1437" s="75"/>
      <c r="BK1437" s="75"/>
      <c r="BL1437" s="75" t="s">
        <v>439</v>
      </c>
      <c r="BM1437" s="75"/>
    </row>
    <row r="1438" spans="1:65" ht="15" customHeight="1" x14ac:dyDescent="0.2">
      <c r="A1438" s="38"/>
      <c r="B1438" s="38"/>
      <c r="C1438" s="75"/>
      <c r="D1438" s="75"/>
      <c r="E1438" s="75"/>
      <c r="F1438" s="75"/>
      <c r="G1438" s="75"/>
      <c r="H1438" s="75"/>
      <c r="I1438" s="75"/>
      <c r="J1438" s="75"/>
      <c r="K1438" s="75"/>
      <c r="L1438" s="75"/>
      <c r="M1438" s="75"/>
      <c r="N1438" s="75"/>
      <c r="O1438" s="75"/>
      <c r="P1438" s="75"/>
      <c r="Q1438" s="75"/>
      <c r="R1438" s="75"/>
      <c r="S1438" s="75"/>
      <c r="T1438" s="75"/>
      <c r="U1438" s="75"/>
      <c r="V1438" s="75"/>
      <c r="W1438" s="75"/>
      <c r="X1438" s="75"/>
      <c r="Y1438" s="75"/>
      <c r="Z1438" s="75"/>
      <c r="AA1438" s="75"/>
      <c r="AB1438" s="75"/>
      <c r="AC1438" s="75"/>
      <c r="AD1438" s="75"/>
      <c r="AE1438" s="75"/>
      <c r="AF1438" s="75"/>
      <c r="AG1438" s="75"/>
      <c r="AH1438" s="75"/>
      <c r="AI1438" s="75"/>
      <c r="AJ1438" s="75"/>
      <c r="AK1438" s="75"/>
      <c r="AL1438" s="75"/>
      <c r="AM1438" s="75"/>
      <c r="AN1438" s="75"/>
      <c r="AO1438" s="75"/>
      <c r="AP1438" s="75"/>
      <c r="AQ1438" s="75"/>
      <c r="AR1438" s="75"/>
      <c r="AS1438" s="75"/>
      <c r="AT1438" s="75"/>
      <c r="AU1438" s="75"/>
      <c r="AV1438" s="75"/>
      <c r="AW1438" s="75"/>
      <c r="AX1438" s="75"/>
      <c r="AY1438" s="75"/>
      <c r="AZ1438" s="75"/>
      <c r="BA1438" s="75"/>
      <c r="BB1438" s="75"/>
      <c r="BC1438" s="75"/>
      <c r="BD1438" s="75"/>
      <c r="BE1438" s="75"/>
      <c r="BF1438" s="75" t="s">
        <v>439</v>
      </c>
      <c r="BG1438" s="75"/>
      <c r="BH1438" s="75"/>
      <c r="BI1438" s="75" t="s">
        <v>439</v>
      </c>
      <c r="BJ1438" s="75"/>
      <c r="BK1438" s="75"/>
      <c r="BL1438" s="75" t="s">
        <v>439</v>
      </c>
      <c r="BM1438" s="75"/>
    </row>
    <row r="1439" spans="1:65" ht="15" customHeight="1" x14ac:dyDescent="0.2">
      <c r="A1439" s="38"/>
      <c r="B1439" s="38"/>
      <c r="C1439" s="75"/>
      <c r="D1439" s="75"/>
      <c r="E1439" s="75"/>
      <c r="F1439" s="75"/>
      <c r="G1439" s="75"/>
      <c r="H1439" s="75"/>
      <c r="I1439" s="75"/>
      <c r="J1439" s="75"/>
      <c r="K1439" s="75"/>
      <c r="L1439" s="75"/>
      <c r="M1439" s="75"/>
      <c r="N1439" s="75"/>
      <c r="O1439" s="75"/>
      <c r="P1439" s="75"/>
      <c r="Q1439" s="75"/>
      <c r="R1439" s="75"/>
      <c r="S1439" s="75"/>
      <c r="T1439" s="75"/>
      <c r="U1439" s="75"/>
      <c r="V1439" s="75"/>
      <c r="W1439" s="75"/>
      <c r="X1439" s="75"/>
      <c r="Y1439" s="75"/>
      <c r="Z1439" s="75"/>
      <c r="AA1439" s="75"/>
      <c r="AB1439" s="75"/>
      <c r="AC1439" s="75"/>
      <c r="AD1439" s="75"/>
      <c r="AE1439" s="75"/>
      <c r="AF1439" s="75"/>
      <c r="AG1439" s="75"/>
      <c r="AH1439" s="75"/>
      <c r="AI1439" s="75"/>
      <c r="AJ1439" s="75"/>
      <c r="AK1439" s="75"/>
      <c r="AL1439" s="75"/>
      <c r="AM1439" s="75"/>
      <c r="AN1439" s="75"/>
      <c r="AO1439" s="75"/>
      <c r="AP1439" s="75"/>
      <c r="AQ1439" s="75"/>
      <c r="AR1439" s="75"/>
      <c r="AS1439" s="75"/>
      <c r="AT1439" s="75"/>
      <c r="AU1439" s="75"/>
      <c r="AV1439" s="75"/>
      <c r="AW1439" s="75"/>
      <c r="AX1439" s="75"/>
      <c r="AY1439" s="75"/>
      <c r="AZ1439" s="75"/>
      <c r="BA1439" s="75"/>
      <c r="BB1439" s="75"/>
      <c r="BC1439" s="75"/>
      <c r="BD1439" s="75"/>
      <c r="BE1439" s="75"/>
      <c r="BF1439" s="75" t="s">
        <v>439</v>
      </c>
      <c r="BG1439" s="75"/>
      <c r="BH1439" s="75"/>
      <c r="BI1439" s="75" t="s">
        <v>439</v>
      </c>
      <c r="BJ1439" s="75"/>
      <c r="BK1439" s="75"/>
      <c r="BL1439" s="75" t="s">
        <v>439</v>
      </c>
      <c r="BM1439" s="75"/>
    </row>
    <row r="1440" spans="1:65" ht="15" customHeight="1" x14ac:dyDescent="0.2">
      <c r="A1440" s="38"/>
      <c r="B1440" s="38"/>
      <c r="C1440" s="75"/>
      <c r="D1440" s="75"/>
      <c r="E1440" s="75"/>
      <c r="F1440" s="75"/>
      <c r="G1440" s="75"/>
      <c r="H1440" s="75"/>
      <c r="I1440" s="75"/>
      <c r="J1440" s="75"/>
      <c r="K1440" s="75"/>
      <c r="L1440" s="75"/>
      <c r="M1440" s="75"/>
      <c r="N1440" s="75"/>
      <c r="O1440" s="75"/>
      <c r="P1440" s="75"/>
      <c r="Q1440" s="75"/>
      <c r="R1440" s="75"/>
      <c r="S1440" s="75"/>
      <c r="T1440" s="75"/>
      <c r="U1440" s="75"/>
      <c r="V1440" s="75"/>
      <c r="W1440" s="75"/>
      <c r="X1440" s="75"/>
      <c r="Y1440" s="75"/>
      <c r="Z1440" s="75"/>
      <c r="AA1440" s="75"/>
      <c r="AB1440" s="75"/>
      <c r="AC1440" s="75"/>
      <c r="AD1440" s="75"/>
      <c r="AE1440" s="75"/>
      <c r="AF1440" s="75"/>
      <c r="AG1440" s="75"/>
      <c r="AH1440" s="75"/>
      <c r="AI1440" s="75"/>
      <c r="AJ1440" s="75"/>
      <c r="AK1440" s="75"/>
      <c r="AL1440" s="75"/>
      <c r="AM1440" s="75"/>
      <c r="AN1440" s="75"/>
      <c r="AO1440" s="75"/>
      <c r="AP1440" s="75"/>
      <c r="AQ1440" s="75"/>
      <c r="AR1440" s="75"/>
      <c r="AS1440" s="75"/>
      <c r="AT1440" s="75"/>
      <c r="AU1440" s="75"/>
      <c r="AV1440" s="75"/>
      <c r="AW1440" s="75"/>
      <c r="AX1440" s="75"/>
      <c r="AY1440" s="75"/>
      <c r="AZ1440" s="75"/>
      <c r="BA1440" s="75"/>
      <c r="BB1440" s="75"/>
      <c r="BC1440" s="75"/>
      <c r="BD1440" s="75"/>
      <c r="BE1440" s="75"/>
      <c r="BF1440" s="75" t="s">
        <v>439</v>
      </c>
      <c r="BG1440" s="75"/>
      <c r="BH1440" s="75"/>
      <c r="BI1440" s="75" t="s">
        <v>439</v>
      </c>
      <c r="BJ1440" s="75"/>
      <c r="BK1440" s="75"/>
      <c r="BL1440" s="75" t="s">
        <v>439</v>
      </c>
      <c r="BM1440" s="75"/>
    </row>
    <row r="1441" spans="1:65" ht="15" customHeight="1" x14ac:dyDescent="0.2">
      <c r="A1441" s="38"/>
      <c r="B1441" s="38"/>
      <c r="C1441" s="75"/>
      <c r="D1441" s="75"/>
      <c r="E1441" s="75"/>
      <c r="F1441" s="75"/>
      <c r="G1441" s="75"/>
      <c r="H1441" s="75"/>
      <c r="I1441" s="75"/>
      <c r="J1441" s="75"/>
      <c r="K1441" s="75"/>
      <c r="L1441" s="75"/>
      <c r="M1441" s="75"/>
      <c r="N1441" s="75"/>
      <c r="O1441" s="75"/>
      <c r="P1441" s="75"/>
      <c r="Q1441" s="75"/>
      <c r="R1441" s="75"/>
      <c r="S1441" s="75"/>
      <c r="T1441" s="75"/>
      <c r="U1441" s="75"/>
      <c r="V1441" s="75"/>
      <c r="W1441" s="75"/>
      <c r="X1441" s="75"/>
      <c r="Y1441" s="75"/>
      <c r="Z1441" s="75"/>
      <c r="AA1441" s="75"/>
      <c r="AB1441" s="75"/>
      <c r="AC1441" s="75"/>
      <c r="AD1441" s="75"/>
      <c r="AE1441" s="75"/>
      <c r="AF1441" s="75"/>
      <c r="AG1441" s="75"/>
      <c r="AH1441" s="75"/>
      <c r="AI1441" s="75"/>
      <c r="AJ1441" s="75"/>
      <c r="AK1441" s="75"/>
      <c r="AL1441" s="75"/>
      <c r="AM1441" s="75"/>
      <c r="AN1441" s="75"/>
      <c r="AO1441" s="75"/>
      <c r="AP1441" s="75"/>
      <c r="AQ1441" s="75"/>
      <c r="AR1441" s="75"/>
      <c r="AS1441" s="75"/>
      <c r="AT1441" s="75"/>
      <c r="AU1441" s="75"/>
      <c r="AV1441" s="75"/>
      <c r="AW1441" s="75"/>
      <c r="AX1441" s="75"/>
      <c r="AY1441" s="75"/>
      <c r="AZ1441" s="75"/>
      <c r="BA1441" s="75"/>
      <c r="BB1441" s="75"/>
      <c r="BC1441" s="75"/>
      <c r="BD1441" s="75"/>
      <c r="BE1441" s="75"/>
      <c r="BF1441" s="75" t="s">
        <v>439</v>
      </c>
      <c r="BG1441" s="75"/>
      <c r="BH1441" s="75"/>
      <c r="BI1441" s="75" t="s">
        <v>439</v>
      </c>
      <c r="BJ1441" s="75"/>
      <c r="BK1441" s="75"/>
      <c r="BL1441" s="75" t="s">
        <v>439</v>
      </c>
      <c r="BM1441" s="75"/>
    </row>
    <row r="1442" spans="1:65" ht="15" customHeight="1" x14ac:dyDescent="0.2">
      <c r="A1442" s="38"/>
      <c r="B1442" s="38"/>
      <c r="C1442" s="75"/>
      <c r="D1442" s="75"/>
      <c r="E1442" s="75"/>
      <c r="F1442" s="75"/>
      <c r="G1442" s="75"/>
      <c r="H1442" s="75"/>
      <c r="I1442" s="75"/>
      <c r="J1442" s="75"/>
      <c r="K1442" s="75"/>
      <c r="L1442" s="75"/>
      <c r="M1442" s="75"/>
      <c r="N1442" s="75"/>
      <c r="O1442" s="75"/>
      <c r="P1442" s="75"/>
      <c r="Q1442" s="75"/>
      <c r="R1442" s="75"/>
      <c r="S1442" s="75"/>
      <c r="T1442" s="75"/>
      <c r="U1442" s="75"/>
      <c r="V1442" s="75"/>
      <c r="W1442" s="75"/>
      <c r="X1442" s="75"/>
      <c r="Y1442" s="75"/>
      <c r="Z1442" s="75"/>
      <c r="AA1442" s="75"/>
      <c r="AB1442" s="75"/>
      <c r="AC1442" s="75"/>
      <c r="AD1442" s="75"/>
      <c r="AE1442" s="75"/>
      <c r="AF1442" s="75"/>
      <c r="AG1442" s="75"/>
      <c r="AH1442" s="75"/>
      <c r="AI1442" s="75"/>
      <c r="AJ1442" s="75"/>
      <c r="AK1442" s="75"/>
      <c r="AL1442" s="75"/>
      <c r="AM1442" s="75"/>
      <c r="AN1442" s="75"/>
      <c r="AO1442" s="75"/>
      <c r="AP1442" s="75"/>
      <c r="AQ1442" s="75"/>
      <c r="AR1442" s="75"/>
      <c r="AS1442" s="75"/>
      <c r="AT1442" s="75"/>
      <c r="AU1442" s="75"/>
      <c r="AV1442" s="75"/>
      <c r="AW1442" s="75"/>
      <c r="AX1442" s="75"/>
      <c r="AY1442" s="75"/>
      <c r="AZ1442" s="75"/>
      <c r="BA1442" s="75"/>
      <c r="BB1442" s="75"/>
      <c r="BC1442" s="75"/>
      <c r="BD1442" s="75"/>
      <c r="BE1442" s="75"/>
      <c r="BF1442" s="75" t="s">
        <v>439</v>
      </c>
      <c r="BG1442" s="75"/>
      <c r="BH1442" s="75"/>
      <c r="BI1442" s="75" t="s">
        <v>439</v>
      </c>
      <c r="BJ1442" s="75"/>
      <c r="BK1442" s="75"/>
      <c r="BL1442" s="75" t="s">
        <v>439</v>
      </c>
      <c r="BM1442" s="75"/>
    </row>
    <row r="1443" spans="1:65" ht="15" customHeight="1" x14ac:dyDescent="0.2">
      <c r="A1443" s="38"/>
      <c r="B1443" s="38"/>
      <c r="C1443" s="75"/>
      <c r="D1443" s="75"/>
      <c r="E1443" s="75"/>
      <c r="F1443" s="75"/>
      <c r="G1443" s="75"/>
      <c r="H1443" s="75"/>
      <c r="I1443" s="75"/>
      <c r="J1443" s="75"/>
      <c r="K1443" s="75"/>
      <c r="L1443" s="75"/>
      <c r="M1443" s="75"/>
      <c r="N1443" s="75"/>
      <c r="O1443" s="75"/>
      <c r="P1443" s="75"/>
      <c r="Q1443" s="75"/>
      <c r="R1443" s="75"/>
      <c r="S1443" s="75"/>
      <c r="T1443" s="75"/>
      <c r="U1443" s="75"/>
      <c r="V1443" s="75"/>
      <c r="W1443" s="75"/>
      <c r="X1443" s="75"/>
      <c r="Y1443" s="75"/>
      <c r="Z1443" s="75"/>
      <c r="AA1443" s="75"/>
      <c r="AB1443" s="75"/>
      <c r="AC1443" s="75"/>
      <c r="AD1443" s="75"/>
      <c r="AE1443" s="75"/>
      <c r="AF1443" s="75"/>
      <c r="AG1443" s="75"/>
      <c r="AH1443" s="75"/>
      <c r="AI1443" s="75"/>
      <c r="AJ1443" s="75"/>
      <c r="AK1443" s="75"/>
      <c r="AL1443" s="75"/>
      <c r="AM1443" s="75"/>
      <c r="AN1443" s="75"/>
      <c r="AO1443" s="75"/>
      <c r="AP1443" s="75"/>
      <c r="AQ1443" s="75"/>
      <c r="AR1443" s="75"/>
      <c r="AS1443" s="75"/>
      <c r="AT1443" s="75"/>
      <c r="AU1443" s="75"/>
      <c r="AV1443" s="75"/>
      <c r="AW1443" s="75"/>
      <c r="AX1443" s="75"/>
      <c r="AY1443" s="75"/>
      <c r="AZ1443" s="75"/>
      <c r="BA1443" s="75"/>
      <c r="BB1443" s="75"/>
      <c r="BC1443" s="75"/>
      <c r="BD1443" s="75"/>
      <c r="BE1443" s="75"/>
      <c r="BF1443" s="75" t="s">
        <v>439</v>
      </c>
      <c r="BG1443" s="75"/>
      <c r="BH1443" s="75"/>
      <c r="BI1443" s="75" t="s">
        <v>439</v>
      </c>
      <c r="BJ1443" s="75"/>
      <c r="BK1443" s="75"/>
      <c r="BL1443" s="75" t="s">
        <v>439</v>
      </c>
      <c r="BM1443" s="75"/>
    </row>
    <row r="1444" spans="1:65" ht="15" customHeight="1" x14ac:dyDescent="0.2">
      <c r="A1444" s="38"/>
      <c r="B1444" s="38"/>
      <c r="C1444" s="75"/>
      <c r="D1444" s="75"/>
      <c r="E1444" s="75"/>
      <c r="F1444" s="75"/>
      <c r="G1444" s="75"/>
      <c r="H1444" s="75"/>
      <c r="I1444" s="75"/>
      <c r="J1444" s="75"/>
      <c r="K1444" s="75"/>
      <c r="L1444" s="75"/>
      <c r="M1444" s="75"/>
      <c r="N1444" s="75"/>
      <c r="O1444" s="75"/>
      <c r="P1444" s="75"/>
      <c r="Q1444" s="75"/>
      <c r="R1444" s="75"/>
      <c r="S1444" s="75"/>
      <c r="T1444" s="75"/>
      <c r="U1444" s="75"/>
      <c r="V1444" s="75"/>
      <c r="W1444" s="75"/>
      <c r="X1444" s="75"/>
      <c r="Y1444" s="75"/>
      <c r="Z1444" s="75"/>
      <c r="AA1444" s="75"/>
      <c r="AB1444" s="75"/>
      <c r="AC1444" s="75"/>
      <c r="AD1444" s="75"/>
      <c r="AE1444" s="75"/>
      <c r="AF1444" s="75"/>
      <c r="AG1444" s="75"/>
      <c r="AH1444" s="75"/>
      <c r="AI1444" s="75"/>
      <c r="AJ1444" s="75"/>
      <c r="AK1444" s="75"/>
      <c r="AL1444" s="75"/>
      <c r="AM1444" s="75"/>
      <c r="AN1444" s="75"/>
      <c r="AO1444" s="75"/>
      <c r="AP1444" s="75"/>
      <c r="AQ1444" s="75"/>
      <c r="AR1444" s="75"/>
      <c r="AS1444" s="75"/>
      <c r="AT1444" s="75"/>
      <c r="AU1444" s="75"/>
      <c r="AV1444" s="75"/>
      <c r="AW1444" s="75"/>
      <c r="AX1444" s="75"/>
      <c r="AY1444" s="75"/>
      <c r="AZ1444" s="75"/>
      <c r="BA1444" s="75"/>
      <c r="BB1444" s="75"/>
      <c r="BC1444" s="75"/>
      <c r="BD1444" s="75"/>
      <c r="BE1444" s="75"/>
      <c r="BF1444" s="75" t="s">
        <v>439</v>
      </c>
      <c r="BG1444" s="75"/>
      <c r="BH1444" s="75"/>
      <c r="BI1444" s="75" t="s">
        <v>439</v>
      </c>
      <c r="BJ1444" s="75"/>
      <c r="BK1444" s="75"/>
      <c r="BL1444" s="75" t="s">
        <v>439</v>
      </c>
      <c r="BM1444" s="75"/>
    </row>
    <row r="1445" spans="1:65" ht="15" customHeight="1" x14ac:dyDescent="0.2">
      <c r="A1445" s="38"/>
      <c r="B1445" s="38"/>
      <c r="C1445" s="75"/>
      <c r="D1445" s="75"/>
      <c r="E1445" s="75"/>
      <c r="F1445" s="75"/>
      <c r="G1445" s="75"/>
      <c r="H1445" s="75"/>
      <c r="I1445" s="75"/>
      <c r="J1445" s="75"/>
      <c r="K1445" s="75"/>
      <c r="L1445" s="75"/>
      <c r="M1445" s="75"/>
      <c r="N1445" s="75"/>
      <c r="O1445" s="75"/>
      <c r="P1445" s="75"/>
      <c r="Q1445" s="75"/>
      <c r="R1445" s="75"/>
      <c r="S1445" s="75"/>
      <c r="T1445" s="75"/>
      <c r="U1445" s="75"/>
      <c r="V1445" s="75"/>
      <c r="W1445" s="75"/>
      <c r="X1445" s="75"/>
      <c r="Y1445" s="75"/>
      <c r="Z1445" s="75"/>
      <c r="AA1445" s="75"/>
      <c r="AB1445" s="75"/>
      <c r="AC1445" s="75"/>
      <c r="AD1445" s="75"/>
      <c r="AE1445" s="75"/>
      <c r="AF1445" s="75"/>
      <c r="AG1445" s="75"/>
      <c r="AH1445" s="75"/>
      <c r="AI1445" s="75"/>
      <c r="AJ1445" s="75"/>
      <c r="AK1445" s="75"/>
      <c r="AL1445" s="75"/>
      <c r="AM1445" s="75"/>
      <c r="AN1445" s="75"/>
      <c r="AO1445" s="75"/>
      <c r="AP1445" s="75"/>
      <c r="AQ1445" s="75"/>
      <c r="AR1445" s="75"/>
      <c r="AS1445" s="75"/>
      <c r="AT1445" s="75"/>
      <c r="AU1445" s="75"/>
      <c r="AV1445" s="75"/>
      <c r="AW1445" s="75"/>
      <c r="AX1445" s="75"/>
      <c r="AY1445" s="75"/>
      <c r="AZ1445" s="75"/>
      <c r="BA1445" s="75"/>
      <c r="BB1445" s="75"/>
      <c r="BC1445" s="75"/>
      <c r="BD1445" s="75"/>
      <c r="BE1445" s="75"/>
      <c r="BF1445" s="75" t="s">
        <v>439</v>
      </c>
      <c r="BG1445" s="75"/>
      <c r="BH1445" s="75"/>
      <c r="BI1445" s="75" t="s">
        <v>439</v>
      </c>
      <c r="BJ1445" s="75"/>
      <c r="BK1445" s="75"/>
      <c r="BL1445" s="75" t="s">
        <v>439</v>
      </c>
      <c r="BM1445" s="75"/>
    </row>
    <row r="1446" spans="1:65" ht="15" customHeight="1" x14ac:dyDescent="0.2">
      <c r="A1446" s="38"/>
      <c r="B1446" s="38"/>
      <c r="C1446" s="75"/>
      <c r="D1446" s="75"/>
      <c r="E1446" s="75"/>
      <c r="F1446" s="75"/>
      <c r="G1446" s="75"/>
      <c r="H1446" s="75"/>
      <c r="I1446" s="75"/>
      <c r="J1446" s="75"/>
      <c r="K1446" s="75"/>
      <c r="L1446" s="75"/>
      <c r="M1446" s="75"/>
      <c r="N1446" s="75"/>
      <c r="O1446" s="75"/>
      <c r="P1446" s="75"/>
      <c r="Q1446" s="75"/>
      <c r="R1446" s="75"/>
      <c r="S1446" s="75"/>
      <c r="T1446" s="75"/>
      <c r="U1446" s="75"/>
      <c r="V1446" s="75"/>
      <c r="W1446" s="75"/>
      <c r="X1446" s="75"/>
      <c r="Y1446" s="75"/>
      <c r="Z1446" s="75"/>
      <c r="AA1446" s="75"/>
      <c r="AB1446" s="75"/>
      <c r="AC1446" s="75"/>
      <c r="AD1446" s="75"/>
      <c r="AE1446" s="75"/>
      <c r="AF1446" s="75"/>
      <c r="AG1446" s="75"/>
      <c r="AH1446" s="75"/>
      <c r="AI1446" s="75"/>
      <c r="AJ1446" s="75"/>
      <c r="AK1446" s="75"/>
      <c r="AL1446" s="75"/>
      <c r="AM1446" s="75"/>
      <c r="AN1446" s="75"/>
      <c r="AO1446" s="75"/>
      <c r="AP1446" s="75"/>
      <c r="AQ1446" s="75"/>
      <c r="AR1446" s="75"/>
      <c r="AS1446" s="75"/>
      <c r="AT1446" s="75"/>
      <c r="AU1446" s="75"/>
      <c r="AV1446" s="75"/>
      <c r="AW1446" s="75"/>
      <c r="AX1446" s="75"/>
      <c r="AY1446" s="75"/>
      <c r="AZ1446" s="75"/>
      <c r="BA1446" s="75"/>
      <c r="BB1446" s="75"/>
      <c r="BC1446" s="75"/>
      <c r="BD1446" s="75"/>
      <c r="BE1446" s="75"/>
      <c r="BF1446" s="75" t="s">
        <v>439</v>
      </c>
      <c r="BG1446" s="75"/>
      <c r="BH1446" s="75"/>
      <c r="BI1446" s="75" t="s">
        <v>439</v>
      </c>
      <c r="BJ1446" s="75"/>
      <c r="BK1446" s="75"/>
      <c r="BL1446" s="75" t="s">
        <v>439</v>
      </c>
      <c r="BM1446" s="75"/>
    </row>
    <row r="1447" spans="1:65" ht="15" customHeight="1" x14ac:dyDescent="0.2">
      <c r="A1447" s="38"/>
      <c r="B1447" s="38"/>
      <c r="C1447" s="75"/>
      <c r="D1447" s="75"/>
      <c r="E1447" s="75"/>
      <c r="F1447" s="75"/>
      <c r="G1447" s="75"/>
      <c r="H1447" s="75"/>
      <c r="I1447" s="75"/>
      <c r="J1447" s="75"/>
      <c r="K1447" s="75"/>
      <c r="L1447" s="75"/>
      <c r="M1447" s="75"/>
      <c r="N1447" s="75"/>
      <c r="O1447" s="75"/>
      <c r="P1447" s="75"/>
      <c r="Q1447" s="75"/>
      <c r="R1447" s="75"/>
      <c r="S1447" s="75"/>
      <c r="T1447" s="75"/>
      <c r="U1447" s="75"/>
      <c r="V1447" s="75"/>
      <c r="W1447" s="75"/>
      <c r="X1447" s="75"/>
      <c r="Y1447" s="75"/>
      <c r="Z1447" s="75"/>
      <c r="AA1447" s="75"/>
      <c r="AB1447" s="75"/>
      <c r="AC1447" s="75"/>
      <c r="AD1447" s="75"/>
      <c r="AE1447" s="75"/>
      <c r="AF1447" s="75"/>
      <c r="AG1447" s="75"/>
      <c r="AH1447" s="75"/>
      <c r="AI1447" s="75"/>
      <c r="AJ1447" s="75"/>
      <c r="AK1447" s="75"/>
      <c r="AL1447" s="75"/>
      <c r="AM1447" s="75"/>
      <c r="AN1447" s="75"/>
      <c r="AO1447" s="75"/>
      <c r="AP1447" s="75"/>
      <c r="AQ1447" s="75"/>
      <c r="AR1447" s="75"/>
      <c r="AS1447" s="75"/>
      <c r="AT1447" s="75"/>
      <c r="AU1447" s="75"/>
      <c r="AV1447" s="75"/>
      <c r="AW1447" s="75"/>
      <c r="AX1447" s="75"/>
      <c r="AY1447" s="75"/>
      <c r="AZ1447" s="75"/>
      <c r="BA1447" s="75"/>
      <c r="BB1447" s="75"/>
      <c r="BC1447" s="75"/>
      <c r="BD1447" s="75"/>
      <c r="BE1447" s="75"/>
      <c r="BF1447" s="75" t="s">
        <v>439</v>
      </c>
      <c r="BG1447" s="75"/>
      <c r="BH1447" s="75"/>
      <c r="BI1447" s="75" t="s">
        <v>439</v>
      </c>
      <c r="BJ1447" s="75"/>
      <c r="BK1447" s="75"/>
      <c r="BL1447" s="75" t="s">
        <v>439</v>
      </c>
      <c r="BM1447" s="75"/>
    </row>
    <row r="1448" spans="1:65" ht="15" customHeight="1" x14ac:dyDescent="0.2">
      <c r="A1448" s="38"/>
      <c r="B1448" s="38"/>
      <c r="C1448" s="75"/>
      <c r="D1448" s="75"/>
      <c r="E1448" s="75"/>
      <c r="F1448" s="75"/>
      <c r="G1448" s="75"/>
      <c r="H1448" s="75"/>
      <c r="I1448" s="75"/>
      <c r="J1448" s="75"/>
      <c r="K1448" s="75"/>
      <c r="L1448" s="75"/>
      <c r="M1448" s="75"/>
      <c r="N1448" s="75"/>
      <c r="O1448" s="75"/>
      <c r="P1448" s="75"/>
      <c r="Q1448" s="75"/>
      <c r="R1448" s="75"/>
      <c r="S1448" s="75"/>
      <c r="T1448" s="75"/>
      <c r="U1448" s="75"/>
      <c r="V1448" s="75"/>
      <c r="W1448" s="75"/>
      <c r="X1448" s="75"/>
      <c r="Y1448" s="75"/>
      <c r="Z1448" s="75"/>
      <c r="AA1448" s="75"/>
      <c r="AB1448" s="75"/>
      <c r="AC1448" s="75"/>
      <c r="AD1448" s="75"/>
      <c r="AE1448" s="75"/>
      <c r="AF1448" s="75"/>
      <c r="AG1448" s="75"/>
      <c r="AH1448" s="75"/>
      <c r="AI1448" s="75"/>
      <c r="AJ1448" s="75"/>
      <c r="AK1448" s="75"/>
      <c r="AL1448" s="75"/>
      <c r="AM1448" s="75"/>
      <c r="AN1448" s="75"/>
      <c r="AO1448" s="75"/>
      <c r="AP1448" s="75"/>
      <c r="AQ1448" s="75"/>
      <c r="AR1448" s="75"/>
      <c r="AS1448" s="75"/>
      <c r="AT1448" s="75"/>
      <c r="AU1448" s="75"/>
      <c r="AV1448" s="75"/>
      <c r="AW1448" s="75"/>
      <c r="AX1448" s="75"/>
      <c r="AY1448" s="75"/>
      <c r="AZ1448" s="75"/>
      <c r="BA1448" s="75"/>
      <c r="BB1448" s="75"/>
      <c r="BC1448" s="75"/>
      <c r="BD1448" s="75"/>
      <c r="BE1448" s="75"/>
      <c r="BF1448" s="75" t="s">
        <v>439</v>
      </c>
      <c r="BG1448" s="75"/>
      <c r="BH1448" s="75"/>
      <c r="BI1448" s="75" t="s">
        <v>439</v>
      </c>
      <c r="BJ1448" s="75"/>
      <c r="BK1448" s="75"/>
      <c r="BL1448" s="75" t="s">
        <v>439</v>
      </c>
      <c r="BM1448" s="75"/>
    </row>
    <row r="1449" spans="1:65" ht="15" customHeight="1" x14ac:dyDescent="0.2">
      <c r="A1449" s="38"/>
      <c r="B1449" s="38"/>
      <c r="C1449" s="75"/>
      <c r="D1449" s="75"/>
      <c r="E1449" s="75"/>
      <c r="F1449" s="75"/>
      <c r="G1449" s="75"/>
      <c r="H1449" s="75"/>
      <c r="I1449" s="75"/>
      <c r="J1449" s="75"/>
      <c r="K1449" s="75"/>
      <c r="L1449" s="75"/>
      <c r="M1449" s="75"/>
      <c r="N1449" s="75"/>
      <c r="O1449" s="75"/>
      <c r="P1449" s="75"/>
      <c r="Q1449" s="75"/>
      <c r="R1449" s="75"/>
      <c r="S1449" s="75"/>
      <c r="T1449" s="75"/>
      <c r="U1449" s="75"/>
      <c r="V1449" s="75"/>
      <c r="W1449" s="75"/>
      <c r="X1449" s="75"/>
      <c r="Y1449" s="75"/>
      <c r="Z1449" s="75"/>
      <c r="AA1449" s="75"/>
      <c r="AB1449" s="75"/>
      <c r="AC1449" s="75"/>
      <c r="AD1449" s="75"/>
      <c r="AE1449" s="75"/>
      <c r="AF1449" s="75"/>
      <c r="AG1449" s="75"/>
      <c r="AH1449" s="75"/>
      <c r="AI1449" s="75"/>
      <c r="AJ1449" s="75"/>
      <c r="AK1449" s="75"/>
      <c r="AL1449" s="75"/>
      <c r="AM1449" s="75"/>
      <c r="AN1449" s="75"/>
      <c r="AO1449" s="75"/>
      <c r="AP1449" s="75"/>
      <c r="AQ1449" s="75"/>
      <c r="AR1449" s="75"/>
      <c r="AS1449" s="75"/>
      <c r="AT1449" s="75"/>
      <c r="AU1449" s="75"/>
      <c r="AV1449" s="75"/>
      <c r="AW1449" s="75"/>
      <c r="AX1449" s="75"/>
      <c r="AY1449" s="75"/>
      <c r="AZ1449" s="75"/>
      <c r="BA1449" s="75"/>
      <c r="BB1449" s="75"/>
      <c r="BC1449" s="75"/>
      <c r="BD1449" s="75"/>
      <c r="BE1449" s="75"/>
      <c r="BF1449" s="75" t="s">
        <v>439</v>
      </c>
      <c r="BG1449" s="75"/>
      <c r="BH1449" s="75"/>
      <c r="BI1449" s="75" t="s">
        <v>439</v>
      </c>
      <c r="BJ1449" s="75"/>
      <c r="BK1449" s="75"/>
      <c r="BL1449" s="75" t="s">
        <v>439</v>
      </c>
      <c r="BM1449" s="75"/>
    </row>
    <row r="1450" spans="1:65" ht="15" customHeight="1" x14ac:dyDescent="0.2">
      <c r="A1450" s="38"/>
      <c r="B1450" s="38"/>
      <c r="C1450" s="75"/>
      <c r="D1450" s="75"/>
      <c r="E1450" s="75"/>
      <c r="F1450" s="75"/>
      <c r="G1450" s="75"/>
      <c r="H1450" s="75"/>
      <c r="I1450" s="75"/>
      <c r="J1450" s="75"/>
      <c r="K1450" s="75"/>
      <c r="L1450" s="75"/>
      <c r="M1450" s="75"/>
      <c r="N1450" s="75"/>
      <c r="O1450" s="75"/>
      <c r="P1450" s="75"/>
      <c r="Q1450" s="75"/>
      <c r="R1450" s="75"/>
      <c r="S1450" s="75"/>
      <c r="T1450" s="75"/>
      <c r="U1450" s="75"/>
      <c r="V1450" s="75"/>
      <c r="W1450" s="75"/>
      <c r="X1450" s="75"/>
      <c r="Y1450" s="75"/>
      <c r="Z1450" s="75"/>
      <c r="AA1450" s="75"/>
      <c r="AB1450" s="75"/>
      <c r="AC1450" s="75"/>
      <c r="AD1450" s="75"/>
      <c r="AE1450" s="75"/>
      <c r="AF1450" s="75"/>
      <c r="AG1450" s="75"/>
      <c r="AH1450" s="75"/>
      <c r="AI1450" s="75"/>
      <c r="AJ1450" s="75"/>
      <c r="AK1450" s="75"/>
      <c r="AL1450" s="75"/>
      <c r="AM1450" s="75"/>
      <c r="AN1450" s="75"/>
      <c r="AO1450" s="75"/>
      <c r="AP1450" s="75"/>
      <c r="AQ1450" s="75"/>
      <c r="AR1450" s="75"/>
      <c r="AS1450" s="75"/>
      <c r="AT1450" s="75"/>
      <c r="AU1450" s="75"/>
      <c r="AV1450" s="75"/>
      <c r="AW1450" s="75"/>
      <c r="AX1450" s="75"/>
      <c r="AY1450" s="75"/>
      <c r="AZ1450" s="75"/>
      <c r="BA1450" s="75"/>
      <c r="BB1450" s="75"/>
      <c r="BC1450" s="75"/>
      <c r="BD1450" s="75"/>
      <c r="BE1450" s="75"/>
      <c r="BF1450" s="75" t="s">
        <v>439</v>
      </c>
      <c r="BG1450" s="75"/>
      <c r="BH1450" s="75"/>
      <c r="BI1450" s="75" t="s">
        <v>439</v>
      </c>
      <c r="BJ1450" s="75"/>
      <c r="BK1450" s="75"/>
      <c r="BL1450" s="75" t="s">
        <v>439</v>
      </c>
      <c r="BM1450" s="75"/>
    </row>
    <row r="1451" spans="1:65" ht="15" customHeight="1" x14ac:dyDescent="0.2">
      <c r="A1451" s="38"/>
      <c r="B1451" s="38"/>
      <c r="C1451" s="75"/>
      <c r="D1451" s="75"/>
      <c r="E1451" s="75"/>
      <c r="F1451" s="75"/>
      <c r="G1451" s="75"/>
      <c r="H1451" s="75"/>
      <c r="I1451" s="75"/>
      <c r="J1451" s="75"/>
      <c r="K1451" s="75"/>
      <c r="L1451" s="75"/>
      <c r="M1451" s="75"/>
      <c r="N1451" s="75"/>
      <c r="O1451" s="75"/>
      <c r="P1451" s="75"/>
      <c r="Q1451" s="75"/>
      <c r="R1451" s="75"/>
      <c r="S1451" s="75"/>
      <c r="T1451" s="75"/>
      <c r="U1451" s="75"/>
      <c r="V1451" s="75"/>
      <c r="W1451" s="75"/>
      <c r="X1451" s="75"/>
      <c r="Y1451" s="75"/>
      <c r="Z1451" s="75"/>
      <c r="AA1451" s="75"/>
      <c r="AB1451" s="75"/>
      <c r="AC1451" s="75"/>
      <c r="AD1451" s="75"/>
      <c r="AE1451" s="75"/>
      <c r="AF1451" s="75"/>
      <c r="AG1451" s="75"/>
      <c r="AH1451" s="75"/>
      <c r="AI1451" s="75"/>
      <c r="AJ1451" s="75"/>
      <c r="AK1451" s="75"/>
      <c r="AL1451" s="75"/>
      <c r="AM1451" s="75"/>
      <c r="AN1451" s="75"/>
      <c r="AO1451" s="75"/>
      <c r="AP1451" s="75"/>
      <c r="AQ1451" s="75"/>
      <c r="AR1451" s="75"/>
      <c r="AS1451" s="75"/>
      <c r="AT1451" s="75"/>
      <c r="AU1451" s="75"/>
      <c r="AV1451" s="75"/>
      <c r="AW1451" s="75"/>
      <c r="AX1451" s="75"/>
      <c r="AY1451" s="75"/>
      <c r="AZ1451" s="75"/>
      <c r="BA1451" s="75"/>
      <c r="BB1451" s="75"/>
      <c r="BC1451" s="75"/>
      <c r="BD1451" s="75"/>
      <c r="BE1451" s="75"/>
      <c r="BF1451" s="75" t="s">
        <v>439</v>
      </c>
      <c r="BG1451" s="75"/>
      <c r="BH1451" s="75"/>
      <c r="BI1451" s="75" t="s">
        <v>439</v>
      </c>
      <c r="BJ1451" s="75"/>
      <c r="BK1451" s="75"/>
      <c r="BL1451" s="75" t="s">
        <v>439</v>
      </c>
      <c r="BM1451" s="75"/>
    </row>
    <row r="1452" spans="1:65" ht="15" customHeight="1" x14ac:dyDescent="0.2">
      <c r="A1452" s="38"/>
      <c r="B1452" s="38"/>
      <c r="C1452" s="75"/>
      <c r="D1452" s="75"/>
      <c r="E1452" s="75"/>
      <c r="F1452" s="75"/>
      <c r="G1452" s="75"/>
      <c r="H1452" s="75"/>
      <c r="I1452" s="75"/>
      <c r="J1452" s="75"/>
      <c r="K1452" s="75"/>
      <c r="L1452" s="75"/>
      <c r="M1452" s="75"/>
      <c r="N1452" s="75"/>
      <c r="O1452" s="75"/>
      <c r="P1452" s="75"/>
      <c r="Q1452" s="75"/>
      <c r="R1452" s="75"/>
      <c r="S1452" s="75"/>
      <c r="T1452" s="75"/>
      <c r="U1452" s="75"/>
      <c r="V1452" s="75"/>
      <c r="W1452" s="75"/>
      <c r="X1452" s="75"/>
      <c r="Y1452" s="75"/>
      <c r="Z1452" s="75"/>
      <c r="AA1452" s="75"/>
      <c r="AB1452" s="75"/>
      <c r="AC1452" s="75"/>
      <c r="AD1452" s="75"/>
      <c r="AE1452" s="75"/>
      <c r="AF1452" s="75"/>
      <c r="AG1452" s="75"/>
      <c r="AH1452" s="75"/>
      <c r="AI1452" s="75"/>
      <c r="AJ1452" s="75"/>
      <c r="AK1452" s="75"/>
      <c r="AL1452" s="75"/>
      <c r="AM1452" s="75"/>
      <c r="AN1452" s="75"/>
      <c r="AO1452" s="75"/>
      <c r="AP1452" s="75"/>
      <c r="AQ1452" s="75"/>
      <c r="AR1452" s="75"/>
      <c r="AS1452" s="75"/>
      <c r="AT1452" s="75"/>
      <c r="AU1452" s="75"/>
      <c r="AV1452" s="75"/>
      <c r="AW1452" s="75"/>
      <c r="AX1452" s="75"/>
      <c r="AY1452" s="75"/>
      <c r="AZ1452" s="75"/>
      <c r="BA1452" s="75"/>
      <c r="BB1452" s="75"/>
      <c r="BC1452" s="75"/>
      <c r="BD1452" s="75"/>
      <c r="BE1452" s="75"/>
      <c r="BF1452" s="75" t="s">
        <v>439</v>
      </c>
      <c r="BG1452" s="75"/>
      <c r="BH1452" s="75"/>
      <c r="BI1452" s="75" t="s">
        <v>439</v>
      </c>
      <c r="BJ1452" s="75"/>
      <c r="BK1452" s="75"/>
      <c r="BL1452" s="75" t="s">
        <v>439</v>
      </c>
      <c r="BM1452" s="75"/>
    </row>
    <row r="1453" spans="1:65" ht="15" customHeight="1" x14ac:dyDescent="0.2">
      <c r="A1453" s="38"/>
      <c r="B1453" s="38"/>
      <c r="C1453" s="75"/>
      <c r="D1453" s="75"/>
      <c r="E1453" s="75"/>
      <c r="F1453" s="75"/>
      <c r="G1453" s="75"/>
      <c r="H1453" s="75"/>
      <c r="I1453" s="75"/>
      <c r="J1453" s="75"/>
      <c r="K1453" s="75"/>
      <c r="L1453" s="75"/>
      <c r="M1453" s="75"/>
      <c r="N1453" s="75"/>
      <c r="O1453" s="75"/>
      <c r="P1453" s="75"/>
      <c r="Q1453" s="75"/>
      <c r="R1453" s="75"/>
      <c r="S1453" s="75"/>
      <c r="T1453" s="75"/>
      <c r="U1453" s="75"/>
      <c r="V1453" s="75"/>
      <c r="W1453" s="75"/>
      <c r="X1453" s="75"/>
      <c r="Y1453" s="75"/>
      <c r="Z1453" s="75"/>
      <c r="AA1453" s="75"/>
      <c r="AB1453" s="75"/>
      <c r="AC1453" s="75"/>
      <c r="AD1453" s="75"/>
      <c r="AE1453" s="75"/>
      <c r="AF1453" s="75"/>
      <c r="AG1453" s="75"/>
      <c r="AH1453" s="75"/>
      <c r="AI1453" s="75"/>
      <c r="AJ1453" s="75"/>
      <c r="AK1453" s="75"/>
      <c r="AL1453" s="75"/>
      <c r="AM1453" s="75"/>
      <c r="AN1453" s="75"/>
      <c r="AO1453" s="75"/>
      <c r="AP1453" s="75"/>
      <c r="AQ1453" s="75"/>
      <c r="AR1453" s="75"/>
      <c r="AS1453" s="75"/>
      <c r="AT1453" s="75"/>
      <c r="AU1453" s="75"/>
      <c r="AV1453" s="75"/>
      <c r="AW1453" s="75"/>
      <c r="AX1453" s="75"/>
      <c r="AY1453" s="75"/>
      <c r="AZ1453" s="75"/>
      <c r="BA1453" s="75"/>
      <c r="BB1453" s="75"/>
      <c r="BC1453" s="75"/>
      <c r="BD1453" s="75"/>
      <c r="BE1453" s="75"/>
      <c r="BF1453" s="75" t="s">
        <v>439</v>
      </c>
      <c r="BG1453" s="75"/>
      <c r="BH1453" s="75"/>
      <c r="BI1453" s="75" t="s">
        <v>439</v>
      </c>
      <c r="BJ1453" s="75"/>
      <c r="BK1453" s="75"/>
      <c r="BL1453" s="75" t="s">
        <v>439</v>
      </c>
      <c r="BM1453" s="75"/>
    </row>
    <row r="1454" spans="1:65" ht="15" customHeight="1" x14ac:dyDescent="0.2">
      <c r="A1454" s="38"/>
      <c r="B1454" s="38"/>
      <c r="C1454" s="75"/>
      <c r="D1454" s="75"/>
      <c r="E1454" s="75"/>
      <c r="F1454" s="75"/>
      <c r="G1454" s="75"/>
      <c r="H1454" s="75"/>
      <c r="I1454" s="75"/>
      <c r="J1454" s="75"/>
      <c r="K1454" s="75"/>
      <c r="L1454" s="75"/>
      <c r="M1454" s="75"/>
      <c r="N1454" s="75"/>
      <c r="O1454" s="75"/>
      <c r="P1454" s="75"/>
      <c r="Q1454" s="75"/>
      <c r="R1454" s="75"/>
      <c r="S1454" s="75"/>
      <c r="T1454" s="75"/>
      <c r="U1454" s="75"/>
      <c r="V1454" s="75"/>
      <c r="W1454" s="75"/>
      <c r="X1454" s="75"/>
      <c r="Y1454" s="75"/>
      <c r="Z1454" s="75"/>
      <c r="AA1454" s="75"/>
      <c r="AB1454" s="75"/>
      <c r="AC1454" s="75"/>
      <c r="AD1454" s="75"/>
      <c r="AE1454" s="75"/>
      <c r="AF1454" s="75"/>
      <c r="AG1454" s="75"/>
      <c r="AH1454" s="75"/>
      <c r="AI1454" s="75"/>
      <c r="AJ1454" s="75"/>
      <c r="AK1454" s="75"/>
      <c r="AL1454" s="75"/>
      <c r="AM1454" s="75"/>
      <c r="AN1454" s="75"/>
      <c r="AO1454" s="75"/>
      <c r="AP1454" s="75"/>
      <c r="AQ1454" s="75"/>
      <c r="AR1454" s="75"/>
      <c r="AS1454" s="75"/>
      <c r="AT1454" s="75"/>
      <c r="AU1454" s="75"/>
      <c r="AV1454" s="75"/>
      <c r="AW1454" s="75"/>
      <c r="AX1454" s="75"/>
      <c r="AY1454" s="75"/>
      <c r="AZ1454" s="75"/>
      <c r="BA1454" s="75"/>
      <c r="BB1454" s="75"/>
      <c r="BC1454" s="75"/>
      <c r="BD1454" s="75"/>
      <c r="BE1454" s="75"/>
      <c r="BF1454" s="75" t="s">
        <v>439</v>
      </c>
      <c r="BG1454" s="75"/>
      <c r="BH1454" s="75"/>
      <c r="BI1454" s="75" t="s">
        <v>439</v>
      </c>
      <c r="BJ1454" s="75"/>
      <c r="BK1454" s="75"/>
      <c r="BL1454" s="75" t="s">
        <v>439</v>
      </c>
      <c r="BM1454" s="75"/>
    </row>
    <row r="1455" spans="1:65" ht="15" customHeight="1" x14ac:dyDescent="0.2">
      <c r="A1455" s="38"/>
      <c r="B1455" s="38"/>
      <c r="C1455" s="75"/>
      <c r="D1455" s="75"/>
      <c r="E1455" s="75"/>
      <c r="F1455" s="75"/>
      <c r="G1455" s="75"/>
      <c r="H1455" s="75"/>
      <c r="I1455" s="75"/>
      <c r="J1455" s="75"/>
      <c r="K1455" s="75"/>
      <c r="L1455" s="75"/>
      <c r="M1455" s="75"/>
      <c r="N1455" s="75"/>
      <c r="O1455" s="75"/>
      <c r="P1455" s="75"/>
      <c r="Q1455" s="75"/>
      <c r="R1455" s="75"/>
      <c r="S1455" s="75"/>
      <c r="T1455" s="75"/>
      <c r="U1455" s="75"/>
      <c r="V1455" s="75"/>
      <c r="W1455" s="75"/>
      <c r="X1455" s="75"/>
      <c r="Y1455" s="75"/>
      <c r="Z1455" s="75"/>
      <c r="AA1455" s="75"/>
      <c r="AB1455" s="75"/>
      <c r="AC1455" s="75"/>
      <c r="AD1455" s="75"/>
      <c r="AE1455" s="75"/>
      <c r="AF1455" s="75"/>
      <c r="AG1455" s="75"/>
      <c r="AH1455" s="75"/>
      <c r="AI1455" s="75"/>
      <c r="AJ1455" s="75"/>
      <c r="AK1455" s="75"/>
      <c r="AL1455" s="75"/>
      <c r="AM1455" s="75"/>
      <c r="AN1455" s="75"/>
      <c r="AO1455" s="75"/>
      <c r="AP1455" s="75"/>
      <c r="AQ1455" s="75"/>
      <c r="AR1455" s="75"/>
      <c r="AS1455" s="75"/>
      <c r="AT1455" s="75"/>
      <c r="AU1455" s="75"/>
      <c r="AV1455" s="75"/>
      <c r="AW1455" s="75"/>
      <c r="AX1455" s="75"/>
      <c r="AY1455" s="75"/>
      <c r="AZ1455" s="75"/>
      <c r="BA1455" s="75"/>
      <c r="BB1455" s="75"/>
      <c r="BC1455" s="75"/>
      <c r="BD1455" s="75"/>
      <c r="BE1455" s="75"/>
      <c r="BF1455" s="75" t="s">
        <v>439</v>
      </c>
      <c r="BG1455" s="75"/>
      <c r="BH1455" s="75"/>
      <c r="BI1455" s="75" t="s">
        <v>439</v>
      </c>
      <c r="BJ1455" s="75"/>
      <c r="BK1455" s="75"/>
      <c r="BL1455" s="75" t="s">
        <v>439</v>
      </c>
      <c r="BM1455" s="75"/>
    </row>
    <row r="1456" spans="1:65" ht="15" customHeight="1" x14ac:dyDescent="0.2">
      <c r="A1456" s="38"/>
      <c r="B1456" s="38"/>
      <c r="C1456" s="75"/>
      <c r="D1456" s="75"/>
      <c r="E1456" s="75"/>
      <c r="F1456" s="75"/>
      <c r="G1456" s="75"/>
      <c r="H1456" s="75"/>
      <c r="I1456" s="75"/>
      <c r="J1456" s="75"/>
      <c r="K1456" s="75"/>
      <c r="L1456" s="75"/>
      <c r="M1456" s="75"/>
      <c r="N1456" s="75"/>
      <c r="O1456" s="75"/>
      <c r="P1456" s="75"/>
      <c r="Q1456" s="75"/>
      <c r="R1456" s="75"/>
      <c r="S1456" s="75"/>
      <c r="T1456" s="75"/>
      <c r="U1456" s="75"/>
      <c r="V1456" s="75"/>
      <c r="W1456" s="75"/>
      <c r="X1456" s="75"/>
      <c r="Y1456" s="75"/>
      <c r="Z1456" s="75"/>
      <c r="AA1456" s="75"/>
      <c r="AB1456" s="75"/>
      <c r="AC1456" s="75"/>
      <c r="AD1456" s="75"/>
      <c r="AE1456" s="75"/>
      <c r="AF1456" s="75"/>
      <c r="AG1456" s="75"/>
      <c r="AH1456" s="75"/>
      <c r="AI1456" s="75"/>
      <c r="AJ1456" s="75"/>
      <c r="AK1456" s="75"/>
      <c r="AL1456" s="75"/>
      <c r="AM1456" s="75"/>
      <c r="AN1456" s="75"/>
      <c r="AO1456" s="75"/>
      <c r="AP1456" s="75"/>
      <c r="AQ1456" s="75"/>
      <c r="AR1456" s="75"/>
      <c r="AS1456" s="75"/>
      <c r="AT1456" s="75"/>
      <c r="AU1456" s="75"/>
      <c r="AV1456" s="75"/>
      <c r="AW1456" s="75"/>
      <c r="AX1456" s="75"/>
      <c r="AY1456" s="75"/>
      <c r="AZ1456" s="75"/>
      <c r="BA1456" s="75"/>
      <c r="BB1456" s="75"/>
      <c r="BC1456" s="75"/>
      <c r="BD1456" s="75"/>
      <c r="BE1456" s="75"/>
      <c r="BF1456" s="75" t="s">
        <v>439</v>
      </c>
      <c r="BG1456" s="75"/>
      <c r="BH1456" s="75"/>
      <c r="BI1456" s="75" t="s">
        <v>439</v>
      </c>
      <c r="BJ1456" s="75"/>
      <c r="BK1456" s="75"/>
      <c r="BL1456" s="75" t="s">
        <v>439</v>
      </c>
      <c r="BM1456" s="75"/>
    </row>
    <row r="1457" spans="1:65" ht="15" customHeight="1" x14ac:dyDescent="0.2">
      <c r="A1457" s="38"/>
      <c r="B1457" s="38"/>
      <c r="C1457" s="75"/>
      <c r="D1457" s="75"/>
      <c r="E1457" s="75"/>
      <c r="F1457" s="75"/>
      <c r="G1457" s="75"/>
      <c r="H1457" s="75"/>
      <c r="I1457" s="75"/>
      <c r="J1457" s="75"/>
      <c r="K1457" s="75"/>
      <c r="L1457" s="75"/>
      <c r="M1457" s="75"/>
      <c r="N1457" s="75"/>
      <c r="O1457" s="75"/>
      <c r="P1457" s="75"/>
      <c r="Q1457" s="75"/>
      <c r="R1457" s="75"/>
      <c r="S1457" s="75"/>
      <c r="T1457" s="75"/>
      <c r="U1457" s="75"/>
      <c r="V1457" s="75"/>
      <c r="W1457" s="75"/>
      <c r="X1457" s="75"/>
      <c r="Y1457" s="75"/>
      <c r="Z1457" s="75"/>
      <c r="AA1457" s="75"/>
      <c r="AB1457" s="75"/>
      <c r="AC1457" s="75"/>
      <c r="AD1457" s="75"/>
      <c r="AE1457" s="75"/>
      <c r="AF1457" s="75"/>
      <c r="AG1457" s="75"/>
      <c r="AH1457" s="75"/>
      <c r="AI1457" s="75"/>
      <c r="AJ1457" s="75"/>
      <c r="AK1457" s="75"/>
      <c r="AL1457" s="75"/>
      <c r="AM1457" s="75"/>
      <c r="AN1457" s="75"/>
      <c r="AO1457" s="75"/>
      <c r="AP1457" s="75"/>
      <c r="AQ1457" s="75"/>
      <c r="AR1457" s="75"/>
      <c r="AS1457" s="75"/>
      <c r="AT1457" s="75"/>
      <c r="AU1457" s="75"/>
      <c r="AV1457" s="75"/>
      <c r="AW1457" s="75"/>
      <c r="AX1457" s="75"/>
      <c r="AY1457" s="75"/>
      <c r="AZ1457" s="75"/>
      <c r="BA1457" s="75"/>
      <c r="BB1457" s="75"/>
      <c r="BC1457" s="75"/>
      <c r="BD1457" s="75"/>
      <c r="BE1457" s="75"/>
      <c r="BF1457" s="75" t="s">
        <v>439</v>
      </c>
      <c r="BG1457" s="75"/>
      <c r="BH1457" s="75"/>
      <c r="BI1457" s="75" t="s">
        <v>439</v>
      </c>
      <c r="BJ1457" s="75"/>
      <c r="BK1457" s="75"/>
      <c r="BL1457" s="75" t="s">
        <v>439</v>
      </c>
      <c r="BM1457" s="75"/>
    </row>
    <row r="1458" spans="1:65" ht="15" customHeight="1" x14ac:dyDescent="0.2">
      <c r="A1458" s="38"/>
      <c r="B1458" s="38"/>
      <c r="C1458" s="75"/>
      <c r="D1458" s="75"/>
      <c r="E1458" s="75"/>
      <c r="F1458" s="75"/>
      <c r="G1458" s="75"/>
      <c r="H1458" s="75"/>
      <c r="I1458" s="75"/>
      <c r="J1458" s="75"/>
      <c r="K1458" s="75"/>
      <c r="L1458" s="75"/>
      <c r="M1458" s="75"/>
      <c r="N1458" s="75"/>
      <c r="O1458" s="75"/>
      <c r="P1458" s="75"/>
      <c r="Q1458" s="75"/>
      <c r="R1458" s="75"/>
      <c r="S1458" s="75"/>
      <c r="T1458" s="75"/>
      <c r="U1458" s="75"/>
      <c r="V1458" s="75"/>
      <c r="W1458" s="75"/>
      <c r="X1458" s="75"/>
      <c r="Y1458" s="75"/>
      <c r="Z1458" s="75"/>
      <c r="AA1458" s="75"/>
      <c r="AB1458" s="75"/>
      <c r="AC1458" s="75"/>
      <c r="AD1458" s="75"/>
      <c r="AE1458" s="75"/>
      <c r="AF1458" s="75"/>
      <c r="AG1458" s="75"/>
      <c r="AH1458" s="75"/>
      <c r="AI1458" s="75"/>
      <c r="AJ1458" s="75"/>
      <c r="AK1458" s="75"/>
      <c r="AL1458" s="75"/>
      <c r="AM1458" s="75"/>
      <c r="AN1458" s="75"/>
      <c r="AO1458" s="75"/>
      <c r="AP1458" s="75"/>
      <c r="AQ1458" s="75"/>
      <c r="AR1458" s="75"/>
      <c r="AS1458" s="75"/>
      <c r="AT1458" s="75"/>
      <c r="AU1458" s="75"/>
      <c r="AV1458" s="75"/>
      <c r="AW1458" s="75"/>
      <c r="AX1458" s="75"/>
      <c r="AY1458" s="75"/>
      <c r="AZ1458" s="75"/>
      <c r="BA1458" s="75"/>
      <c r="BB1458" s="75"/>
      <c r="BC1458" s="75"/>
      <c r="BD1458" s="75"/>
      <c r="BE1458" s="75"/>
      <c r="BF1458" s="75" t="s">
        <v>439</v>
      </c>
      <c r="BG1458" s="75"/>
      <c r="BH1458" s="75"/>
      <c r="BI1458" s="75" t="s">
        <v>439</v>
      </c>
      <c r="BJ1458" s="75"/>
      <c r="BK1458" s="75"/>
      <c r="BL1458" s="75" t="s">
        <v>439</v>
      </c>
      <c r="BM1458" s="75"/>
    </row>
    <row r="1459" spans="1:65" ht="15" customHeight="1" x14ac:dyDescent="0.2">
      <c r="A1459" s="38"/>
      <c r="B1459" s="38"/>
      <c r="C1459" s="75"/>
      <c r="D1459" s="75"/>
      <c r="E1459" s="75"/>
      <c r="F1459" s="75"/>
      <c r="G1459" s="75"/>
      <c r="H1459" s="75"/>
      <c r="I1459" s="75"/>
      <c r="J1459" s="75"/>
      <c r="K1459" s="75"/>
      <c r="L1459" s="75"/>
      <c r="M1459" s="75"/>
      <c r="N1459" s="75"/>
      <c r="O1459" s="75"/>
      <c r="P1459" s="75"/>
      <c r="Q1459" s="75"/>
      <c r="R1459" s="75"/>
      <c r="S1459" s="75"/>
      <c r="T1459" s="75"/>
      <c r="U1459" s="75"/>
      <c r="V1459" s="75"/>
      <c r="W1459" s="75"/>
      <c r="X1459" s="75"/>
      <c r="Y1459" s="75"/>
      <c r="Z1459" s="75"/>
      <c r="AA1459" s="75"/>
      <c r="AB1459" s="75"/>
      <c r="AC1459" s="75"/>
      <c r="AD1459" s="75"/>
      <c r="AE1459" s="75"/>
      <c r="AF1459" s="75"/>
      <c r="AG1459" s="75"/>
      <c r="AH1459" s="75"/>
      <c r="AI1459" s="75"/>
      <c r="AJ1459" s="75"/>
      <c r="AK1459" s="75"/>
      <c r="AL1459" s="75"/>
      <c r="AM1459" s="75"/>
      <c r="AN1459" s="75"/>
      <c r="AO1459" s="75"/>
      <c r="AP1459" s="75"/>
      <c r="AQ1459" s="75"/>
      <c r="AR1459" s="75"/>
      <c r="AS1459" s="75"/>
      <c r="AT1459" s="75"/>
      <c r="AU1459" s="75"/>
      <c r="AV1459" s="75"/>
      <c r="AW1459" s="75"/>
      <c r="AX1459" s="75"/>
      <c r="AY1459" s="75"/>
      <c r="AZ1459" s="75"/>
      <c r="BA1459" s="75"/>
      <c r="BB1459" s="75"/>
      <c r="BC1459" s="75"/>
      <c r="BD1459" s="75"/>
      <c r="BE1459" s="75"/>
      <c r="BF1459" s="75" t="s">
        <v>439</v>
      </c>
      <c r="BG1459" s="75"/>
      <c r="BH1459" s="75"/>
      <c r="BI1459" s="75" t="s">
        <v>439</v>
      </c>
      <c r="BJ1459" s="75"/>
      <c r="BK1459" s="75"/>
      <c r="BL1459" s="75" t="s">
        <v>439</v>
      </c>
      <c r="BM1459" s="75"/>
    </row>
    <row r="1460" spans="1:65" ht="15" customHeight="1" x14ac:dyDescent="0.2">
      <c r="A1460" s="38"/>
      <c r="B1460" s="38"/>
      <c r="C1460" s="75"/>
      <c r="D1460" s="75"/>
      <c r="E1460" s="75"/>
      <c r="F1460" s="75"/>
      <c r="G1460" s="75"/>
      <c r="H1460" s="75"/>
      <c r="I1460" s="75"/>
      <c r="J1460" s="75"/>
      <c r="K1460" s="75"/>
      <c r="L1460" s="75"/>
      <c r="M1460" s="75"/>
      <c r="N1460" s="75"/>
      <c r="O1460" s="75"/>
      <c r="P1460" s="75"/>
      <c r="Q1460" s="75"/>
      <c r="R1460" s="75"/>
      <c r="S1460" s="75"/>
      <c r="T1460" s="75"/>
      <c r="U1460" s="75"/>
      <c r="V1460" s="75"/>
      <c r="W1460" s="75"/>
      <c r="X1460" s="75"/>
      <c r="Y1460" s="75"/>
      <c r="Z1460" s="75"/>
      <c r="AA1460" s="75"/>
      <c r="AB1460" s="75"/>
      <c r="AC1460" s="75"/>
      <c r="AD1460" s="75"/>
      <c r="AE1460" s="75"/>
      <c r="AF1460" s="75"/>
      <c r="AG1460" s="75"/>
      <c r="AH1460" s="75"/>
      <c r="AI1460" s="75"/>
      <c r="AJ1460" s="75"/>
      <c r="AK1460" s="75"/>
      <c r="AL1460" s="75"/>
      <c r="AM1460" s="75"/>
      <c r="AN1460" s="75"/>
      <c r="AO1460" s="75"/>
      <c r="AP1460" s="75"/>
      <c r="AQ1460" s="75"/>
      <c r="AR1460" s="75"/>
      <c r="AS1460" s="75"/>
      <c r="AT1460" s="75"/>
      <c r="AU1460" s="75"/>
      <c r="AV1460" s="75"/>
      <c r="AW1460" s="75"/>
      <c r="AX1460" s="75"/>
      <c r="AY1460" s="75"/>
      <c r="AZ1460" s="75"/>
      <c r="BA1460" s="75"/>
      <c r="BB1460" s="75"/>
      <c r="BC1460" s="75"/>
      <c r="BD1460" s="75"/>
      <c r="BE1460" s="75"/>
      <c r="BF1460" s="75" t="s">
        <v>439</v>
      </c>
      <c r="BG1460" s="75"/>
      <c r="BH1460" s="75"/>
      <c r="BI1460" s="75" t="s">
        <v>439</v>
      </c>
      <c r="BJ1460" s="75"/>
      <c r="BK1460" s="75"/>
      <c r="BL1460" s="75" t="s">
        <v>439</v>
      </c>
      <c r="BM1460" s="75"/>
    </row>
    <row r="1461" spans="1:65" ht="15" customHeight="1" x14ac:dyDescent="0.2">
      <c r="A1461" s="38"/>
      <c r="B1461" s="38"/>
      <c r="C1461" s="75"/>
      <c r="D1461" s="75"/>
      <c r="E1461" s="75"/>
      <c r="F1461" s="75"/>
      <c r="G1461" s="75"/>
      <c r="H1461" s="75"/>
      <c r="I1461" s="75"/>
      <c r="J1461" s="75"/>
      <c r="K1461" s="75"/>
      <c r="L1461" s="75"/>
      <c r="M1461" s="75"/>
      <c r="N1461" s="75"/>
      <c r="O1461" s="75"/>
      <c r="P1461" s="75"/>
      <c r="Q1461" s="75"/>
      <c r="R1461" s="75"/>
      <c r="S1461" s="75"/>
      <c r="T1461" s="75"/>
      <c r="U1461" s="75"/>
      <c r="V1461" s="75"/>
      <c r="W1461" s="75"/>
      <c r="X1461" s="75"/>
      <c r="Y1461" s="75"/>
      <c r="Z1461" s="75"/>
      <c r="AA1461" s="75"/>
      <c r="AB1461" s="75"/>
      <c r="AC1461" s="75"/>
      <c r="AD1461" s="75"/>
      <c r="AE1461" s="75"/>
      <c r="AF1461" s="75"/>
      <c r="AG1461" s="75"/>
      <c r="AH1461" s="75"/>
      <c r="AI1461" s="75"/>
      <c r="AJ1461" s="75"/>
      <c r="AK1461" s="75"/>
      <c r="AL1461" s="75"/>
      <c r="AM1461" s="75"/>
      <c r="AN1461" s="75"/>
      <c r="AO1461" s="75"/>
      <c r="AP1461" s="75"/>
      <c r="AQ1461" s="75"/>
      <c r="AR1461" s="75"/>
      <c r="AS1461" s="75"/>
      <c r="AT1461" s="75"/>
      <c r="AU1461" s="75"/>
      <c r="AV1461" s="75"/>
      <c r="AW1461" s="75"/>
      <c r="AX1461" s="75"/>
      <c r="AY1461" s="75"/>
      <c r="AZ1461" s="75"/>
      <c r="BA1461" s="75"/>
      <c r="BB1461" s="75"/>
      <c r="BC1461" s="75"/>
      <c r="BD1461" s="75"/>
      <c r="BE1461" s="75"/>
      <c r="BF1461" s="75" t="s">
        <v>439</v>
      </c>
      <c r="BG1461" s="75"/>
      <c r="BH1461" s="75"/>
      <c r="BI1461" s="75" t="s">
        <v>439</v>
      </c>
      <c r="BJ1461" s="75"/>
      <c r="BK1461" s="75"/>
      <c r="BL1461" s="75" t="s">
        <v>439</v>
      </c>
      <c r="BM1461" s="75"/>
    </row>
    <row r="1462" spans="1:65" ht="15" customHeight="1" x14ac:dyDescent="0.2">
      <c r="A1462" s="38"/>
      <c r="B1462" s="38"/>
      <c r="C1462" s="75"/>
      <c r="D1462" s="75"/>
      <c r="E1462" s="75"/>
      <c r="F1462" s="75"/>
      <c r="G1462" s="75"/>
      <c r="H1462" s="75"/>
      <c r="I1462" s="75"/>
      <c r="J1462" s="75"/>
      <c r="K1462" s="75"/>
      <c r="L1462" s="75"/>
      <c r="M1462" s="75"/>
      <c r="N1462" s="75"/>
      <c r="O1462" s="75"/>
      <c r="P1462" s="75"/>
      <c r="Q1462" s="75"/>
      <c r="R1462" s="75"/>
      <c r="S1462" s="75"/>
      <c r="T1462" s="75"/>
      <c r="U1462" s="75"/>
      <c r="V1462" s="75"/>
      <c r="W1462" s="75"/>
      <c r="X1462" s="75"/>
      <c r="Y1462" s="75"/>
      <c r="Z1462" s="75"/>
      <c r="AA1462" s="75"/>
      <c r="AB1462" s="75"/>
      <c r="AC1462" s="75"/>
      <c r="AD1462" s="75"/>
      <c r="AE1462" s="75"/>
      <c r="AF1462" s="75"/>
      <c r="AG1462" s="75"/>
      <c r="AH1462" s="75"/>
      <c r="AI1462" s="75"/>
      <c r="AJ1462" s="75"/>
      <c r="AK1462" s="75"/>
      <c r="AL1462" s="75"/>
      <c r="AM1462" s="75"/>
      <c r="AN1462" s="75"/>
      <c r="AO1462" s="75"/>
      <c r="AP1462" s="75"/>
      <c r="AQ1462" s="75"/>
      <c r="AR1462" s="75"/>
      <c r="AS1462" s="75"/>
      <c r="AT1462" s="75"/>
      <c r="AU1462" s="75"/>
      <c r="AV1462" s="75"/>
      <c r="AW1462" s="75"/>
      <c r="AX1462" s="75"/>
      <c r="AY1462" s="75"/>
      <c r="AZ1462" s="75"/>
      <c r="BA1462" s="75"/>
      <c r="BB1462" s="75"/>
      <c r="BC1462" s="75"/>
      <c r="BD1462" s="75"/>
      <c r="BE1462" s="75"/>
      <c r="BF1462" s="75" t="s">
        <v>439</v>
      </c>
      <c r="BG1462" s="75"/>
      <c r="BH1462" s="75"/>
      <c r="BI1462" s="75" t="s">
        <v>439</v>
      </c>
      <c r="BJ1462" s="75"/>
      <c r="BK1462" s="75"/>
      <c r="BL1462" s="75" t="s">
        <v>439</v>
      </c>
      <c r="BM1462" s="75"/>
    </row>
    <row r="1463" spans="1:65" ht="15" customHeight="1" x14ac:dyDescent="0.2">
      <c r="A1463" s="38"/>
      <c r="B1463" s="38"/>
      <c r="C1463" s="75"/>
      <c r="D1463" s="75"/>
      <c r="E1463" s="75"/>
      <c r="F1463" s="75"/>
      <c r="G1463" s="75"/>
      <c r="H1463" s="75"/>
      <c r="I1463" s="75"/>
      <c r="J1463" s="75"/>
      <c r="K1463" s="75"/>
      <c r="L1463" s="75"/>
      <c r="M1463" s="75"/>
      <c r="N1463" s="75"/>
      <c r="O1463" s="75"/>
      <c r="P1463" s="75"/>
      <c r="Q1463" s="75"/>
      <c r="R1463" s="75"/>
      <c r="S1463" s="75"/>
      <c r="T1463" s="75"/>
      <c r="U1463" s="75"/>
      <c r="V1463" s="75"/>
      <c r="W1463" s="75"/>
      <c r="X1463" s="75"/>
      <c r="Y1463" s="75"/>
      <c r="Z1463" s="75"/>
      <c r="AA1463" s="75"/>
      <c r="AB1463" s="75"/>
      <c r="AC1463" s="75"/>
      <c r="AD1463" s="75"/>
      <c r="AE1463" s="75"/>
      <c r="AF1463" s="75"/>
      <c r="AG1463" s="75"/>
      <c r="AH1463" s="75"/>
      <c r="AI1463" s="75"/>
      <c r="AJ1463" s="75"/>
      <c r="AK1463" s="75"/>
      <c r="AL1463" s="75"/>
      <c r="AM1463" s="75"/>
      <c r="AN1463" s="75"/>
      <c r="AO1463" s="75"/>
      <c r="AP1463" s="75"/>
      <c r="AQ1463" s="75"/>
      <c r="AR1463" s="75"/>
      <c r="AS1463" s="75"/>
      <c r="AT1463" s="75"/>
      <c r="AU1463" s="75"/>
      <c r="AV1463" s="75"/>
      <c r="AW1463" s="75"/>
      <c r="AX1463" s="75"/>
      <c r="AY1463" s="75"/>
      <c r="AZ1463" s="75"/>
      <c r="BA1463" s="75"/>
      <c r="BB1463" s="75"/>
      <c r="BC1463" s="75"/>
      <c r="BD1463" s="75"/>
      <c r="BE1463" s="75"/>
      <c r="BF1463" s="75" t="s">
        <v>439</v>
      </c>
      <c r="BG1463" s="75"/>
      <c r="BH1463" s="75"/>
      <c r="BI1463" s="75" t="s">
        <v>439</v>
      </c>
      <c r="BJ1463" s="75"/>
      <c r="BK1463" s="75"/>
      <c r="BL1463" s="75" t="s">
        <v>439</v>
      </c>
      <c r="BM1463" s="75"/>
    </row>
    <row r="1464" spans="1:65" ht="15" customHeight="1" x14ac:dyDescent="0.2">
      <c r="A1464" s="38"/>
      <c r="B1464" s="38"/>
      <c r="C1464" s="75"/>
      <c r="D1464" s="75"/>
      <c r="E1464" s="75"/>
      <c r="F1464" s="75"/>
      <c r="G1464" s="75"/>
      <c r="H1464" s="75"/>
      <c r="I1464" s="75"/>
      <c r="J1464" s="75"/>
      <c r="K1464" s="75"/>
      <c r="L1464" s="75"/>
      <c r="M1464" s="75"/>
      <c r="N1464" s="75"/>
      <c r="O1464" s="75"/>
      <c r="P1464" s="75"/>
      <c r="Q1464" s="75"/>
      <c r="R1464" s="75"/>
      <c r="S1464" s="75"/>
      <c r="T1464" s="75"/>
      <c r="U1464" s="75"/>
      <c r="V1464" s="75"/>
      <c r="W1464" s="75"/>
      <c r="X1464" s="75"/>
      <c r="Y1464" s="75"/>
      <c r="Z1464" s="75"/>
      <c r="AA1464" s="75"/>
      <c r="AB1464" s="75"/>
      <c r="AC1464" s="75"/>
      <c r="AD1464" s="75"/>
      <c r="AE1464" s="75"/>
      <c r="AF1464" s="75"/>
      <c r="AG1464" s="75"/>
      <c r="AH1464" s="75"/>
      <c r="AI1464" s="75"/>
      <c r="AJ1464" s="75"/>
      <c r="AK1464" s="75"/>
      <c r="AL1464" s="75"/>
      <c r="AM1464" s="75"/>
      <c r="AN1464" s="75"/>
      <c r="AO1464" s="75"/>
      <c r="AP1464" s="75"/>
      <c r="AQ1464" s="75"/>
      <c r="AR1464" s="75"/>
      <c r="AS1464" s="75"/>
      <c r="AT1464" s="75"/>
      <c r="AU1464" s="75"/>
      <c r="AV1464" s="75"/>
      <c r="AW1464" s="75"/>
      <c r="AX1464" s="75"/>
      <c r="AY1464" s="75"/>
      <c r="AZ1464" s="75"/>
      <c r="BA1464" s="75"/>
      <c r="BB1464" s="75"/>
      <c r="BC1464" s="75"/>
      <c r="BD1464" s="75"/>
      <c r="BE1464" s="75"/>
      <c r="BF1464" s="75" t="s">
        <v>439</v>
      </c>
      <c r="BG1464" s="75"/>
      <c r="BH1464" s="75"/>
      <c r="BI1464" s="75" t="s">
        <v>439</v>
      </c>
      <c r="BJ1464" s="75"/>
      <c r="BK1464" s="75"/>
      <c r="BL1464" s="75" t="s">
        <v>439</v>
      </c>
      <c r="BM1464" s="75"/>
    </row>
    <row r="1465" spans="1:65" ht="15" customHeight="1" x14ac:dyDescent="0.2">
      <c r="A1465" s="38"/>
      <c r="B1465" s="38"/>
      <c r="C1465" s="75"/>
      <c r="D1465" s="75"/>
      <c r="E1465" s="75"/>
      <c r="F1465" s="75"/>
      <c r="G1465" s="75"/>
      <c r="H1465" s="75"/>
      <c r="I1465" s="75"/>
      <c r="J1465" s="75"/>
      <c r="K1465" s="75"/>
      <c r="L1465" s="75"/>
      <c r="M1465" s="75"/>
      <c r="N1465" s="75"/>
      <c r="O1465" s="75"/>
      <c r="P1465" s="75"/>
      <c r="Q1465" s="75"/>
      <c r="R1465" s="75"/>
      <c r="S1465" s="75"/>
      <c r="T1465" s="75"/>
      <c r="U1465" s="75"/>
      <c r="V1465" s="75"/>
      <c r="W1465" s="75"/>
      <c r="X1465" s="75"/>
      <c r="Y1465" s="75"/>
      <c r="Z1465" s="75"/>
      <c r="AA1465" s="75"/>
      <c r="AB1465" s="75"/>
      <c r="AC1465" s="75"/>
      <c r="AD1465" s="75"/>
      <c r="AE1465" s="75"/>
      <c r="AF1465" s="75"/>
      <c r="AG1465" s="75"/>
      <c r="AH1465" s="75"/>
      <c r="AI1465" s="75"/>
      <c r="AJ1465" s="75"/>
      <c r="AK1465" s="75"/>
      <c r="AL1465" s="75"/>
      <c r="AM1465" s="75"/>
      <c r="AN1465" s="75"/>
      <c r="AO1465" s="75"/>
      <c r="AP1465" s="75"/>
      <c r="AQ1465" s="75"/>
      <c r="AR1465" s="75"/>
      <c r="AS1465" s="75"/>
      <c r="AT1465" s="75"/>
      <c r="AU1465" s="75"/>
      <c r="AV1465" s="75"/>
      <c r="AW1465" s="75"/>
      <c r="AX1465" s="75"/>
      <c r="AY1465" s="75"/>
      <c r="AZ1465" s="75"/>
      <c r="BA1465" s="75"/>
      <c r="BB1465" s="75"/>
      <c r="BC1465" s="75"/>
      <c r="BD1465" s="75"/>
      <c r="BE1465" s="75"/>
      <c r="BF1465" s="75" t="s">
        <v>439</v>
      </c>
      <c r="BG1465" s="75"/>
      <c r="BH1465" s="75"/>
      <c r="BI1465" s="75" t="s">
        <v>439</v>
      </c>
      <c r="BJ1465" s="75"/>
      <c r="BK1465" s="75"/>
      <c r="BL1465" s="75" t="s">
        <v>439</v>
      </c>
      <c r="BM1465" s="75"/>
    </row>
    <row r="1466" spans="1:65" ht="15" customHeight="1" x14ac:dyDescent="0.2">
      <c r="A1466" s="38"/>
      <c r="B1466" s="38"/>
      <c r="C1466" s="75"/>
      <c r="D1466" s="75"/>
      <c r="E1466" s="75"/>
      <c r="F1466" s="75"/>
      <c r="G1466" s="75"/>
      <c r="H1466" s="75"/>
      <c r="I1466" s="75"/>
      <c r="J1466" s="75"/>
      <c r="K1466" s="75"/>
      <c r="L1466" s="75"/>
      <c r="M1466" s="75"/>
      <c r="N1466" s="75"/>
      <c r="O1466" s="75"/>
      <c r="P1466" s="75"/>
      <c r="Q1466" s="75"/>
      <c r="R1466" s="75"/>
      <c r="S1466" s="75"/>
      <c r="T1466" s="75"/>
      <c r="U1466" s="75"/>
      <c r="V1466" s="75"/>
      <c r="W1466" s="75"/>
      <c r="X1466" s="75"/>
      <c r="Y1466" s="75"/>
      <c r="Z1466" s="75"/>
      <c r="AA1466" s="75"/>
      <c r="AB1466" s="75"/>
      <c r="AC1466" s="75"/>
      <c r="AD1466" s="75"/>
      <c r="AE1466" s="75"/>
      <c r="AF1466" s="75"/>
      <c r="AG1466" s="75"/>
      <c r="AH1466" s="75"/>
      <c r="AI1466" s="75"/>
      <c r="AJ1466" s="75"/>
      <c r="AK1466" s="75"/>
      <c r="AL1466" s="75"/>
      <c r="AM1466" s="75"/>
      <c r="AN1466" s="75"/>
      <c r="AO1466" s="75"/>
      <c r="AP1466" s="75"/>
      <c r="AQ1466" s="75"/>
      <c r="AR1466" s="75"/>
      <c r="AS1466" s="75"/>
      <c r="AT1466" s="75"/>
      <c r="AU1466" s="75"/>
      <c r="AV1466" s="75"/>
      <c r="AW1466" s="75"/>
      <c r="AX1466" s="75"/>
      <c r="AY1466" s="75"/>
      <c r="AZ1466" s="75"/>
      <c r="BA1466" s="75"/>
      <c r="BB1466" s="75"/>
      <c r="BC1466" s="75"/>
      <c r="BD1466" s="75"/>
      <c r="BE1466" s="75"/>
      <c r="BF1466" s="75" t="s">
        <v>439</v>
      </c>
      <c r="BG1466" s="75"/>
      <c r="BH1466" s="75"/>
      <c r="BI1466" s="75" t="s">
        <v>439</v>
      </c>
      <c r="BJ1466" s="75"/>
      <c r="BK1466" s="75"/>
      <c r="BL1466" s="75" t="s">
        <v>439</v>
      </c>
      <c r="BM1466" s="75"/>
    </row>
    <row r="1467" spans="1:65" ht="15" customHeight="1" x14ac:dyDescent="0.2">
      <c r="A1467" s="38"/>
      <c r="B1467" s="38"/>
      <c r="C1467" s="75"/>
      <c r="D1467" s="75"/>
      <c r="E1467" s="75"/>
      <c r="F1467" s="75"/>
      <c r="G1467" s="75"/>
      <c r="H1467" s="75"/>
      <c r="I1467" s="75"/>
      <c r="J1467" s="75"/>
      <c r="K1467" s="75"/>
      <c r="L1467" s="75"/>
      <c r="M1467" s="75"/>
      <c r="N1467" s="75"/>
      <c r="O1467" s="75"/>
      <c r="P1467" s="75"/>
      <c r="Q1467" s="75"/>
      <c r="R1467" s="75"/>
      <c r="S1467" s="75"/>
      <c r="T1467" s="75"/>
      <c r="U1467" s="75"/>
      <c r="V1467" s="75"/>
      <c r="W1467" s="75"/>
      <c r="X1467" s="75"/>
      <c r="Y1467" s="75"/>
      <c r="Z1467" s="75"/>
      <c r="AA1467" s="75"/>
      <c r="AB1467" s="75"/>
      <c r="AC1467" s="75"/>
      <c r="AD1467" s="75"/>
      <c r="AE1467" s="75"/>
      <c r="AF1467" s="75"/>
      <c r="AG1467" s="75"/>
      <c r="AH1467" s="75"/>
      <c r="AI1467" s="75"/>
      <c r="AJ1467" s="75"/>
      <c r="AK1467" s="75"/>
      <c r="AL1467" s="75"/>
      <c r="AM1467" s="75"/>
      <c r="AN1467" s="75"/>
      <c r="AO1467" s="75"/>
      <c r="AP1467" s="75"/>
      <c r="AQ1467" s="75"/>
      <c r="AR1467" s="75"/>
      <c r="AS1467" s="75"/>
      <c r="AT1467" s="75"/>
      <c r="AU1467" s="75"/>
      <c r="AV1467" s="75"/>
      <c r="AW1467" s="75"/>
      <c r="AX1467" s="75"/>
      <c r="AY1467" s="75"/>
      <c r="AZ1467" s="75"/>
      <c r="BA1467" s="75"/>
      <c r="BB1467" s="75"/>
      <c r="BC1467" s="75"/>
      <c r="BD1467" s="75"/>
      <c r="BE1467" s="75"/>
      <c r="BF1467" s="75" t="s">
        <v>439</v>
      </c>
      <c r="BG1467" s="75"/>
      <c r="BH1467" s="75"/>
      <c r="BI1467" s="75" t="s">
        <v>439</v>
      </c>
      <c r="BJ1467" s="75"/>
      <c r="BK1467" s="75"/>
      <c r="BL1467" s="75" t="s">
        <v>439</v>
      </c>
      <c r="BM1467" s="75"/>
    </row>
    <row r="1468" spans="1:65" ht="15" customHeight="1" x14ac:dyDescent="0.2">
      <c r="A1468" s="38"/>
      <c r="B1468" s="38"/>
      <c r="C1468" s="75"/>
      <c r="D1468" s="75"/>
      <c r="E1468" s="75"/>
      <c r="F1468" s="75"/>
      <c r="G1468" s="75"/>
      <c r="H1468" s="75"/>
      <c r="I1468" s="75"/>
      <c r="J1468" s="75"/>
      <c r="K1468" s="75"/>
      <c r="L1468" s="75"/>
      <c r="M1468" s="75"/>
      <c r="N1468" s="75"/>
      <c r="O1468" s="75"/>
      <c r="P1468" s="75"/>
      <c r="Q1468" s="75"/>
      <c r="R1468" s="75"/>
      <c r="S1468" s="75"/>
      <c r="T1468" s="75"/>
      <c r="U1468" s="75"/>
      <c r="V1468" s="75"/>
      <c r="W1468" s="75"/>
      <c r="X1468" s="75"/>
      <c r="Y1468" s="75"/>
      <c r="Z1468" s="75"/>
      <c r="AA1468" s="75"/>
      <c r="AB1468" s="75"/>
      <c r="AC1468" s="75"/>
      <c r="AD1468" s="75"/>
      <c r="AE1468" s="75"/>
      <c r="AF1468" s="75"/>
      <c r="AG1468" s="75"/>
      <c r="AH1468" s="75"/>
      <c r="AI1468" s="75"/>
      <c r="AJ1468" s="75"/>
      <c r="AK1468" s="75"/>
      <c r="AL1468" s="75"/>
      <c r="AM1468" s="75"/>
      <c r="AN1468" s="75"/>
      <c r="AO1468" s="75"/>
      <c r="AP1468" s="75"/>
      <c r="AQ1468" s="75"/>
      <c r="AR1468" s="75"/>
      <c r="AS1468" s="75"/>
      <c r="AT1468" s="75"/>
      <c r="AU1468" s="75"/>
      <c r="AV1468" s="75"/>
      <c r="AW1468" s="75"/>
      <c r="AX1468" s="75"/>
      <c r="AY1468" s="75"/>
      <c r="AZ1468" s="75"/>
      <c r="BA1468" s="75"/>
      <c r="BB1468" s="75"/>
      <c r="BC1468" s="75"/>
      <c r="BD1468" s="75"/>
      <c r="BE1468" s="75"/>
      <c r="BF1468" s="75" t="s">
        <v>439</v>
      </c>
      <c r="BG1468" s="75"/>
      <c r="BH1468" s="75"/>
      <c r="BI1468" s="75" t="s">
        <v>439</v>
      </c>
      <c r="BJ1468" s="75"/>
      <c r="BK1468" s="75"/>
      <c r="BL1468" s="75" t="s">
        <v>439</v>
      </c>
      <c r="BM1468" s="75"/>
    </row>
    <row r="1469" spans="1:65" ht="15" customHeight="1" x14ac:dyDescent="0.2">
      <c r="A1469" s="38"/>
      <c r="B1469" s="38"/>
      <c r="C1469" s="75"/>
      <c r="D1469" s="75"/>
      <c r="E1469" s="75"/>
      <c r="F1469" s="75"/>
      <c r="G1469" s="75"/>
      <c r="H1469" s="75"/>
      <c r="I1469" s="75"/>
      <c r="J1469" s="75"/>
      <c r="K1469" s="75"/>
      <c r="L1469" s="75"/>
      <c r="M1469" s="75"/>
      <c r="N1469" s="75"/>
      <c r="O1469" s="75"/>
      <c r="P1469" s="75"/>
      <c r="Q1469" s="75"/>
      <c r="R1469" s="75"/>
      <c r="S1469" s="75"/>
      <c r="T1469" s="75"/>
      <c r="U1469" s="75"/>
      <c r="V1469" s="75"/>
      <c r="W1469" s="75"/>
      <c r="X1469" s="75"/>
      <c r="Y1469" s="75"/>
      <c r="Z1469" s="75"/>
      <c r="AA1469" s="75"/>
      <c r="AB1469" s="75"/>
      <c r="AC1469" s="75"/>
      <c r="AD1469" s="75"/>
      <c r="AE1469" s="75"/>
      <c r="AF1469" s="75"/>
      <c r="AG1469" s="75"/>
      <c r="AH1469" s="75"/>
      <c r="AI1469" s="75"/>
      <c r="AJ1469" s="75"/>
      <c r="AK1469" s="75"/>
      <c r="AL1469" s="75"/>
      <c r="AM1469" s="75"/>
      <c r="AN1469" s="75"/>
      <c r="AO1469" s="75"/>
      <c r="AP1469" s="75"/>
      <c r="AQ1469" s="75"/>
      <c r="AR1469" s="75"/>
      <c r="AS1469" s="75"/>
      <c r="AT1469" s="75"/>
      <c r="AU1469" s="75"/>
      <c r="AV1469" s="75"/>
      <c r="AW1469" s="75"/>
      <c r="AX1469" s="75"/>
      <c r="AY1469" s="75"/>
      <c r="AZ1469" s="75"/>
      <c r="BA1469" s="75"/>
      <c r="BB1469" s="75"/>
      <c r="BC1469" s="75"/>
      <c r="BD1469" s="75"/>
      <c r="BE1469" s="75"/>
      <c r="BF1469" s="75" t="s">
        <v>439</v>
      </c>
      <c r="BG1469" s="75"/>
      <c r="BH1469" s="75"/>
      <c r="BI1469" s="75" t="s">
        <v>439</v>
      </c>
      <c r="BJ1469" s="75"/>
      <c r="BK1469" s="75"/>
      <c r="BL1469" s="75" t="s">
        <v>439</v>
      </c>
      <c r="BM1469" s="75"/>
    </row>
    <row r="1470" spans="1:65" ht="15" customHeight="1" x14ac:dyDescent="0.2">
      <c r="A1470" s="38"/>
      <c r="B1470" s="38"/>
      <c r="C1470" s="75"/>
      <c r="D1470" s="75"/>
      <c r="E1470" s="75"/>
      <c r="F1470" s="75"/>
      <c r="G1470" s="75"/>
      <c r="H1470" s="75"/>
      <c r="I1470" s="75"/>
      <c r="J1470" s="75"/>
      <c r="K1470" s="75"/>
      <c r="L1470" s="75"/>
      <c r="M1470" s="75"/>
      <c r="N1470" s="75"/>
      <c r="O1470" s="75"/>
      <c r="P1470" s="75"/>
      <c r="Q1470" s="75"/>
      <c r="R1470" s="75"/>
      <c r="S1470" s="75"/>
      <c r="T1470" s="75"/>
      <c r="U1470" s="75"/>
      <c r="V1470" s="75"/>
      <c r="W1470" s="75"/>
      <c r="X1470" s="75"/>
      <c r="Y1470" s="75"/>
      <c r="Z1470" s="75"/>
      <c r="AA1470" s="75"/>
      <c r="AB1470" s="75"/>
      <c r="AC1470" s="75"/>
      <c r="AD1470" s="75"/>
      <c r="AE1470" s="75"/>
      <c r="AF1470" s="75"/>
      <c r="AG1470" s="75"/>
      <c r="AH1470" s="75"/>
      <c r="AI1470" s="75"/>
      <c r="AJ1470" s="75"/>
      <c r="AK1470" s="75"/>
      <c r="AL1470" s="75"/>
      <c r="AM1470" s="75"/>
      <c r="AN1470" s="75"/>
      <c r="AO1470" s="75"/>
      <c r="AP1470" s="75"/>
      <c r="AQ1470" s="75"/>
      <c r="AR1470" s="75"/>
      <c r="AS1470" s="75"/>
      <c r="AT1470" s="75"/>
      <c r="AU1470" s="75"/>
      <c r="AV1470" s="75"/>
      <c r="AW1470" s="75"/>
      <c r="AX1470" s="75"/>
      <c r="AY1470" s="75"/>
      <c r="AZ1470" s="75"/>
      <c r="BA1470" s="75"/>
      <c r="BB1470" s="75"/>
      <c r="BC1470" s="75"/>
      <c r="BD1470" s="75"/>
      <c r="BE1470" s="75"/>
      <c r="BF1470" s="75" t="s">
        <v>439</v>
      </c>
      <c r="BG1470" s="75"/>
      <c r="BH1470" s="75"/>
      <c r="BI1470" s="75" t="s">
        <v>439</v>
      </c>
      <c r="BJ1470" s="75"/>
      <c r="BK1470" s="75"/>
      <c r="BL1470" s="75" t="s">
        <v>439</v>
      </c>
      <c r="BM1470" s="75"/>
    </row>
    <row r="1471" spans="1:65" ht="15" customHeight="1" x14ac:dyDescent="0.2">
      <c r="A1471" s="38"/>
      <c r="B1471" s="38"/>
      <c r="C1471" s="75"/>
      <c r="D1471" s="75"/>
      <c r="E1471" s="75"/>
      <c r="F1471" s="75"/>
      <c r="G1471" s="75"/>
      <c r="H1471" s="75"/>
      <c r="I1471" s="75"/>
      <c r="J1471" s="75"/>
      <c r="K1471" s="75"/>
      <c r="L1471" s="75"/>
      <c r="M1471" s="75"/>
      <c r="N1471" s="75"/>
      <c r="O1471" s="75"/>
      <c r="P1471" s="75"/>
      <c r="Q1471" s="75"/>
      <c r="R1471" s="75"/>
      <c r="S1471" s="75"/>
      <c r="T1471" s="75"/>
      <c r="U1471" s="75"/>
      <c r="V1471" s="75"/>
      <c r="W1471" s="75"/>
      <c r="X1471" s="75"/>
      <c r="Y1471" s="75"/>
      <c r="Z1471" s="75"/>
      <c r="AA1471" s="75"/>
      <c r="AB1471" s="75"/>
      <c r="AC1471" s="75"/>
      <c r="AD1471" s="75"/>
      <c r="AE1471" s="75"/>
      <c r="AF1471" s="75"/>
      <c r="AG1471" s="75"/>
      <c r="AH1471" s="75"/>
      <c r="AI1471" s="75"/>
      <c r="AJ1471" s="75"/>
      <c r="AK1471" s="75"/>
      <c r="AL1471" s="75"/>
      <c r="AM1471" s="75"/>
      <c r="AN1471" s="75"/>
      <c r="AO1471" s="75"/>
      <c r="AP1471" s="75"/>
      <c r="AQ1471" s="75"/>
      <c r="AR1471" s="75"/>
      <c r="AS1471" s="75"/>
      <c r="AT1471" s="75"/>
      <c r="AU1471" s="75"/>
      <c r="AV1471" s="75"/>
      <c r="AW1471" s="75"/>
      <c r="AX1471" s="75"/>
      <c r="AY1471" s="75"/>
      <c r="AZ1471" s="75"/>
      <c r="BA1471" s="75"/>
      <c r="BB1471" s="75"/>
      <c r="BC1471" s="75"/>
      <c r="BD1471" s="75"/>
      <c r="BE1471" s="75"/>
      <c r="BF1471" s="75" t="s">
        <v>439</v>
      </c>
      <c r="BG1471" s="75"/>
      <c r="BH1471" s="75"/>
      <c r="BI1471" s="75" t="s">
        <v>439</v>
      </c>
      <c r="BJ1471" s="75"/>
      <c r="BK1471" s="75"/>
      <c r="BL1471" s="75" t="s">
        <v>439</v>
      </c>
      <c r="BM1471" s="75"/>
    </row>
    <row r="1472" spans="1:65" ht="15" customHeight="1" x14ac:dyDescent="0.2">
      <c r="A1472" s="38"/>
      <c r="B1472" s="38"/>
      <c r="C1472" s="75"/>
      <c r="D1472" s="75"/>
      <c r="E1472" s="75"/>
      <c r="F1472" s="75"/>
      <c r="G1472" s="75"/>
      <c r="H1472" s="75"/>
      <c r="I1472" s="75"/>
      <c r="J1472" s="75"/>
      <c r="K1472" s="75"/>
      <c r="L1472" s="75"/>
      <c r="M1472" s="75"/>
      <c r="N1472" s="75"/>
      <c r="O1472" s="75"/>
      <c r="P1472" s="75"/>
      <c r="Q1472" s="75"/>
      <c r="R1472" s="75"/>
      <c r="S1472" s="75"/>
      <c r="T1472" s="75"/>
      <c r="U1472" s="75"/>
      <c r="V1472" s="75"/>
      <c r="W1472" s="75"/>
      <c r="X1472" s="75"/>
      <c r="Y1472" s="75"/>
      <c r="Z1472" s="75"/>
      <c r="AA1472" s="75"/>
      <c r="AB1472" s="75"/>
      <c r="AC1472" s="75"/>
      <c r="AD1472" s="75"/>
      <c r="AE1472" s="75"/>
      <c r="AF1472" s="75"/>
      <c r="AG1472" s="75"/>
      <c r="AH1472" s="75"/>
      <c r="AI1472" s="75"/>
      <c r="AJ1472" s="75"/>
      <c r="AK1472" s="75"/>
      <c r="AL1472" s="75"/>
      <c r="AM1472" s="75"/>
      <c r="AN1472" s="75"/>
      <c r="AO1472" s="75"/>
      <c r="AP1472" s="75"/>
      <c r="AQ1472" s="75"/>
      <c r="AR1472" s="75"/>
      <c r="AS1472" s="75"/>
      <c r="AT1472" s="75"/>
      <c r="AU1472" s="75"/>
      <c r="AV1472" s="75"/>
      <c r="AW1472" s="75"/>
      <c r="AX1472" s="75"/>
      <c r="AY1472" s="75"/>
      <c r="AZ1472" s="75"/>
      <c r="BA1472" s="75"/>
      <c r="BB1472" s="75"/>
      <c r="BC1472" s="75"/>
      <c r="BD1472" s="75"/>
      <c r="BE1472" s="75"/>
      <c r="BF1472" s="75" t="s">
        <v>439</v>
      </c>
      <c r="BG1472" s="75"/>
      <c r="BH1472" s="75"/>
      <c r="BI1472" s="75" t="s">
        <v>439</v>
      </c>
      <c r="BJ1472" s="75"/>
      <c r="BK1472" s="75"/>
      <c r="BL1472" s="75" t="s">
        <v>439</v>
      </c>
      <c r="BM1472" s="75"/>
    </row>
    <row r="1473" spans="1:65" ht="15" customHeight="1" x14ac:dyDescent="0.2">
      <c r="A1473" s="38"/>
      <c r="B1473" s="38"/>
      <c r="C1473" s="75"/>
      <c r="D1473" s="75"/>
      <c r="E1473" s="75"/>
      <c r="F1473" s="75"/>
      <c r="G1473" s="75"/>
      <c r="H1473" s="75"/>
      <c r="I1473" s="75"/>
      <c r="J1473" s="75"/>
      <c r="K1473" s="75"/>
      <c r="L1473" s="75"/>
      <c r="M1473" s="75"/>
      <c r="N1473" s="75"/>
      <c r="O1473" s="75"/>
      <c r="P1473" s="75"/>
      <c r="Q1473" s="75"/>
      <c r="R1473" s="75"/>
      <c r="S1473" s="75"/>
      <c r="T1473" s="75"/>
      <c r="U1473" s="75"/>
      <c r="V1473" s="75"/>
      <c r="W1473" s="75"/>
      <c r="X1473" s="75"/>
      <c r="Y1473" s="75"/>
      <c r="Z1473" s="75"/>
      <c r="AA1473" s="75"/>
      <c r="AB1473" s="75"/>
      <c r="AC1473" s="75"/>
      <c r="AD1473" s="75"/>
      <c r="AE1473" s="75"/>
      <c r="AF1473" s="75"/>
      <c r="AG1473" s="75"/>
      <c r="AH1473" s="75"/>
      <c r="AI1473" s="75"/>
      <c r="AJ1473" s="75"/>
      <c r="AK1473" s="75"/>
      <c r="AL1473" s="75"/>
      <c r="AM1473" s="75"/>
      <c r="AN1473" s="75"/>
      <c r="AO1473" s="75"/>
      <c r="AP1473" s="75"/>
      <c r="AQ1473" s="75"/>
      <c r="AR1473" s="75"/>
      <c r="AS1473" s="75"/>
      <c r="AT1473" s="75"/>
      <c r="AU1473" s="75"/>
      <c r="AV1473" s="75"/>
      <c r="AW1473" s="75"/>
      <c r="AX1473" s="75"/>
      <c r="AY1473" s="75"/>
      <c r="AZ1473" s="75"/>
      <c r="BA1473" s="75"/>
      <c r="BB1473" s="75"/>
      <c r="BC1473" s="75"/>
      <c r="BD1473" s="75"/>
      <c r="BE1473" s="75"/>
      <c r="BF1473" s="75" t="s">
        <v>439</v>
      </c>
      <c r="BG1473" s="75"/>
      <c r="BH1473" s="75"/>
      <c r="BI1473" s="75" t="s">
        <v>439</v>
      </c>
      <c r="BJ1473" s="75"/>
      <c r="BK1473" s="75"/>
      <c r="BL1473" s="75" t="s">
        <v>439</v>
      </c>
      <c r="BM1473" s="75"/>
    </row>
    <row r="1474" spans="1:65" ht="15" customHeight="1" x14ac:dyDescent="0.2">
      <c r="A1474" s="38"/>
      <c r="B1474" s="38"/>
      <c r="C1474" s="75"/>
      <c r="D1474" s="75"/>
      <c r="E1474" s="75"/>
      <c r="F1474" s="75"/>
      <c r="G1474" s="75"/>
      <c r="H1474" s="75"/>
      <c r="I1474" s="75"/>
      <c r="J1474" s="75"/>
      <c r="K1474" s="75"/>
      <c r="L1474" s="75"/>
      <c r="M1474" s="75"/>
      <c r="N1474" s="75"/>
      <c r="O1474" s="75"/>
      <c r="P1474" s="75"/>
      <c r="Q1474" s="75"/>
      <c r="R1474" s="75"/>
      <c r="S1474" s="75"/>
      <c r="T1474" s="75"/>
      <c r="U1474" s="75"/>
      <c r="V1474" s="75"/>
      <c r="W1474" s="75"/>
      <c r="X1474" s="75"/>
      <c r="Y1474" s="75"/>
      <c r="Z1474" s="75"/>
      <c r="AA1474" s="75"/>
      <c r="AB1474" s="75"/>
      <c r="AC1474" s="75"/>
      <c r="AD1474" s="75"/>
      <c r="AE1474" s="75"/>
      <c r="AF1474" s="75"/>
      <c r="AG1474" s="75"/>
      <c r="AH1474" s="75"/>
      <c r="AI1474" s="75"/>
      <c r="AJ1474" s="75"/>
      <c r="AK1474" s="75"/>
      <c r="AL1474" s="75"/>
      <c r="AM1474" s="75"/>
      <c r="AN1474" s="75"/>
      <c r="AO1474" s="75"/>
      <c r="AP1474" s="75"/>
      <c r="AQ1474" s="75"/>
      <c r="AR1474" s="75"/>
      <c r="AS1474" s="75"/>
      <c r="AT1474" s="75"/>
      <c r="AU1474" s="75"/>
      <c r="AV1474" s="75"/>
      <c r="AW1474" s="75"/>
      <c r="AX1474" s="75"/>
      <c r="AY1474" s="75"/>
      <c r="AZ1474" s="75"/>
      <c r="BA1474" s="75"/>
      <c r="BB1474" s="75"/>
      <c r="BC1474" s="75"/>
      <c r="BD1474" s="75"/>
      <c r="BE1474" s="75"/>
      <c r="BF1474" s="75" t="s">
        <v>439</v>
      </c>
      <c r="BG1474" s="75"/>
      <c r="BH1474" s="75"/>
      <c r="BI1474" s="75" t="s">
        <v>439</v>
      </c>
      <c r="BJ1474" s="75"/>
      <c r="BK1474" s="75"/>
      <c r="BL1474" s="75" t="s">
        <v>439</v>
      </c>
      <c r="BM1474" s="75"/>
    </row>
  </sheetData>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H1477"/>
  <sheetViews>
    <sheetView topLeftCell="B1" workbookViewId="0">
      <selection activeCell="F15" sqref="F15"/>
    </sheetView>
  </sheetViews>
  <sheetFormatPr defaultColWidth="14.42578125" defaultRowHeight="15" customHeight="1" x14ac:dyDescent="0.2"/>
  <cols>
    <col min="1" max="1" width="38.28515625" customWidth="1"/>
    <col min="2" max="2" width="34.7109375" customWidth="1"/>
    <col min="3" max="6" width="36.7109375" customWidth="1"/>
    <col min="7" max="8" width="26.7109375" hidden="1" customWidth="1"/>
    <col min="9" max="25" width="8.7109375" customWidth="1"/>
  </cols>
  <sheetData>
    <row r="1" spans="1:8" ht="12.75" customHeight="1" x14ac:dyDescent="0.2">
      <c r="A1" s="5" t="s">
        <v>79</v>
      </c>
      <c r="B1" s="5" t="s">
        <v>80</v>
      </c>
      <c r="C1" s="6" t="s">
        <v>125</v>
      </c>
      <c r="D1" s="6" t="s">
        <v>133</v>
      </c>
      <c r="E1" s="6" t="s">
        <v>134</v>
      </c>
      <c r="F1" s="6" t="s">
        <v>366</v>
      </c>
      <c r="G1" s="80" t="s">
        <v>469</v>
      </c>
      <c r="H1" s="80" t="s">
        <v>471</v>
      </c>
    </row>
    <row r="2" spans="1:8" ht="12.75" customHeight="1" x14ac:dyDescent="0.2">
      <c r="A2" s="5" t="s">
        <v>148</v>
      </c>
      <c r="B2" s="5" t="s">
        <v>149</v>
      </c>
      <c r="C2" s="6" t="s">
        <v>196</v>
      </c>
      <c r="D2" s="6" t="s">
        <v>204</v>
      </c>
      <c r="E2" s="6" t="s">
        <v>205</v>
      </c>
      <c r="F2" s="6" t="s">
        <v>367</v>
      </c>
      <c r="G2" s="80" t="s">
        <v>468</v>
      </c>
      <c r="H2" s="80" t="s">
        <v>470</v>
      </c>
    </row>
    <row r="3" spans="1:8" ht="132" customHeight="1" x14ac:dyDescent="0.2">
      <c r="A3" s="9" t="s">
        <v>221</v>
      </c>
      <c r="B3" s="22" t="s">
        <v>222</v>
      </c>
      <c r="C3" s="32" t="s">
        <v>368</v>
      </c>
      <c r="D3" s="10" t="s">
        <v>274</v>
      </c>
      <c r="E3" s="10" t="s">
        <v>275</v>
      </c>
      <c r="F3" s="22" t="s">
        <v>275</v>
      </c>
      <c r="G3" s="22" t="s">
        <v>349</v>
      </c>
      <c r="H3" s="22" t="s">
        <v>349</v>
      </c>
    </row>
    <row r="4" spans="1:8" ht="12.75" customHeight="1" x14ac:dyDescent="0.2">
      <c r="A4" s="5" t="s">
        <v>4</v>
      </c>
      <c r="B4" s="24" t="s">
        <v>4</v>
      </c>
      <c r="C4" s="8" t="s">
        <v>9</v>
      </c>
      <c r="D4" s="8" t="s">
        <v>286</v>
      </c>
      <c r="E4" s="8" t="s">
        <v>286</v>
      </c>
      <c r="F4" s="8" t="s">
        <v>17</v>
      </c>
      <c r="G4" s="8" t="s">
        <v>9</v>
      </c>
      <c r="H4" s="8" t="s">
        <v>289</v>
      </c>
    </row>
    <row r="5" spans="1:8" ht="12.75" customHeight="1" x14ac:dyDescent="0.2">
      <c r="A5" s="5" t="s">
        <v>290</v>
      </c>
      <c r="B5" s="24" t="s">
        <v>291</v>
      </c>
      <c r="C5" s="8" t="s">
        <v>9</v>
      </c>
      <c r="D5" s="8"/>
      <c r="E5" s="8"/>
      <c r="F5" s="8"/>
      <c r="G5" s="82" t="s">
        <v>504</v>
      </c>
      <c r="H5" s="82" t="s">
        <v>504</v>
      </c>
    </row>
    <row r="6" spans="1:8" ht="12.75" customHeight="1" x14ac:dyDescent="0.2">
      <c r="A6" s="44" t="s">
        <v>474</v>
      </c>
      <c r="B6" s="44" t="s">
        <v>474</v>
      </c>
      <c r="C6" s="12" t="s">
        <v>474</v>
      </c>
      <c r="D6" s="12" t="s">
        <v>474</v>
      </c>
      <c r="E6" s="12" t="s">
        <v>474</v>
      </c>
      <c r="F6" s="12" t="s">
        <v>474</v>
      </c>
      <c r="G6" s="12" t="s">
        <v>476</v>
      </c>
      <c r="H6" s="12" t="s">
        <v>476</v>
      </c>
    </row>
    <row r="7" spans="1:8" ht="12.75" customHeight="1" x14ac:dyDescent="0.2">
      <c r="A7" s="45" t="s">
        <v>478</v>
      </c>
      <c r="B7" s="45" t="s">
        <v>478</v>
      </c>
      <c r="C7" s="12" t="s">
        <v>477</v>
      </c>
      <c r="D7" s="12" t="s">
        <v>361</v>
      </c>
      <c r="E7" s="12" t="s">
        <v>361</v>
      </c>
      <c r="F7" s="12" t="s">
        <v>363</v>
      </c>
      <c r="G7" s="12" t="s">
        <v>503</v>
      </c>
      <c r="H7" s="12" t="s">
        <v>502</v>
      </c>
    </row>
    <row r="8" spans="1:8" ht="12.75" customHeight="1" x14ac:dyDescent="0.2">
      <c r="A8" s="91" t="str">
        <f>Main!A8</f>
        <v>ZCUS-Vinny-Test</v>
      </c>
      <c r="B8" s="91" t="str">
        <f>A8</f>
        <v>ZCUS-Vinny-Test</v>
      </c>
      <c r="C8" s="90">
        <v>2</v>
      </c>
      <c r="D8" s="90">
        <v>0</v>
      </c>
      <c r="E8" s="90">
        <v>0</v>
      </c>
      <c r="F8" s="90" t="b">
        <v>1</v>
      </c>
      <c r="G8" s="98"/>
      <c r="H8" s="98"/>
    </row>
    <row r="9" spans="1:8" ht="12.75" customHeight="1" x14ac:dyDescent="0.2">
      <c r="A9" s="38"/>
      <c r="B9" s="38"/>
      <c r="C9" s="8"/>
      <c r="D9" s="8"/>
      <c r="E9" s="8"/>
      <c r="F9" s="8"/>
    </row>
    <row r="10" spans="1:8" ht="12.75" customHeight="1" x14ac:dyDescent="0.2">
      <c r="A10" s="38"/>
      <c r="B10" s="38"/>
      <c r="C10" s="8"/>
      <c r="D10" s="8"/>
      <c r="E10" s="8"/>
      <c r="F10" s="8"/>
    </row>
    <row r="11" spans="1:8" ht="12.75" customHeight="1" x14ac:dyDescent="0.2">
      <c r="A11" s="38"/>
      <c r="B11" s="38"/>
      <c r="C11" s="8"/>
      <c r="D11" s="8"/>
      <c r="E11" s="8"/>
      <c r="F11" s="8"/>
    </row>
    <row r="12" spans="1:8" ht="12.75" customHeight="1" x14ac:dyDescent="0.2">
      <c r="A12" s="38"/>
      <c r="B12" s="38"/>
      <c r="C12" s="8"/>
      <c r="D12" s="8"/>
      <c r="E12" s="8"/>
      <c r="F12" s="8"/>
    </row>
    <row r="13" spans="1:8" ht="12.75" customHeight="1" x14ac:dyDescent="0.2">
      <c r="A13" s="38"/>
      <c r="B13" s="38"/>
      <c r="C13" s="8"/>
      <c r="D13" s="8"/>
      <c r="E13" s="8"/>
      <c r="F13" s="8"/>
    </row>
    <row r="14" spans="1:8" ht="12.75" customHeight="1" x14ac:dyDescent="0.2">
      <c r="A14" s="38"/>
      <c r="B14" s="38"/>
      <c r="C14" s="8"/>
      <c r="D14" s="8"/>
      <c r="E14" s="8"/>
      <c r="F14" s="8"/>
    </row>
    <row r="15" spans="1:8" ht="12.75" customHeight="1" x14ac:dyDescent="0.2">
      <c r="A15" s="38"/>
      <c r="B15" s="38"/>
      <c r="C15" s="8"/>
      <c r="D15" s="8"/>
      <c r="E15" s="8"/>
      <c r="F15" s="8"/>
    </row>
    <row r="16" spans="1:8" ht="12.75" customHeight="1" x14ac:dyDescent="0.2">
      <c r="A16" s="38"/>
      <c r="B16" s="38"/>
      <c r="C16" s="8"/>
      <c r="D16" s="8"/>
      <c r="E16" s="8"/>
      <c r="F16" s="8"/>
    </row>
    <row r="17" spans="1:6" ht="12.75" customHeight="1" x14ac:dyDescent="0.2">
      <c r="A17" s="38"/>
      <c r="B17" s="38"/>
      <c r="C17" s="8"/>
      <c r="D17" s="8"/>
      <c r="E17" s="8"/>
      <c r="F17" s="8"/>
    </row>
    <row r="18" spans="1:6" ht="12.75" customHeight="1" x14ac:dyDescent="0.2">
      <c r="A18" s="38"/>
      <c r="B18" s="38"/>
      <c r="C18" s="8"/>
      <c r="D18" s="8"/>
      <c r="E18" s="8"/>
      <c r="F18" s="8"/>
    </row>
    <row r="19" spans="1:6" ht="12.75" customHeight="1" x14ac:dyDescent="0.2">
      <c r="A19" s="38"/>
      <c r="B19" s="38"/>
      <c r="C19" s="8"/>
      <c r="D19" s="8"/>
      <c r="E19" s="8"/>
      <c r="F19" s="8"/>
    </row>
    <row r="20" spans="1:6" ht="12.75" customHeight="1" x14ac:dyDescent="0.2">
      <c r="A20" s="38"/>
      <c r="B20" s="38"/>
      <c r="C20" s="8"/>
      <c r="D20" s="8"/>
      <c r="E20" s="8"/>
      <c r="F20" s="8"/>
    </row>
    <row r="21" spans="1:6" ht="12.75" customHeight="1" x14ac:dyDescent="0.2">
      <c r="A21" s="38"/>
      <c r="B21" s="38"/>
      <c r="C21" s="8"/>
      <c r="D21" s="8"/>
      <c r="E21" s="8"/>
      <c r="F21" s="8"/>
    </row>
    <row r="22" spans="1:6" ht="12.75" customHeight="1" x14ac:dyDescent="0.2">
      <c r="A22" s="38"/>
      <c r="B22" s="38"/>
      <c r="C22" s="8"/>
      <c r="D22" s="8"/>
      <c r="E22" s="8"/>
      <c r="F22" s="8"/>
    </row>
    <row r="23" spans="1:6" ht="12.75" customHeight="1" x14ac:dyDescent="0.2">
      <c r="A23" s="38"/>
      <c r="B23" s="38"/>
      <c r="C23" s="8"/>
      <c r="D23" s="8"/>
      <c r="E23" s="8"/>
      <c r="F23" s="8"/>
    </row>
    <row r="24" spans="1:6" ht="12.75" customHeight="1" x14ac:dyDescent="0.2">
      <c r="A24" s="38"/>
      <c r="B24" s="38"/>
      <c r="C24" s="8"/>
      <c r="D24" s="8"/>
      <c r="E24" s="8"/>
      <c r="F24" s="8"/>
    </row>
    <row r="25" spans="1:6" ht="12.75" customHeight="1" x14ac:dyDescent="0.2">
      <c r="A25" s="38"/>
      <c r="B25" s="38"/>
      <c r="C25" s="8"/>
      <c r="D25" s="8"/>
      <c r="E25" s="8"/>
      <c r="F25" s="8"/>
    </row>
    <row r="26" spans="1:6" ht="12.75" customHeight="1" x14ac:dyDescent="0.2">
      <c r="A26" s="38"/>
      <c r="B26" s="38"/>
      <c r="C26" s="8"/>
      <c r="D26" s="8"/>
      <c r="E26" s="8"/>
      <c r="F26" s="8"/>
    </row>
    <row r="27" spans="1:6" ht="12.75" customHeight="1" x14ac:dyDescent="0.2">
      <c r="A27" s="38"/>
      <c r="B27" s="38"/>
      <c r="C27" s="8"/>
      <c r="D27" s="8"/>
      <c r="E27" s="8"/>
      <c r="F27" s="8"/>
    </row>
    <row r="28" spans="1:6" ht="12.75" customHeight="1" x14ac:dyDescent="0.2">
      <c r="A28" s="38"/>
      <c r="B28" s="38"/>
      <c r="C28" s="8"/>
      <c r="D28" s="8"/>
      <c r="E28" s="8"/>
      <c r="F28" s="8"/>
    </row>
    <row r="29" spans="1:6" ht="12.75" customHeight="1" x14ac:dyDescent="0.2">
      <c r="A29" s="38"/>
      <c r="B29" s="38"/>
      <c r="C29" s="8"/>
      <c r="D29" s="8"/>
      <c r="E29" s="8"/>
      <c r="F29" s="8"/>
    </row>
    <row r="30" spans="1:6" ht="12.75" customHeight="1" x14ac:dyDescent="0.2">
      <c r="A30" s="38"/>
      <c r="B30" s="38"/>
      <c r="C30" s="8"/>
      <c r="D30" s="8"/>
      <c r="E30" s="8"/>
      <c r="F30" s="8"/>
    </row>
    <row r="31" spans="1:6" ht="12.75" customHeight="1" x14ac:dyDescent="0.2">
      <c r="A31" s="38"/>
      <c r="B31" s="38"/>
      <c r="C31" s="8"/>
      <c r="D31" s="8"/>
      <c r="E31" s="8"/>
      <c r="F31" s="8"/>
    </row>
    <row r="32" spans="1:6" ht="12.75" customHeight="1" x14ac:dyDescent="0.2">
      <c r="A32" s="38"/>
      <c r="B32" s="38"/>
      <c r="C32" s="8"/>
      <c r="D32" s="8"/>
      <c r="E32" s="8"/>
      <c r="F32" s="8"/>
    </row>
    <row r="33" spans="1:6" ht="12.75" customHeight="1" x14ac:dyDescent="0.2">
      <c r="A33" s="38"/>
      <c r="B33" s="38"/>
      <c r="C33" s="8"/>
      <c r="D33" s="8"/>
      <c r="E33" s="8"/>
      <c r="F33" s="8"/>
    </row>
    <row r="34" spans="1:6" ht="12.75" customHeight="1" x14ac:dyDescent="0.2">
      <c r="A34" s="38"/>
      <c r="B34" s="38"/>
      <c r="C34" s="8"/>
      <c r="D34" s="8"/>
      <c r="E34" s="8"/>
      <c r="F34" s="8"/>
    </row>
    <row r="35" spans="1:6" ht="12.75" customHeight="1" x14ac:dyDescent="0.2">
      <c r="A35" s="38"/>
      <c r="B35" s="38"/>
      <c r="C35" s="8"/>
      <c r="D35" s="8"/>
      <c r="E35" s="8"/>
      <c r="F35" s="8"/>
    </row>
    <row r="36" spans="1:6" ht="12.75" customHeight="1" x14ac:dyDescent="0.2">
      <c r="A36" s="38"/>
      <c r="B36" s="38"/>
      <c r="C36" s="8"/>
      <c r="D36" s="8"/>
      <c r="E36" s="8"/>
      <c r="F36" s="8"/>
    </row>
    <row r="37" spans="1:6" ht="12.75" customHeight="1" x14ac:dyDescent="0.2">
      <c r="A37" s="38"/>
      <c r="B37" s="38"/>
      <c r="C37" s="8"/>
      <c r="D37" s="8"/>
      <c r="E37" s="8"/>
      <c r="F37" s="8"/>
    </row>
    <row r="38" spans="1:6" ht="12.75" customHeight="1" x14ac:dyDescent="0.2">
      <c r="A38" s="38"/>
      <c r="B38" s="38"/>
      <c r="C38" s="8"/>
      <c r="D38" s="8"/>
      <c r="E38" s="8"/>
      <c r="F38" s="8"/>
    </row>
    <row r="39" spans="1:6" ht="12.75" customHeight="1" x14ac:dyDescent="0.2">
      <c r="A39" s="38"/>
      <c r="B39" s="38"/>
      <c r="C39" s="8"/>
      <c r="D39" s="8"/>
      <c r="E39" s="8"/>
      <c r="F39" s="8"/>
    </row>
    <row r="40" spans="1:6" ht="12.75" customHeight="1" x14ac:dyDescent="0.2">
      <c r="A40" s="38"/>
      <c r="B40" s="38"/>
      <c r="C40" s="8"/>
      <c r="D40" s="8"/>
      <c r="E40" s="8"/>
      <c r="F40" s="8"/>
    </row>
    <row r="41" spans="1:6" ht="12.75" customHeight="1" x14ac:dyDescent="0.2">
      <c r="A41" s="38"/>
      <c r="B41" s="38"/>
      <c r="C41" s="8"/>
      <c r="D41" s="8"/>
      <c r="E41" s="8"/>
      <c r="F41" s="8"/>
    </row>
    <row r="42" spans="1:6" ht="12.75" customHeight="1" x14ac:dyDescent="0.2">
      <c r="A42" s="38"/>
      <c r="B42" s="38"/>
      <c r="C42" s="8"/>
      <c r="D42" s="8"/>
      <c r="E42" s="8"/>
      <c r="F42" s="8"/>
    </row>
    <row r="43" spans="1:6" ht="12.75" customHeight="1" x14ac:dyDescent="0.2">
      <c r="A43" s="38"/>
      <c r="B43" s="38"/>
      <c r="C43" s="8"/>
      <c r="D43" s="8"/>
      <c r="E43" s="8"/>
      <c r="F43" s="8"/>
    </row>
    <row r="44" spans="1:6" ht="12.75" customHeight="1" x14ac:dyDescent="0.2">
      <c r="A44" s="38"/>
      <c r="B44" s="38"/>
      <c r="C44" s="8"/>
      <c r="D44" s="8"/>
      <c r="E44" s="8"/>
      <c r="F44" s="8"/>
    </row>
    <row r="45" spans="1:6" ht="12.75" customHeight="1" x14ac:dyDescent="0.2">
      <c r="A45" s="38"/>
      <c r="B45" s="38"/>
      <c r="C45" s="8"/>
      <c r="D45" s="8"/>
      <c r="E45" s="8"/>
      <c r="F45" s="8"/>
    </row>
    <row r="46" spans="1:6" ht="12.75" customHeight="1" x14ac:dyDescent="0.2">
      <c r="A46" s="38"/>
      <c r="B46" s="38"/>
      <c r="C46" s="8"/>
      <c r="D46" s="8"/>
      <c r="E46" s="8"/>
      <c r="F46" s="8"/>
    </row>
    <row r="47" spans="1:6" ht="12.75" customHeight="1" x14ac:dyDescent="0.2">
      <c r="A47" s="38"/>
      <c r="B47" s="38"/>
      <c r="C47" s="8"/>
      <c r="D47" s="8"/>
      <c r="E47" s="8"/>
      <c r="F47" s="8"/>
    </row>
    <row r="48" spans="1:6" ht="12.75" customHeight="1" x14ac:dyDescent="0.2">
      <c r="A48" s="38"/>
      <c r="B48" s="38"/>
      <c r="C48" s="8"/>
      <c r="D48" s="8"/>
      <c r="E48" s="8"/>
      <c r="F48" s="8"/>
    </row>
    <row r="49" spans="1:6" ht="12.75" customHeight="1" x14ac:dyDescent="0.2">
      <c r="A49" s="38"/>
      <c r="B49" s="38"/>
      <c r="C49" s="8"/>
      <c r="D49" s="8"/>
      <c r="E49" s="8"/>
      <c r="F49" s="8"/>
    </row>
    <row r="50" spans="1:6" ht="12.75" customHeight="1" x14ac:dyDescent="0.2">
      <c r="A50" s="38"/>
      <c r="B50" s="38"/>
      <c r="C50" s="8"/>
      <c r="D50" s="8"/>
      <c r="E50" s="8"/>
      <c r="F50" s="8"/>
    </row>
    <row r="51" spans="1:6" ht="12.75" customHeight="1" x14ac:dyDescent="0.2">
      <c r="A51" s="38"/>
      <c r="B51" s="38"/>
      <c r="C51" s="8"/>
      <c r="D51" s="8"/>
      <c r="E51" s="8"/>
      <c r="F51" s="8"/>
    </row>
    <row r="52" spans="1:6" ht="12.75" customHeight="1" x14ac:dyDescent="0.2">
      <c r="A52" s="38"/>
      <c r="B52" s="38"/>
      <c r="C52" s="8"/>
      <c r="D52" s="8"/>
      <c r="E52" s="8"/>
      <c r="F52" s="8"/>
    </row>
    <row r="53" spans="1:6" ht="12.75" customHeight="1" x14ac:dyDescent="0.2">
      <c r="A53" s="38"/>
      <c r="B53" s="38"/>
      <c r="C53" s="8"/>
      <c r="D53" s="8"/>
      <c r="E53" s="8"/>
      <c r="F53" s="8"/>
    </row>
    <row r="54" spans="1:6" ht="12.75" customHeight="1" x14ac:dyDescent="0.2">
      <c r="A54" s="38"/>
      <c r="B54" s="38"/>
      <c r="C54" s="8"/>
      <c r="D54" s="8"/>
      <c r="E54" s="8"/>
      <c r="F54" s="8"/>
    </row>
    <row r="55" spans="1:6" ht="12.75" customHeight="1" x14ac:dyDescent="0.2">
      <c r="A55" s="38"/>
      <c r="B55" s="38"/>
      <c r="C55" s="8"/>
      <c r="D55" s="8"/>
      <c r="E55" s="8"/>
      <c r="F55" s="8"/>
    </row>
    <row r="56" spans="1:6" ht="12.75" customHeight="1" x14ac:dyDescent="0.2">
      <c r="A56" s="38"/>
      <c r="B56" s="38"/>
      <c r="C56" s="8"/>
      <c r="D56" s="8"/>
      <c r="E56" s="8"/>
      <c r="F56" s="8"/>
    </row>
    <row r="57" spans="1:6" ht="12.75" customHeight="1" x14ac:dyDescent="0.2">
      <c r="A57" s="38"/>
      <c r="B57" s="38"/>
      <c r="C57" s="8"/>
      <c r="D57" s="8"/>
      <c r="E57" s="8"/>
      <c r="F57" s="8"/>
    </row>
    <row r="58" spans="1:6" ht="12.75" customHeight="1" x14ac:dyDescent="0.2">
      <c r="A58" s="38"/>
      <c r="B58" s="38"/>
      <c r="C58" s="8"/>
      <c r="D58" s="8"/>
      <c r="E58" s="8"/>
      <c r="F58" s="8"/>
    </row>
    <row r="59" spans="1:6" ht="12.75" customHeight="1" x14ac:dyDescent="0.2">
      <c r="A59" s="38"/>
      <c r="B59" s="38"/>
      <c r="C59" s="8"/>
      <c r="D59" s="8"/>
      <c r="E59" s="8"/>
      <c r="F59" s="8"/>
    </row>
    <row r="60" spans="1:6" ht="12.75" customHeight="1" x14ac:dyDescent="0.2">
      <c r="A60" s="38"/>
      <c r="B60" s="38"/>
      <c r="C60" s="8"/>
      <c r="D60" s="8"/>
      <c r="E60" s="8"/>
      <c r="F60" s="8"/>
    </row>
    <row r="61" spans="1:6" ht="12.75" customHeight="1" x14ac:dyDescent="0.2">
      <c r="A61" s="38"/>
      <c r="B61" s="38"/>
      <c r="C61" s="8"/>
      <c r="D61" s="8"/>
      <c r="E61" s="8"/>
      <c r="F61" s="8"/>
    </row>
    <row r="62" spans="1:6" ht="12.75" customHeight="1" x14ac:dyDescent="0.2">
      <c r="A62" s="38"/>
      <c r="B62" s="38"/>
      <c r="C62" s="8"/>
      <c r="D62" s="8"/>
      <c r="E62" s="8"/>
      <c r="F62" s="8"/>
    </row>
    <row r="63" spans="1:6" ht="12.75" customHeight="1" x14ac:dyDescent="0.2">
      <c r="A63" s="38"/>
      <c r="B63" s="38"/>
      <c r="C63" s="8"/>
      <c r="D63" s="8"/>
      <c r="E63" s="8"/>
      <c r="F63" s="8"/>
    </row>
    <row r="64" spans="1:6" ht="12.75" customHeight="1" x14ac:dyDescent="0.2">
      <c r="A64" s="38"/>
      <c r="B64" s="38"/>
      <c r="C64" s="8"/>
      <c r="D64" s="8"/>
      <c r="E64" s="8"/>
      <c r="F64" s="8"/>
    </row>
    <row r="65" spans="1:6" ht="12.75" customHeight="1" x14ac:dyDescent="0.2">
      <c r="A65" s="38"/>
      <c r="B65" s="38"/>
      <c r="C65" s="8"/>
      <c r="D65" s="8"/>
      <c r="E65" s="8"/>
      <c r="F65" s="8"/>
    </row>
    <row r="66" spans="1:6" ht="12.75" customHeight="1" x14ac:dyDescent="0.2">
      <c r="A66" s="38"/>
      <c r="B66" s="38"/>
      <c r="C66" s="8"/>
      <c r="D66" s="8"/>
      <c r="E66" s="8"/>
      <c r="F66" s="8"/>
    </row>
    <row r="67" spans="1:6" ht="12.75" customHeight="1" x14ac:dyDescent="0.2">
      <c r="A67" s="38"/>
      <c r="B67" s="38"/>
      <c r="C67" s="8"/>
      <c r="D67" s="8"/>
      <c r="E67" s="8"/>
      <c r="F67" s="8"/>
    </row>
    <row r="68" spans="1:6" ht="12.75" customHeight="1" x14ac:dyDescent="0.2">
      <c r="A68" s="38"/>
      <c r="B68" s="38"/>
      <c r="C68" s="8"/>
      <c r="D68" s="8"/>
      <c r="E68" s="8"/>
      <c r="F68" s="8"/>
    </row>
    <row r="69" spans="1:6" ht="12.75" customHeight="1" x14ac:dyDescent="0.2">
      <c r="A69" s="38"/>
      <c r="B69" s="38"/>
      <c r="C69" s="8"/>
      <c r="D69" s="8"/>
      <c r="E69" s="8"/>
      <c r="F69" s="8"/>
    </row>
    <row r="70" spans="1:6" ht="12.75" customHeight="1" x14ac:dyDescent="0.2">
      <c r="A70" s="38"/>
      <c r="B70" s="38"/>
      <c r="C70" s="8"/>
      <c r="D70" s="8"/>
      <c r="E70" s="8"/>
      <c r="F70" s="8"/>
    </row>
    <row r="71" spans="1:6" ht="12.75" customHeight="1" x14ac:dyDescent="0.2">
      <c r="A71" s="38"/>
      <c r="B71" s="38"/>
      <c r="C71" s="8"/>
      <c r="D71" s="8"/>
      <c r="E71" s="8"/>
      <c r="F71" s="8"/>
    </row>
    <row r="72" spans="1:6" ht="12.75" customHeight="1" x14ac:dyDescent="0.2">
      <c r="A72" s="38"/>
      <c r="B72" s="38"/>
      <c r="C72" s="8"/>
      <c r="D72" s="8"/>
      <c r="E72" s="8"/>
      <c r="F72" s="8"/>
    </row>
    <row r="73" spans="1:6" ht="12.75" customHeight="1" x14ac:dyDescent="0.2">
      <c r="A73" s="38"/>
      <c r="B73" s="38"/>
      <c r="C73" s="8"/>
      <c r="D73" s="8"/>
      <c r="E73" s="8"/>
      <c r="F73" s="8"/>
    </row>
    <row r="74" spans="1:6" ht="12.75" customHeight="1" x14ac:dyDescent="0.2">
      <c r="A74" s="38"/>
      <c r="B74" s="38"/>
      <c r="C74" s="8"/>
      <c r="D74" s="8"/>
      <c r="E74" s="8"/>
      <c r="F74" s="8"/>
    </row>
    <row r="75" spans="1:6" ht="12.75" customHeight="1" x14ac:dyDescent="0.2">
      <c r="A75" s="38"/>
      <c r="B75" s="38"/>
      <c r="C75" s="8"/>
      <c r="D75" s="8"/>
      <c r="E75" s="8"/>
      <c r="F75" s="8"/>
    </row>
    <row r="76" spans="1:6" ht="12.75" customHeight="1" x14ac:dyDescent="0.2">
      <c r="A76" s="38"/>
      <c r="B76" s="38"/>
      <c r="C76" s="8"/>
      <c r="D76" s="8"/>
      <c r="E76" s="8"/>
      <c r="F76" s="8"/>
    </row>
    <row r="77" spans="1:6" ht="12.75" customHeight="1" x14ac:dyDescent="0.2">
      <c r="A77" s="38"/>
      <c r="B77" s="38"/>
      <c r="C77" s="8"/>
      <c r="D77" s="8"/>
      <c r="E77" s="8"/>
      <c r="F77" s="8"/>
    </row>
    <row r="78" spans="1:6" ht="12.75" customHeight="1" x14ac:dyDescent="0.2">
      <c r="A78" s="38"/>
      <c r="B78" s="38"/>
      <c r="C78" s="8"/>
      <c r="D78" s="8"/>
      <c r="E78" s="8"/>
      <c r="F78" s="8"/>
    </row>
    <row r="79" spans="1:6" ht="12.75" customHeight="1" x14ac:dyDescent="0.2">
      <c r="A79" s="38"/>
      <c r="B79" s="38"/>
      <c r="C79" s="8"/>
      <c r="D79" s="8"/>
      <c r="E79" s="8"/>
      <c r="F79" s="8"/>
    </row>
    <row r="80" spans="1:6" ht="12.75" customHeight="1" x14ac:dyDescent="0.2">
      <c r="A80" s="38"/>
      <c r="B80" s="38"/>
      <c r="C80" s="8"/>
      <c r="D80" s="8"/>
      <c r="E80" s="8"/>
      <c r="F80" s="8"/>
    </row>
    <row r="81" spans="1:6" ht="12.75" customHeight="1" x14ac:dyDescent="0.2">
      <c r="A81" s="38"/>
      <c r="B81" s="38"/>
      <c r="C81" s="8"/>
      <c r="D81" s="8"/>
      <c r="E81" s="8"/>
      <c r="F81" s="8"/>
    </row>
    <row r="82" spans="1:6" ht="12.75" customHeight="1" x14ac:dyDescent="0.2">
      <c r="A82" s="38"/>
      <c r="B82" s="38"/>
      <c r="C82" s="8"/>
      <c r="D82" s="8"/>
      <c r="E82" s="8"/>
      <c r="F82" s="8"/>
    </row>
    <row r="83" spans="1:6" ht="12.75" customHeight="1" x14ac:dyDescent="0.2">
      <c r="A83" s="38"/>
      <c r="B83" s="38"/>
      <c r="C83" s="8"/>
      <c r="D83" s="8"/>
      <c r="E83" s="8"/>
      <c r="F83" s="8"/>
    </row>
    <row r="84" spans="1:6" ht="12.75" customHeight="1" x14ac:dyDescent="0.2">
      <c r="A84" s="38"/>
      <c r="B84" s="38"/>
      <c r="C84" s="8"/>
      <c r="D84" s="8"/>
      <c r="E84" s="8"/>
      <c r="F84" s="8"/>
    </row>
    <row r="85" spans="1:6" ht="12.75" customHeight="1" x14ac:dyDescent="0.2">
      <c r="A85" s="38"/>
      <c r="B85" s="38"/>
      <c r="C85" s="8"/>
      <c r="D85" s="8"/>
      <c r="E85" s="8"/>
      <c r="F85" s="8"/>
    </row>
    <row r="86" spans="1:6" ht="12.75" customHeight="1" x14ac:dyDescent="0.2">
      <c r="A86" s="38"/>
      <c r="B86" s="38"/>
      <c r="C86" s="8"/>
      <c r="D86" s="8"/>
      <c r="E86" s="8"/>
      <c r="F86" s="8"/>
    </row>
    <row r="87" spans="1:6" ht="12.75" customHeight="1" x14ac:dyDescent="0.2">
      <c r="A87" s="38"/>
      <c r="B87" s="38"/>
      <c r="C87" s="8"/>
      <c r="D87" s="8"/>
      <c r="E87" s="8"/>
      <c r="F87" s="8"/>
    </row>
    <row r="88" spans="1:6" ht="12.75" customHeight="1" x14ac:dyDescent="0.2">
      <c r="A88" s="38"/>
      <c r="B88" s="38"/>
      <c r="C88" s="8"/>
      <c r="D88" s="8"/>
      <c r="E88" s="8"/>
      <c r="F88" s="8"/>
    </row>
    <row r="89" spans="1:6" ht="12.75" customHeight="1" x14ac:dyDescent="0.2">
      <c r="A89" s="38"/>
      <c r="B89" s="38"/>
      <c r="C89" s="8"/>
      <c r="D89" s="8"/>
      <c r="E89" s="8"/>
      <c r="F89" s="8"/>
    </row>
    <row r="90" spans="1:6" ht="12.75" customHeight="1" x14ac:dyDescent="0.2">
      <c r="A90" s="38"/>
      <c r="B90" s="38"/>
      <c r="C90" s="8"/>
      <c r="D90" s="8"/>
      <c r="E90" s="8"/>
      <c r="F90" s="8"/>
    </row>
    <row r="91" spans="1:6" ht="12.75" customHeight="1" x14ac:dyDescent="0.2">
      <c r="A91" s="38"/>
      <c r="B91" s="38"/>
      <c r="C91" s="8"/>
      <c r="D91" s="8"/>
      <c r="E91" s="8"/>
      <c r="F91" s="8"/>
    </row>
    <row r="92" spans="1:6" ht="12.75" customHeight="1" x14ac:dyDescent="0.2">
      <c r="A92" s="38"/>
      <c r="B92" s="38"/>
      <c r="C92" s="8"/>
      <c r="D92" s="8"/>
      <c r="E92" s="8"/>
      <c r="F92" s="8"/>
    </row>
    <row r="93" spans="1:6" ht="12.75" customHeight="1" x14ac:dyDescent="0.2">
      <c r="A93" s="38"/>
      <c r="B93" s="38"/>
      <c r="C93" s="8"/>
      <c r="D93" s="8"/>
      <c r="E93" s="8"/>
      <c r="F93" s="8"/>
    </row>
    <row r="94" spans="1:6" ht="12.75" customHeight="1" x14ac:dyDescent="0.2">
      <c r="A94" s="38"/>
      <c r="B94" s="38"/>
      <c r="C94" s="8"/>
      <c r="D94" s="8"/>
      <c r="E94" s="8"/>
      <c r="F94" s="8"/>
    </row>
    <row r="95" spans="1:6" ht="12.75" customHeight="1" x14ac:dyDescent="0.2">
      <c r="A95" s="38"/>
      <c r="B95" s="38"/>
      <c r="C95" s="8"/>
      <c r="D95" s="8"/>
      <c r="E95" s="8"/>
      <c r="F95" s="8"/>
    </row>
    <row r="96" spans="1:6" ht="12.75" customHeight="1" x14ac:dyDescent="0.2">
      <c r="A96" s="38"/>
      <c r="B96" s="38"/>
      <c r="C96" s="8"/>
      <c r="D96" s="8"/>
      <c r="E96" s="8"/>
      <c r="F96" s="8"/>
    </row>
    <row r="97" spans="1:6" ht="12.75" customHeight="1" x14ac:dyDescent="0.2">
      <c r="A97" s="38"/>
      <c r="B97" s="38"/>
      <c r="C97" s="8"/>
      <c r="D97" s="8"/>
      <c r="E97" s="8"/>
      <c r="F97" s="8"/>
    </row>
    <row r="98" spans="1:6" ht="12.75" customHeight="1" x14ac:dyDescent="0.2">
      <c r="A98" s="38"/>
      <c r="B98" s="38"/>
      <c r="C98" s="8"/>
      <c r="D98" s="8"/>
      <c r="E98" s="8"/>
      <c r="F98" s="8"/>
    </row>
    <row r="99" spans="1:6" ht="12.75" customHeight="1" x14ac:dyDescent="0.2">
      <c r="A99" s="38"/>
      <c r="B99" s="38"/>
      <c r="C99" s="8"/>
      <c r="D99" s="8"/>
      <c r="E99" s="8"/>
      <c r="F99" s="8"/>
    </row>
    <row r="100" spans="1:6" ht="12.75" customHeight="1" x14ac:dyDescent="0.2">
      <c r="A100" s="38"/>
      <c r="B100" s="38"/>
      <c r="C100" s="8"/>
      <c r="D100" s="8"/>
      <c r="E100" s="8"/>
      <c r="F100" s="8"/>
    </row>
    <row r="101" spans="1:6" ht="12.75" customHeight="1" x14ac:dyDescent="0.2">
      <c r="A101" s="38"/>
      <c r="B101" s="38"/>
      <c r="C101" s="8"/>
      <c r="D101" s="8"/>
      <c r="E101" s="8"/>
      <c r="F101" s="8"/>
    </row>
    <row r="102" spans="1:6" ht="12.75" customHeight="1" x14ac:dyDescent="0.2">
      <c r="A102" s="38"/>
      <c r="B102" s="38"/>
      <c r="C102" s="8"/>
      <c r="D102" s="8"/>
      <c r="E102" s="8"/>
      <c r="F102" s="8"/>
    </row>
    <row r="103" spans="1:6" ht="12.75" customHeight="1" x14ac:dyDescent="0.2">
      <c r="A103" s="38"/>
      <c r="B103" s="38"/>
      <c r="C103" s="8"/>
      <c r="D103" s="8"/>
      <c r="E103" s="8"/>
      <c r="F103" s="8"/>
    </row>
    <row r="104" spans="1:6" ht="12.75" customHeight="1" x14ac:dyDescent="0.2">
      <c r="A104" s="38"/>
      <c r="B104" s="38"/>
      <c r="C104" s="8"/>
      <c r="D104" s="8"/>
      <c r="E104" s="8"/>
      <c r="F104" s="8"/>
    </row>
    <row r="105" spans="1:6" ht="12.75" customHeight="1" x14ac:dyDescent="0.2">
      <c r="A105" s="38"/>
      <c r="B105" s="38"/>
      <c r="C105" s="8"/>
      <c r="D105" s="8"/>
      <c r="E105" s="8"/>
      <c r="F105" s="8"/>
    </row>
    <row r="106" spans="1:6" ht="12.75" customHeight="1" x14ac:dyDescent="0.2">
      <c r="A106" s="38"/>
      <c r="B106" s="38"/>
      <c r="C106" s="8"/>
      <c r="D106" s="8"/>
      <c r="E106" s="8"/>
      <c r="F106" s="8"/>
    </row>
    <row r="107" spans="1:6" ht="12.75" customHeight="1" x14ac:dyDescent="0.2">
      <c r="A107" s="38"/>
      <c r="B107" s="38"/>
      <c r="C107" s="8"/>
      <c r="D107" s="8"/>
      <c r="E107" s="8"/>
      <c r="F107" s="8"/>
    </row>
    <row r="108" spans="1:6" ht="12.75" customHeight="1" x14ac:dyDescent="0.2">
      <c r="A108" s="38"/>
      <c r="B108" s="38"/>
      <c r="C108" s="8"/>
      <c r="D108" s="8"/>
      <c r="E108" s="8"/>
      <c r="F108" s="8"/>
    </row>
    <row r="109" spans="1:6" ht="12.75" customHeight="1" x14ac:dyDescent="0.2">
      <c r="A109" s="38"/>
      <c r="B109" s="38"/>
      <c r="C109" s="8"/>
      <c r="D109" s="8"/>
      <c r="E109" s="8"/>
      <c r="F109" s="8"/>
    </row>
    <row r="110" spans="1:6" ht="12.75" customHeight="1" x14ac:dyDescent="0.2">
      <c r="A110" s="38"/>
      <c r="B110" s="38"/>
      <c r="C110" s="8"/>
      <c r="D110" s="8"/>
      <c r="E110" s="8"/>
      <c r="F110" s="8"/>
    </row>
    <row r="111" spans="1:6" ht="12.75" customHeight="1" x14ac:dyDescent="0.2">
      <c r="A111" s="38"/>
      <c r="B111" s="38"/>
      <c r="C111" s="8"/>
      <c r="D111" s="8"/>
      <c r="E111" s="8"/>
      <c r="F111" s="8"/>
    </row>
    <row r="112" spans="1:6" ht="12.75" customHeight="1" x14ac:dyDescent="0.2">
      <c r="A112" s="38"/>
      <c r="B112" s="38"/>
      <c r="C112" s="8"/>
      <c r="D112" s="8"/>
      <c r="E112" s="8"/>
      <c r="F112" s="8"/>
    </row>
    <row r="113" spans="1:6" ht="12.75" customHeight="1" x14ac:dyDescent="0.2">
      <c r="A113" s="38"/>
      <c r="B113" s="38"/>
      <c r="C113" s="8"/>
      <c r="D113" s="8"/>
      <c r="E113" s="8"/>
      <c r="F113" s="8"/>
    </row>
    <row r="114" spans="1:6" ht="12.75" customHeight="1" x14ac:dyDescent="0.2">
      <c r="A114" s="38"/>
      <c r="B114" s="38"/>
      <c r="C114" s="8"/>
      <c r="D114" s="8"/>
      <c r="E114" s="8"/>
      <c r="F114" s="8"/>
    </row>
    <row r="115" spans="1:6" ht="12.75" customHeight="1" x14ac:dyDescent="0.2">
      <c r="A115" s="38"/>
      <c r="B115" s="38"/>
      <c r="C115" s="8"/>
      <c r="D115" s="8"/>
      <c r="E115" s="8"/>
      <c r="F115" s="8"/>
    </row>
    <row r="116" spans="1:6" ht="12.75" customHeight="1" x14ac:dyDescent="0.2">
      <c r="A116" s="38"/>
      <c r="B116" s="38"/>
      <c r="C116" s="8"/>
      <c r="D116" s="8"/>
      <c r="E116" s="8"/>
      <c r="F116" s="8"/>
    </row>
    <row r="117" spans="1:6" ht="12.75" customHeight="1" x14ac:dyDescent="0.2">
      <c r="A117" s="38"/>
      <c r="B117" s="38"/>
      <c r="C117" s="8"/>
      <c r="D117" s="8"/>
      <c r="E117" s="8"/>
      <c r="F117" s="8"/>
    </row>
    <row r="118" spans="1:6" ht="12.75" customHeight="1" x14ac:dyDescent="0.2">
      <c r="A118" s="38"/>
      <c r="B118" s="38"/>
      <c r="C118" s="8"/>
      <c r="D118" s="8"/>
      <c r="E118" s="8"/>
      <c r="F118" s="8"/>
    </row>
    <row r="119" spans="1:6" ht="12.75" customHeight="1" x14ac:dyDescent="0.2">
      <c r="A119" s="38"/>
      <c r="B119" s="38"/>
      <c r="C119" s="8"/>
      <c r="D119" s="8"/>
      <c r="E119" s="8"/>
      <c r="F119" s="8"/>
    </row>
    <row r="120" spans="1:6" ht="12.75" customHeight="1" x14ac:dyDescent="0.2">
      <c r="A120" s="38"/>
      <c r="B120" s="38"/>
      <c r="C120" s="8"/>
      <c r="D120" s="8"/>
      <c r="E120" s="8"/>
      <c r="F120" s="8"/>
    </row>
    <row r="121" spans="1:6" ht="12.75" customHeight="1" x14ac:dyDescent="0.2">
      <c r="A121" s="38"/>
      <c r="B121" s="38"/>
      <c r="C121" s="8"/>
      <c r="D121" s="8"/>
      <c r="E121" s="8"/>
      <c r="F121" s="8"/>
    </row>
    <row r="122" spans="1:6" ht="12.75" customHeight="1" x14ac:dyDescent="0.2">
      <c r="A122" s="38"/>
      <c r="B122" s="38"/>
      <c r="C122" s="8"/>
      <c r="D122" s="8"/>
      <c r="E122" s="8"/>
      <c r="F122" s="8"/>
    </row>
    <row r="123" spans="1:6" ht="12.75" customHeight="1" x14ac:dyDescent="0.2">
      <c r="A123" s="38"/>
      <c r="B123" s="38"/>
      <c r="C123" s="8"/>
      <c r="D123" s="8"/>
      <c r="E123" s="8"/>
      <c r="F123" s="8"/>
    </row>
    <row r="124" spans="1:6" ht="12.75" customHeight="1" x14ac:dyDescent="0.2">
      <c r="A124" s="38"/>
      <c r="B124" s="38"/>
      <c r="C124" s="8"/>
      <c r="D124" s="8"/>
      <c r="E124" s="8"/>
      <c r="F124" s="8"/>
    </row>
    <row r="125" spans="1:6" ht="12.75" customHeight="1" x14ac:dyDescent="0.2">
      <c r="A125" s="38"/>
      <c r="B125" s="38"/>
      <c r="C125" s="8"/>
      <c r="D125" s="8"/>
      <c r="E125" s="8"/>
      <c r="F125" s="8"/>
    </row>
    <row r="126" spans="1:6" ht="12.75" customHeight="1" x14ac:dyDescent="0.2">
      <c r="A126" s="38"/>
      <c r="B126" s="38"/>
      <c r="C126" s="8"/>
      <c r="D126" s="8"/>
      <c r="E126" s="8"/>
      <c r="F126" s="8"/>
    </row>
    <row r="127" spans="1:6" ht="12.75" customHeight="1" x14ac:dyDescent="0.2">
      <c r="A127" s="38"/>
      <c r="B127" s="38"/>
      <c r="C127" s="8"/>
      <c r="D127" s="8"/>
      <c r="E127" s="8"/>
      <c r="F127" s="8"/>
    </row>
    <row r="128" spans="1:6" ht="12.75" customHeight="1" x14ac:dyDescent="0.2">
      <c r="A128" s="38"/>
      <c r="B128" s="38"/>
      <c r="C128" s="8"/>
      <c r="D128" s="8"/>
      <c r="E128" s="8"/>
      <c r="F128" s="8"/>
    </row>
    <row r="129" spans="1:6" ht="12.75" customHeight="1" x14ac:dyDescent="0.2">
      <c r="A129" s="38"/>
      <c r="B129" s="38"/>
      <c r="C129" s="8"/>
      <c r="D129" s="8"/>
      <c r="E129" s="8"/>
      <c r="F129" s="8"/>
    </row>
    <row r="130" spans="1:6" ht="12.75" customHeight="1" x14ac:dyDescent="0.2">
      <c r="A130" s="38"/>
      <c r="B130" s="38"/>
      <c r="C130" s="8"/>
      <c r="D130" s="8"/>
      <c r="E130" s="8"/>
      <c r="F130" s="8"/>
    </row>
    <row r="131" spans="1:6" ht="12.75" customHeight="1" x14ac:dyDescent="0.2">
      <c r="A131" s="38"/>
      <c r="B131" s="38"/>
      <c r="C131" s="8"/>
      <c r="D131" s="8"/>
      <c r="E131" s="8"/>
      <c r="F131" s="8"/>
    </row>
    <row r="132" spans="1:6" ht="12.75" customHeight="1" x14ac:dyDescent="0.2">
      <c r="A132" s="38"/>
      <c r="B132" s="38"/>
      <c r="C132" s="8"/>
      <c r="D132" s="8"/>
      <c r="E132" s="8"/>
      <c r="F132" s="8"/>
    </row>
    <row r="133" spans="1:6" ht="12.75" customHeight="1" x14ac:dyDescent="0.2">
      <c r="A133" s="38"/>
      <c r="B133" s="38"/>
      <c r="C133" s="8"/>
      <c r="D133" s="8"/>
      <c r="E133" s="8"/>
      <c r="F133" s="8"/>
    </row>
    <row r="134" spans="1:6" ht="12.75" customHeight="1" x14ac:dyDescent="0.2">
      <c r="A134" s="38"/>
      <c r="B134" s="38"/>
      <c r="C134" s="8"/>
      <c r="D134" s="8"/>
      <c r="E134" s="8"/>
      <c r="F134" s="8"/>
    </row>
    <row r="135" spans="1:6" ht="12.75" customHeight="1" x14ac:dyDescent="0.2">
      <c r="A135" s="38"/>
      <c r="B135" s="38"/>
      <c r="C135" s="8"/>
      <c r="D135" s="8"/>
      <c r="E135" s="8"/>
      <c r="F135" s="8"/>
    </row>
    <row r="136" spans="1:6" ht="12.75" customHeight="1" x14ac:dyDescent="0.2">
      <c r="A136" s="38"/>
      <c r="B136" s="38"/>
      <c r="C136" s="8"/>
      <c r="D136" s="8"/>
      <c r="E136" s="8"/>
      <c r="F136" s="8"/>
    </row>
    <row r="137" spans="1:6" ht="12.75" customHeight="1" x14ac:dyDescent="0.2">
      <c r="A137" s="38"/>
      <c r="B137" s="38"/>
      <c r="C137" s="8"/>
      <c r="D137" s="8"/>
      <c r="E137" s="8"/>
      <c r="F137" s="8"/>
    </row>
    <row r="138" spans="1:6" ht="12.75" customHeight="1" x14ac:dyDescent="0.2">
      <c r="A138" s="38"/>
      <c r="B138" s="38"/>
      <c r="C138" s="8"/>
      <c r="D138" s="8"/>
      <c r="E138" s="8"/>
      <c r="F138" s="8"/>
    </row>
    <row r="139" spans="1:6" ht="12.75" customHeight="1" x14ac:dyDescent="0.2">
      <c r="A139" s="38"/>
      <c r="B139" s="38"/>
      <c r="C139" s="8"/>
      <c r="D139" s="8"/>
      <c r="E139" s="8"/>
      <c r="F139" s="8"/>
    </row>
    <row r="140" spans="1:6" ht="12.75" customHeight="1" x14ac:dyDescent="0.2">
      <c r="A140" s="38"/>
      <c r="B140" s="38"/>
      <c r="C140" s="8"/>
      <c r="D140" s="8"/>
      <c r="E140" s="8"/>
      <c r="F140" s="8"/>
    </row>
    <row r="141" spans="1:6" ht="12.75" customHeight="1" x14ac:dyDescent="0.2">
      <c r="A141" s="38"/>
      <c r="B141" s="38"/>
      <c r="C141" s="8"/>
      <c r="D141" s="8"/>
      <c r="E141" s="8"/>
      <c r="F141" s="8"/>
    </row>
    <row r="142" spans="1:6" ht="12.75" customHeight="1" x14ac:dyDescent="0.2">
      <c r="A142" s="38"/>
      <c r="B142" s="38"/>
      <c r="C142" s="8"/>
      <c r="D142" s="8"/>
      <c r="E142" s="8"/>
      <c r="F142" s="8"/>
    </row>
    <row r="143" spans="1:6" ht="12.75" customHeight="1" x14ac:dyDescent="0.2">
      <c r="A143" s="38"/>
      <c r="B143" s="38"/>
      <c r="C143" s="8"/>
      <c r="D143" s="8"/>
      <c r="E143" s="8"/>
      <c r="F143" s="8"/>
    </row>
    <row r="144" spans="1:6" ht="12.75" customHeight="1" x14ac:dyDescent="0.2">
      <c r="A144" s="38"/>
      <c r="B144" s="38"/>
      <c r="C144" s="8"/>
      <c r="D144" s="8"/>
      <c r="E144" s="8"/>
      <c r="F144" s="8"/>
    </row>
    <row r="145" spans="1:6" ht="12.75" customHeight="1" x14ac:dyDescent="0.2">
      <c r="A145" s="38"/>
      <c r="B145" s="38"/>
      <c r="C145" s="8"/>
      <c r="D145" s="8"/>
      <c r="E145" s="8"/>
      <c r="F145" s="8"/>
    </row>
    <row r="146" spans="1:6" ht="12.75" customHeight="1" x14ac:dyDescent="0.2">
      <c r="A146" s="38"/>
      <c r="B146" s="38"/>
      <c r="C146" s="8"/>
      <c r="D146" s="8"/>
      <c r="E146" s="8"/>
      <c r="F146" s="8"/>
    </row>
    <row r="147" spans="1:6" ht="12.75" customHeight="1" x14ac:dyDescent="0.2">
      <c r="A147" s="38"/>
      <c r="B147" s="38"/>
      <c r="C147" s="8"/>
      <c r="D147" s="8"/>
      <c r="E147" s="8"/>
      <c r="F147" s="8"/>
    </row>
    <row r="148" spans="1:6" ht="12.75" customHeight="1" x14ac:dyDescent="0.2">
      <c r="A148" s="38"/>
      <c r="B148" s="38"/>
      <c r="C148" s="8"/>
      <c r="D148" s="8"/>
      <c r="E148" s="8"/>
      <c r="F148" s="8"/>
    </row>
    <row r="149" spans="1:6" ht="12.75" customHeight="1" x14ac:dyDescent="0.2">
      <c r="A149" s="38"/>
      <c r="B149" s="38"/>
      <c r="C149" s="8"/>
      <c r="D149" s="8"/>
      <c r="E149" s="8"/>
      <c r="F149" s="8"/>
    </row>
    <row r="150" spans="1:6" ht="12.75" customHeight="1" x14ac:dyDescent="0.2">
      <c r="A150" s="38"/>
      <c r="B150" s="38"/>
      <c r="C150" s="8"/>
      <c r="D150" s="8"/>
      <c r="E150" s="8"/>
      <c r="F150" s="8"/>
    </row>
    <row r="151" spans="1:6" ht="12.75" customHeight="1" x14ac:dyDescent="0.2">
      <c r="A151" s="38"/>
      <c r="B151" s="38"/>
      <c r="C151" s="8"/>
      <c r="D151" s="8"/>
      <c r="E151" s="8"/>
      <c r="F151" s="8"/>
    </row>
    <row r="152" spans="1:6" ht="12.75" customHeight="1" x14ac:dyDescent="0.2">
      <c r="A152" s="38"/>
      <c r="B152" s="38"/>
      <c r="C152" s="8"/>
      <c r="D152" s="8"/>
      <c r="E152" s="8"/>
      <c r="F152" s="8"/>
    </row>
    <row r="153" spans="1:6" ht="12.75" customHeight="1" x14ac:dyDescent="0.2">
      <c r="A153" s="38"/>
      <c r="B153" s="38"/>
      <c r="C153" s="8"/>
      <c r="D153" s="8"/>
      <c r="E153" s="8"/>
      <c r="F153" s="8"/>
    </row>
    <row r="154" spans="1:6" ht="12.75" customHeight="1" x14ac:dyDescent="0.2">
      <c r="A154" s="38"/>
      <c r="B154" s="38"/>
      <c r="C154" s="8"/>
      <c r="D154" s="8"/>
      <c r="E154" s="8"/>
      <c r="F154" s="8"/>
    </row>
    <row r="155" spans="1:6" ht="12.75" customHeight="1" x14ac:dyDescent="0.2">
      <c r="A155" s="38"/>
      <c r="B155" s="38"/>
      <c r="C155" s="8"/>
      <c r="D155" s="8"/>
      <c r="E155" s="8"/>
      <c r="F155" s="8"/>
    </row>
    <row r="156" spans="1:6" ht="12.75" customHeight="1" x14ac:dyDescent="0.2">
      <c r="A156" s="38"/>
      <c r="B156" s="38"/>
      <c r="C156" s="8"/>
      <c r="D156" s="8"/>
      <c r="E156" s="8"/>
      <c r="F156" s="8"/>
    </row>
    <row r="157" spans="1:6" ht="12.75" customHeight="1" x14ac:dyDescent="0.2">
      <c r="A157" s="38"/>
      <c r="B157" s="38"/>
      <c r="C157" s="8"/>
      <c r="D157" s="8"/>
      <c r="E157" s="8"/>
      <c r="F157" s="8"/>
    </row>
    <row r="158" spans="1:6" ht="12.75" customHeight="1" x14ac:dyDescent="0.2">
      <c r="A158" s="38"/>
      <c r="B158" s="38"/>
      <c r="C158" s="8"/>
      <c r="D158" s="8"/>
      <c r="E158" s="8"/>
      <c r="F158" s="8"/>
    </row>
    <row r="159" spans="1:6" ht="12.75" customHeight="1" x14ac:dyDescent="0.2">
      <c r="A159" s="38"/>
      <c r="B159" s="38"/>
      <c r="C159" s="8"/>
      <c r="D159" s="8"/>
      <c r="E159" s="8"/>
      <c r="F159" s="8"/>
    </row>
    <row r="160" spans="1:6" ht="12.75" customHeight="1" x14ac:dyDescent="0.2">
      <c r="A160" s="38"/>
      <c r="B160" s="38"/>
      <c r="C160" s="8"/>
      <c r="D160" s="8"/>
      <c r="E160" s="8"/>
      <c r="F160" s="8"/>
    </row>
    <row r="161" spans="1:6" ht="12.75" customHeight="1" x14ac:dyDescent="0.2">
      <c r="A161" s="38"/>
      <c r="B161" s="38"/>
      <c r="C161" s="8"/>
      <c r="D161" s="8"/>
      <c r="E161" s="8"/>
      <c r="F161" s="8"/>
    </row>
    <row r="162" spans="1:6" ht="12.75" customHeight="1" x14ac:dyDescent="0.2">
      <c r="A162" s="38"/>
      <c r="B162" s="38"/>
      <c r="C162" s="8"/>
      <c r="D162" s="8"/>
      <c r="E162" s="8"/>
      <c r="F162" s="8"/>
    </row>
    <row r="163" spans="1:6" ht="12.75" customHeight="1" x14ac:dyDescent="0.2">
      <c r="A163" s="38"/>
      <c r="B163" s="38"/>
      <c r="C163" s="8"/>
      <c r="D163" s="8"/>
      <c r="E163" s="8"/>
      <c r="F163" s="8"/>
    </row>
    <row r="164" spans="1:6" ht="12.75" customHeight="1" x14ac:dyDescent="0.2">
      <c r="A164" s="38"/>
      <c r="B164" s="38"/>
      <c r="C164" s="8"/>
      <c r="D164" s="8"/>
      <c r="E164" s="8"/>
      <c r="F164" s="8"/>
    </row>
    <row r="165" spans="1:6" ht="12.75" customHeight="1" x14ac:dyDescent="0.2">
      <c r="A165" s="38"/>
      <c r="B165" s="38"/>
      <c r="C165" s="8"/>
      <c r="D165" s="8"/>
      <c r="E165" s="8"/>
      <c r="F165" s="8"/>
    </row>
    <row r="166" spans="1:6" ht="12.75" customHeight="1" x14ac:dyDescent="0.2">
      <c r="A166" s="38"/>
      <c r="B166" s="38"/>
      <c r="C166" s="8"/>
      <c r="D166" s="8"/>
      <c r="E166" s="8"/>
      <c r="F166" s="8"/>
    </row>
    <row r="167" spans="1:6" ht="12.75" customHeight="1" x14ac:dyDescent="0.2">
      <c r="A167" s="38"/>
      <c r="B167" s="38"/>
      <c r="C167" s="8"/>
      <c r="D167" s="8"/>
      <c r="E167" s="8"/>
      <c r="F167" s="8"/>
    </row>
    <row r="168" spans="1:6" ht="12.75" customHeight="1" x14ac:dyDescent="0.2">
      <c r="A168" s="38"/>
      <c r="B168" s="38"/>
      <c r="C168" s="8"/>
      <c r="D168" s="8"/>
      <c r="E168" s="8"/>
      <c r="F168" s="8"/>
    </row>
    <row r="169" spans="1:6" ht="12.75" customHeight="1" x14ac:dyDescent="0.2">
      <c r="A169" s="38"/>
      <c r="B169" s="38"/>
      <c r="C169" s="8"/>
      <c r="D169" s="8"/>
      <c r="E169" s="8"/>
      <c r="F169" s="8"/>
    </row>
    <row r="170" spans="1:6" ht="12.75" customHeight="1" x14ac:dyDescent="0.2">
      <c r="A170" s="38"/>
      <c r="B170" s="38"/>
      <c r="C170" s="8"/>
      <c r="D170" s="8"/>
      <c r="E170" s="8"/>
      <c r="F170" s="8"/>
    </row>
    <row r="171" spans="1:6" ht="12.75" customHeight="1" x14ac:dyDescent="0.2">
      <c r="A171" s="38"/>
      <c r="B171" s="38"/>
      <c r="C171" s="8"/>
      <c r="D171" s="8"/>
      <c r="E171" s="8"/>
      <c r="F171" s="8"/>
    </row>
    <row r="172" spans="1:6" ht="12.75" customHeight="1" x14ac:dyDescent="0.2">
      <c r="A172" s="38"/>
      <c r="B172" s="38"/>
      <c r="C172" s="8"/>
      <c r="D172" s="8"/>
      <c r="E172" s="8"/>
      <c r="F172" s="8"/>
    </row>
    <row r="173" spans="1:6" ht="12.75" customHeight="1" x14ac:dyDescent="0.2">
      <c r="A173" s="38"/>
      <c r="B173" s="38"/>
      <c r="C173" s="8"/>
      <c r="D173" s="8"/>
      <c r="E173" s="8"/>
      <c r="F173" s="8"/>
    </row>
    <row r="174" spans="1:6" ht="12.75" customHeight="1" x14ac:dyDescent="0.2">
      <c r="A174" s="38"/>
      <c r="B174" s="38"/>
      <c r="C174" s="8"/>
      <c r="D174" s="8"/>
      <c r="E174" s="8"/>
      <c r="F174" s="8"/>
    </row>
    <row r="175" spans="1:6" ht="12.75" customHeight="1" x14ac:dyDescent="0.2">
      <c r="A175" s="38"/>
      <c r="B175" s="38"/>
      <c r="C175" s="8"/>
      <c r="D175" s="8"/>
      <c r="E175" s="8"/>
      <c r="F175" s="8"/>
    </row>
    <row r="176" spans="1:6" ht="12.75" customHeight="1" x14ac:dyDescent="0.2">
      <c r="A176" s="38"/>
      <c r="B176" s="38"/>
      <c r="C176" s="8"/>
      <c r="D176" s="8"/>
      <c r="E176" s="8"/>
      <c r="F176" s="8"/>
    </row>
    <row r="177" spans="1:6" ht="12.75" customHeight="1" x14ac:dyDescent="0.2">
      <c r="A177" s="38"/>
      <c r="B177" s="38"/>
      <c r="C177" s="8"/>
      <c r="D177" s="8"/>
      <c r="E177" s="8"/>
      <c r="F177" s="8"/>
    </row>
    <row r="178" spans="1:6" ht="12.75" customHeight="1" x14ac:dyDescent="0.2">
      <c r="A178" s="38"/>
      <c r="B178" s="38"/>
      <c r="C178" s="8"/>
      <c r="D178" s="8"/>
      <c r="E178" s="8"/>
      <c r="F178" s="8"/>
    </row>
    <row r="179" spans="1:6" ht="12.75" customHeight="1" x14ac:dyDescent="0.2">
      <c r="A179" s="38"/>
      <c r="B179" s="38"/>
      <c r="C179" s="8"/>
      <c r="D179" s="8"/>
      <c r="E179" s="8"/>
      <c r="F179" s="8"/>
    </row>
    <row r="180" spans="1:6" ht="12.75" customHeight="1" x14ac:dyDescent="0.2">
      <c r="A180" s="38"/>
      <c r="B180" s="38"/>
      <c r="C180" s="8"/>
      <c r="D180" s="8"/>
      <c r="E180" s="8"/>
      <c r="F180" s="8"/>
    </row>
    <row r="181" spans="1:6" ht="12.75" customHeight="1" x14ac:dyDescent="0.2">
      <c r="A181" s="38"/>
      <c r="B181" s="38"/>
      <c r="C181" s="8"/>
      <c r="D181" s="8"/>
      <c r="E181" s="8"/>
      <c r="F181" s="8"/>
    </row>
    <row r="182" spans="1:6" ht="12.75" customHeight="1" x14ac:dyDescent="0.2">
      <c r="A182" s="38"/>
      <c r="B182" s="38"/>
      <c r="C182" s="8"/>
      <c r="D182" s="8"/>
      <c r="E182" s="8"/>
      <c r="F182" s="8"/>
    </row>
    <row r="183" spans="1:6" ht="12.75" customHeight="1" x14ac:dyDescent="0.2">
      <c r="A183" s="38"/>
      <c r="B183" s="38"/>
      <c r="C183" s="8"/>
      <c r="D183" s="8"/>
      <c r="E183" s="8"/>
      <c r="F183" s="8"/>
    </row>
    <row r="184" spans="1:6" ht="12.75" customHeight="1" x14ac:dyDescent="0.2">
      <c r="A184" s="38"/>
      <c r="B184" s="38"/>
      <c r="C184" s="8"/>
      <c r="D184" s="8"/>
      <c r="E184" s="8"/>
      <c r="F184" s="8"/>
    </row>
    <row r="185" spans="1:6" ht="12.75" customHeight="1" x14ac:dyDescent="0.2">
      <c r="A185" s="38"/>
      <c r="B185" s="38"/>
      <c r="C185" s="8"/>
      <c r="D185" s="8"/>
      <c r="E185" s="8"/>
      <c r="F185" s="8"/>
    </row>
    <row r="186" spans="1:6" ht="12.75" customHeight="1" x14ac:dyDescent="0.2">
      <c r="A186" s="38"/>
      <c r="B186" s="38"/>
      <c r="C186" s="8"/>
      <c r="D186" s="8"/>
      <c r="E186" s="8"/>
      <c r="F186" s="8"/>
    </row>
    <row r="187" spans="1:6" ht="12.75" customHeight="1" x14ac:dyDescent="0.2">
      <c r="A187" s="38"/>
      <c r="B187" s="38"/>
      <c r="C187" s="8"/>
      <c r="D187" s="8"/>
      <c r="E187" s="8"/>
      <c r="F187" s="8"/>
    </row>
    <row r="188" spans="1:6" ht="12.75" customHeight="1" x14ac:dyDescent="0.2">
      <c r="A188" s="38"/>
      <c r="B188" s="38"/>
      <c r="C188" s="8"/>
      <c r="D188" s="8"/>
      <c r="E188" s="8"/>
      <c r="F188" s="8"/>
    </row>
    <row r="189" spans="1:6" ht="12.75" customHeight="1" x14ac:dyDescent="0.2">
      <c r="A189" s="38"/>
      <c r="B189" s="38"/>
      <c r="C189" s="8"/>
      <c r="D189" s="8"/>
      <c r="E189" s="8"/>
      <c r="F189" s="8"/>
    </row>
    <row r="190" spans="1:6" ht="12.75" customHeight="1" x14ac:dyDescent="0.2">
      <c r="A190" s="38"/>
      <c r="B190" s="38"/>
      <c r="C190" s="8"/>
      <c r="D190" s="8"/>
      <c r="E190" s="8"/>
      <c r="F190" s="8"/>
    </row>
    <row r="191" spans="1:6" ht="12.75" customHeight="1" x14ac:dyDescent="0.2">
      <c r="A191" s="38"/>
      <c r="B191" s="38"/>
      <c r="C191" s="8"/>
      <c r="D191" s="8"/>
      <c r="E191" s="8"/>
      <c r="F191" s="8"/>
    </row>
    <row r="192" spans="1:6" ht="12.75" customHeight="1" x14ac:dyDescent="0.2">
      <c r="A192" s="38"/>
      <c r="B192" s="38"/>
      <c r="C192" s="8"/>
      <c r="D192" s="8"/>
      <c r="E192" s="8"/>
      <c r="F192" s="8"/>
    </row>
    <row r="193" spans="1:6" ht="12.75" customHeight="1" x14ac:dyDescent="0.2">
      <c r="A193" s="38"/>
      <c r="B193" s="38"/>
      <c r="C193" s="8"/>
      <c r="D193" s="8"/>
      <c r="E193" s="8"/>
      <c r="F193" s="8"/>
    </row>
    <row r="194" spans="1:6" ht="12.75" customHeight="1" x14ac:dyDescent="0.2">
      <c r="A194" s="38"/>
      <c r="B194" s="38"/>
      <c r="C194" s="8"/>
      <c r="D194" s="8"/>
      <c r="E194" s="8"/>
      <c r="F194" s="8"/>
    </row>
    <row r="195" spans="1:6" ht="12.75" customHeight="1" x14ac:dyDescent="0.2">
      <c r="A195" s="38"/>
      <c r="B195" s="38"/>
      <c r="C195" s="8"/>
      <c r="D195" s="8"/>
      <c r="E195" s="8"/>
      <c r="F195" s="8"/>
    </row>
    <row r="196" spans="1:6" ht="12.75" customHeight="1" x14ac:dyDescent="0.2">
      <c r="A196" s="38"/>
      <c r="B196" s="38"/>
      <c r="C196" s="8"/>
      <c r="D196" s="8"/>
      <c r="E196" s="8"/>
      <c r="F196" s="8"/>
    </row>
    <row r="197" spans="1:6" ht="12.75" customHeight="1" x14ac:dyDescent="0.2">
      <c r="A197" s="38"/>
      <c r="B197" s="38"/>
      <c r="C197" s="8"/>
      <c r="D197" s="8"/>
      <c r="E197" s="8"/>
      <c r="F197" s="8"/>
    </row>
    <row r="198" spans="1:6" ht="12.75" customHeight="1" x14ac:dyDescent="0.2">
      <c r="A198" s="38"/>
      <c r="B198" s="38"/>
      <c r="C198" s="8"/>
      <c r="D198" s="8"/>
      <c r="E198" s="8"/>
      <c r="F198" s="8"/>
    </row>
    <row r="199" spans="1:6" ht="12.75" customHeight="1" x14ac:dyDescent="0.2">
      <c r="A199" s="38"/>
      <c r="B199" s="38"/>
      <c r="C199" s="8"/>
      <c r="D199" s="8"/>
      <c r="E199" s="8"/>
      <c r="F199" s="8"/>
    </row>
    <row r="200" spans="1:6" ht="12.75" customHeight="1" x14ac:dyDescent="0.2">
      <c r="A200" s="38"/>
      <c r="B200" s="38"/>
      <c r="C200" s="8"/>
      <c r="D200" s="8"/>
      <c r="E200" s="8"/>
      <c r="F200" s="8"/>
    </row>
    <row r="201" spans="1:6" ht="12.75" customHeight="1" x14ac:dyDescent="0.2">
      <c r="A201" s="38"/>
      <c r="B201" s="38"/>
      <c r="C201" s="8"/>
      <c r="D201" s="8"/>
      <c r="E201" s="8"/>
      <c r="F201" s="8"/>
    </row>
    <row r="202" spans="1:6" ht="12.75" customHeight="1" x14ac:dyDescent="0.2">
      <c r="A202" s="38"/>
      <c r="B202" s="38"/>
      <c r="C202" s="8"/>
      <c r="D202" s="8"/>
      <c r="E202" s="8"/>
      <c r="F202" s="8"/>
    </row>
    <row r="203" spans="1:6" ht="12.75" customHeight="1" x14ac:dyDescent="0.2">
      <c r="A203" s="38"/>
      <c r="B203" s="38"/>
      <c r="C203" s="8"/>
      <c r="D203" s="8"/>
      <c r="E203" s="8"/>
      <c r="F203" s="8"/>
    </row>
    <row r="204" spans="1:6" ht="12.75" customHeight="1" x14ac:dyDescent="0.2">
      <c r="A204" s="38"/>
      <c r="B204" s="38"/>
      <c r="C204" s="8"/>
      <c r="D204" s="8"/>
      <c r="E204" s="8"/>
      <c r="F204" s="8"/>
    </row>
    <row r="205" spans="1:6" ht="12.75" customHeight="1" x14ac:dyDescent="0.2">
      <c r="A205" s="38"/>
      <c r="B205" s="38"/>
      <c r="C205" s="8"/>
      <c r="D205" s="8"/>
      <c r="E205" s="8"/>
      <c r="F205" s="8"/>
    </row>
    <row r="206" spans="1:6" ht="12.75" customHeight="1" x14ac:dyDescent="0.2">
      <c r="A206" s="38"/>
      <c r="B206" s="38"/>
      <c r="C206" s="8"/>
      <c r="D206" s="8"/>
      <c r="E206" s="8"/>
      <c r="F206" s="8"/>
    </row>
    <row r="207" spans="1:6" ht="12.75" customHeight="1" x14ac:dyDescent="0.2">
      <c r="A207" s="38"/>
      <c r="B207" s="38"/>
      <c r="C207" s="8"/>
      <c r="D207" s="8"/>
      <c r="E207" s="8"/>
      <c r="F207" s="8"/>
    </row>
    <row r="208" spans="1:6" ht="12.75" customHeight="1" x14ac:dyDescent="0.2">
      <c r="A208" s="38"/>
      <c r="B208" s="38"/>
      <c r="C208" s="8"/>
      <c r="D208" s="8"/>
      <c r="E208" s="8"/>
      <c r="F208" s="8"/>
    </row>
    <row r="209" spans="1:6" ht="12.75" customHeight="1" x14ac:dyDescent="0.2">
      <c r="A209" s="38"/>
      <c r="B209" s="38"/>
      <c r="C209" s="8"/>
      <c r="D209" s="8"/>
      <c r="E209" s="8"/>
      <c r="F209" s="8"/>
    </row>
    <row r="210" spans="1:6" ht="12.75" customHeight="1" x14ac:dyDescent="0.2">
      <c r="A210" s="38"/>
      <c r="B210" s="38"/>
      <c r="C210" s="8"/>
      <c r="D210" s="8"/>
      <c r="E210" s="8"/>
      <c r="F210" s="8"/>
    </row>
    <row r="211" spans="1:6" ht="12.75" customHeight="1" x14ac:dyDescent="0.2">
      <c r="A211" s="38"/>
      <c r="B211" s="38"/>
      <c r="C211" s="8"/>
      <c r="D211" s="8"/>
      <c r="E211" s="8"/>
      <c r="F211" s="8"/>
    </row>
    <row r="212" spans="1:6" ht="12.75" customHeight="1" x14ac:dyDescent="0.2">
      <c r="A212" s="38"/>
      <c r="B212" s="38"/>
      <c r="C212" s="8"/>
      <c r="D212" s="8"/>
      <c r="E212" s="8"/>
      <c r="F212" s="8"/>
    </row>
    <row r="213" spans="1:6" ht="12.75" customHeight="1" x14ac:dyDescent="0.2">
      <c r="A213" s="38"/>
      <c r="B213" s="38"/>
      <c r="C213" s="8"/>
      <c r="D213" s="8"/>
      <c r="E213" s="8"/>
      <c r="F213" s="8"/>
    </row>
    <row r="214" spans="1:6" ht="12.75" customHeight="1" x14ac:dyDescent="0.2">
      <c r="A214" s="38"/>
      <c r="B214" s="38"/>
      <c r="C214" s="8"/>
      <c r="D214" s="8"/>
      <c r="E214" s="8"/>
      <c r="F214" s="8"/>
    </row>
    <row r="215" spans="1:6" ht="12.75" customHeight="1" x14ac:dyDescent="0.2">
      <c r="A215" s="38"/>
      <c r="B215" s="38"/>
      <c r="C215" s="8"/>
      <c r="D215" s="8"/>
      <c r="E215" s="8"/>
      <c r="F215" s="8"/>
    </row>
    <row r="216" spans="1:6" ht="12.75" customHeight="1" x14ac:dyDescent="0.2">
      <c r="A216" s="38"/>
      <c r="B216" s="38"/>
      <c r="C216" s="8"/>
      <c r="D216" s="8"/>
      <c r="E216" s="8"/>
      <c r="F216" s="8"/>
    </row>
    <row r="217" spans="1:6" ht="12.75" customHeight="1" x14ac:dyDescent="0.2">
      <c r="A217" s="38"/>
      <c r="B217" s="38"/>
      <c r="C217" s="8"/>
      <c r="D217" s="8"/>
      <c r="E217" s="8"/>
      <c r="F217" s="8"/>
    </row>
    <row r="218" spans="1:6" ht="12.75" customHeight="1" x14ac:dyDescent="0.2">
      <c r="A218" s="38"/>
      <c r="B218" s="38"/>
      <c r="C218" s="8"/>
      <c r="D218" s="8"/>
      <c r="E218" s="8"/>
      <c r="F218" s="8"/>
    </row>
    <row r="219" spans="1:6" ht="12.75" customHeight="1" x14ac:dyDescent="0.2">
      <c r="A219" s="38"/>
      <c r="B219" s="38"/>
      <c r="C219" s="8"/>
      <c r="D219" s="8"/>
      <c r="E219" s="8"/>
      <c r="F219" s="8"/>
    </row>
    <row r="220" spans="1:6" ht="12.75" customHeight="1" x14ac:dyDescent="0.2">
      <c r="A220" s="38"/>
      <c r="B220" s="38"/>
      <c r="C220" s="8"/>
      <c r="D220" s="8"/>
      <c r="E220" s="8"/>
      <c r="F220" s="8"/>
    </row>
    <row r="221" spans="1:6" ht="12.75" customHeight="1" x14ac:dyDescent="0.2">
      <c r="A221" s="38"/>
      <c r="B221" s="38"/>
      <c r="C221" s="8"/>
      <c r="D221" s="8"/>
      <c r="E221" s="8"/>
      <c r="F221" s="8"/>
    </row>
    <row r="222" spans="1:6" ht="12.75" customHeight="1" x14ac:dyDescent="0.2">
      <c r="A222" s="38"/>
      <c r="B222" s="38"/>
      <c r="C222" s="8"/>
      <c r="D222" s="8"/>
      <c r="E222" s="8"/>
      <c r="F222" s="8"/>
    </row>
    <row r="223" spans="1:6" ht="12.75" customHeight="1" x14ac:dyDescent="0.2">
      <c r="A223" s="38"/>
      <c r="B223" s="38"/>
      <c r="C223" s="8"/>
      <c r="D223" s="8"/>
      <c r="E223" s="8"/>
      <c r="F223" s="8"/>
    </row>
    <row r="224" spans="1:6" ht="12.75" customHeight="1" x14ac:dyDescent="0.2">
      <c r="A224" s="38"/>
      <c r="B224" s="38"/>
      <c r="C224" s="8"/>
      <c r="D224" s="8"/>
      <c r="E224" s="8"/>
      <c r="F224" s="8"/>
    </row>
    <row r="225" spans="1:6" ht="12.75" customHeight="1" x14ac:dyDescent="0.2">
      <c r="A225" s="38"/>
      <c r="B225" s="38"/>
      <c r="C225" s="8"/>
      <c r="D225" s="8"/>
      <c r="E225" s="8"/>
      <c r="F225" s="8"/>
    </row>
    <row r="226" spans="1:6" ht="12.75" customHeight="1" x14ac:dyDescent="0.2">
      <c r="A226" s="38"/>
      <c r="B226" s="38"/>
      <c r="C226" s="8"/>
      <c r="D226" s="8"/>
      <c r="E226" s="8"/>
      <c r="F226" s="8"/>
    </row>
    <row r="227" spans="1:6" ht="12.75" customHeight="1" x14ac:dyDescent="0.2">
      <c r="A227" s="38"/>
      <c r="B227" s="38"/>
      <c r="C227" s="8"/>
      <c r="D227" s="8"/>
      <c r="E227" s="8"/>
      <c r="F227" s="8"/>
    </row>
    <row r="228" spans="1:6" ht="12.75" customHeight="1" x14ac:dyDescent="0.2">
      <c r="A228" s="38"/>
      <c r="B228" s="38"/>
      <c r="C228" s="8"/>
      <c r="D228" s="8"/>
      <c r="E228" s="8"/>
      <c r="F228" s="8"/>
    </row>
    <row r="229" spans="1:6" ht="12.75" customHeight="1" x14ac:dyDescent="0.2">
      <c r="A229" s="38"/>
      <c r="B229" s="38"/>
      <c r="C229" s="8"/>
      <c r="D229" s="8"/>
      <c r="E229" s="8"/>
      <c r="F229" s="8"/>
    </row>
    <row r="230" spans="1:6" ht="12.75" customHeight="1" x14ac:dyDescent="0.2">
      <c r="A230" s="38"/>
      <c r="B230" s="38"/>
      <c r="C230" s="8"/>
      <c r="D230" s="8"/>
      <c r="E230" s="8"/>
      <c r="F230" s="8"/>
    </row>
    <row r="231" spans="1:6" ht="12.75" customHeight="1" x14ac:dyDescent="0.2">
      <c r="A231" s="38"/>
      <c r="B231" s="38"/>
      <c r="C231" s="8"/>
      <c r="D231" s="8"/>
      <c r="E231" s="8"/>
      <c r="F231" s="8"/>
    </row>
    <row r="232" spans="1:6" ht="12.75" customHeight="1" x14ac:dyDescent="0.2">
      <c r="A232" s="38"/>
      <c r="B232" s="38"/>
      <c r="C232" s="8"/>
      <c r="D232" s="8"/>
      <c r="E232" s="8"/>
      <c r="F232" s="8"/>
    </row>
    <row r="233" spans="1:6" ht="12.75" customHeight="1" x14ac:dyDescent="0.2">
      <c r="A233" s="38"/>
      <c r="B233" s="38"/>
      <c r="C233" s="8"/>
      <c r="D233" s="8"/>
      <c r="E233" s="8"/>
      <c r="F233" s="8"/>
    </row>
    <row r="234" spans="1:6" ht="12.75" customHeight="1" x14ac:dyDescent="0.2">
      <c r="A234" s="38"/>
      <c r="B234" s="38"/>
      <c r="C234" s="8"/>
      <c r="D234" s="8"/>
      <c r="E234" s="8"/>
      <c r="F234" s="8"/>
    </row>
    <row r="235" spans="1:6" ht="12.75" customHeight="1" x14ac:dyDescent="0.2">
      <c r="A235" s="38"/>
      <c r="B235" s="38"/>
      <c r="C235" s="8"/>
      <c r="D235" s="8"/>
      <c r="E235" s="8"/>
      <c r="F235" s="8"/>
    </row>
    <row r="236" spans="1:6" ht="12.75" customHeight="1" x14ac:dyDescent="0.2">
      <c r="A236" s="38"/>
      <c r="B236" s="38"/>
      <c r="C236" s="8"/>
      <c r="D236" s="8"/>
      <c r="E236" s="8"/>
      <c r="F236" s="8"/>
    </row>
    <row r="237" spans="1:6" ht="12.75" customHeight="1" x14ac:dyDescent="0.2">
      <c r="A237" s="38"/>
      <c r="B237" s="38"/>
      <c r="C237" s="8"/>
      <c r="D237" s="8"/>
      <c r="E237" s="8"/>
      <c r="F237" s="8"/>
    </row>
    <row r="238" spans="1:6" ht="12.75" customHeight="1" x14ac:dyDescent="0.2">
      <c r="A238" s="38"/>
      <c r="B238" s="38"/>
      <c r="C238" s="8"/>
      <c r="D238" s="8"/>
      <c r="E238" s="8"/>
      <c r="F238" s="8"/>
    </row>
    <row r="239" spans="1:6" ht="12.75" customHeight="1" x14ac:dyDescent="0.2">
      <c r="A239" s="38"/>
      <c r="B239" s="38"/>
      <c r="C239" s="8"/>
      <c r="D239" s="8"/>
      <c r="E239" s="8"/>
      <c r="F239" s="8"/>
    </row>
    <row r="240" spans="1:6" ht="12.75" customHeight="1" x14ac:dyDescent="0.2">
      <c r="A240" s="38"/>
      <c r="B240" s="38"/>
      <c r="C240" s="8"/>
      <c r="D240" s="8"/>
      <c r="E240" s="8"/>
      <c r="F240" s="8"/>
    </row>
    <row r="241" spans="1:6" ht="12.75" customHeight="1" x14ac:dyDescent="0.2">
      <c r="A241" s="38"/>
      <c r="B241" s="38"/>
      <c r="C241" s="8"/>
      <c r="D241" s="8"/>
      <c r="E241" s="8"/>
      <c r="F241" s="8"/>
    </row>
    <row r="242" spans="1:6" ht="12.75" customHeight="1" x14ac:dyDescent="0.2">
      <c r="A242" s="38"/>
      <c r="B242" s="38"/>
      <c r="C242" s="8"/>
      <c r="D242" s="8"/>
      <c r="E242" s="8"/>
      <c r="F242" s="8"/>
    </row>
    <row r="243" spans="1:6" ht="12.75" customHeight="1" x14ac:dyDescent="0.2">
      <c r="A243" s="38"/>
      <c r="B243" s="38"/>
      <c r="C243" s="8"/>
      <c r="D243" s="8"/>
      <c r="E243" s="8"/>
      <c r="F243" s="8"/>
    </row>
    <row r="244" spans="1:6" ht="12.75" customHeight="1" x14ac:dyDescent="0.2">
      <c r="A244" s="38"/>
      <c r="B244" s="38"/>
      <c r="C244" s="8"/>
      <c r="D244" s="8"/>
      <c r="E244" s="8"/>
      <c r="F244" s="8"/>
    </row>
    <row r="245" spans="1:6" ht="12.75" customHeight="1" x14ac:dyDescent="0.2">
      <c r="A245" s="38"/>
      <c r="B245" s="38"/>
      <c r="C245" s="8"/>
      <c r="D245" s="8"/>
      <c r="E245" s="8"/>
      <c r="F245" s="8"/>
    </row>
    <row r="246" spans="1:6" ht="12.75" customHeight="1" x14ac:dyDescent="0.2">
      <c r="A246" s="38"/>
      <c r="B246" s="38"/>
      <c r="C246" s="8"/>
      <c r="D246" s="8"/>
      <c r="E246" s="8"/>
      <c r="F246" s="8"/>
    </row>
    <row r="247" spans="1:6" ht="12.75" customHeight="1" x14ac:dyDescent="0.2">
      <c r="A247" s="38"/>
      <c r="B247" s="38"/>
      <c r="C247" s="8"/>
      <c r="D247" s="8"/>
      <c r="E247" s="8"/>
      <c r="F247" s="8"/>
    </row>
    <row r="248" spans="1:6" ht="12.75" customHeight="1" x14ac:dyDescent="0.2">
      <c r="A248" s="38"/>
      <c r="B248" s="38"/>
      <c r="C248" s="8"/>
      <c r="D248" s="8"/>
      <c r="E248" s="8"/>
      <c r="F248" s="8"/>
    </row>
    <row r="249" spans="1:6" ht="12.75" customHeight="1" x14ac:dyDescent="0.2">
      <c r="A249" s="38"/>
      <c r="B249" s="38"/>
      <c r="C249" s="8"/>
      <c r="D249" s="8"/>
      <c r="E249" s="8"/>
      <c r="F249" s="8"/>
    </row>
    <row r="250" spans="1:6" ht="12.75" customHeight="1" x14ac:dyDescent="0.2">
      <c r="A250" s="38"/>
      <c r="B250" s="38"/>
      <c r="C250" s="8"/>
      <c r="D250" s="8"/>
      <c r="E250" s="8"/>
      <c r="F250" s="8"/>
    </row>
    <row r="251" spans="1:6" ht="12.75" customHeight="1" x14ac:dyDescent="0.2">
      <c r="A251" s="38"/>
      <c r="B251" s="38"/>
      <c r="C251" s="8"/>
      <c r="D251" s="8"/>
      <c r="E251" s="8"/>
      <c r="F251" s="8"/>
    </row>
    <row r="252" spans="1:6" ht="12.75" customHeight="1" x14ac:dyDescent="0.2">
      <c r="A252" s="38"/>
      <c r="B252" s="38"/>
      <c r="C252" s="8"/>
      <c r="D252" s="8"/>
      <c r="E252" s="8"/>
      <c r="F252" s="8"/>
    </row>
    <row r="253" spans="1:6" ht="12.75" customHeight="1" x14ac:dyDescent="0.2">
      <c r="A253" s="38"/>
      <c r="B253" s="38"/>
      <c r="C253" s="8"/>
      <c r="D253" s="8"/>
      <c r="E253" s="8"/>
      <c r="F253" s="8"/>
    </row>
    <row r="254" spans="1:6" ht="12.75" customHeight="1" x14ac:dyDescent="0.2">
      <c r="A254" s="38"/>
      <c r="B254" s="38"/>
      <c r="C254" s="8"/>
      <c r="D254" s="8"/>
      <c r="E254" s="8"/>
      <c r="F254" s="8"/>
    </row>
    <row r="255" spans="1:6" ht="12.75" customHeight="1" x14ac:dyDescent="0.2">
      <c r="A255" s="38"/>
      <c r="B255" s="38"/>
      <c r="C255" s="8"/>
      <c r="D255" s="8"/>
      <c r="E255" s="8"/>
      <c r="F255" s="8"/>
    </row>
    <row r="256" spans="1:6" ht="12.75" customHeight="1" x14ac:dyDescent="0.2">
      <c r="A256" s="38"/>
      <c r="B256" s="38"/>
      <c r="C256" s="8"/>
      <c r="D256" s="8"/>
      <c r="E256" s="8"/>
      <c r="F256" s="8"/>
    </row>
    <row r="257" spans="1:6" ht="12.75" customHeight="1" x14ac:dyDescent="0.2">
      <c r="A257" s="38"/>
      <c r="B257" s="38"/>
      <c r="C257" s="8"/>
      <c r="D257" s="8"/>
      <c r="E257" s="8"/>
      <c r="F257" s="8"/>
    </row>
    <row r="258" spans="1:6" ht="12.75" customHeight="1" x14ac:dyDescent="0.2">
      <c r="A258" s="38"/>
      <c r="B258" s="38"/>
      <c r="C258" s="8"/>
      <c r="D258" s="8"/>
      <c r="E258" s="8"/>
      <c r="F258" s="8"/>
    </row>
    <row r="259" spans="1:6" ht="12.75" customHeight="1" x14ac:dyDescent="0.2">
      <c r="A259" s="38"/>
      <c r="B259" s="38"/>
      <c r="C259" s="8"/>
      <c r="D259" s="8"/>
      <c r="E259" s="8"/>
      <c r="F259" s="8"/>
    </row>
    <row r="260" spans="1:6" ht="12.75" customHeight="1" x14ac:dyDescent="0.2">
      <c r="A260" s="38"/>
      <c r="B260" s="38"/>
      <c r="C260" s="8"/>
      <c r="D260" s="8"/>
      <c r="E260" s="8"/>
      <c r="F260" s="8"/>
    </row>
    <row r="261" spans="1:6" ht="12.75" customHeight="1" x14ac:dyDescent="0.2">
      <c r="A261" s="38"/>
      <c r="B261" s="38"/>
      <c r="C261" s="8"/>
      <c r="D261" s="8"/>
      <c r="E261" s="8"/>
      <c r="F261" s="8"/>
    </row>
    <row r="262" spans="1:6" ht="12.75" customHeight="1" x14ac:dyDescent="0.2">
      <c r="A262" s="38"/>
      <c r="B262" s="38"/>
      <c r="C262" s="8"/>
      <c r="D262" s="8"/>
      <c r="E262" s="8"/>
      <c r="F262" s="8"/>
    </row>
    <row r="263" spans="1:6" ht="12.75" customHeight="1" x14ac:dyDescent="0.2">
      <c r="A263" s="38"/>
      <c r="B263" s="38"/>
      <c r="C263" s="8"/>
      <c r="D263" s="8"/>
      <c r="E263" s="8"/>
      <c r="F263" s="8"/>
    </row>
    <row r="264" spans="1:6" ht="12.75" customHeight="1" x14ac:dyDescent="0.2">
      <c r="A264" s="38"/>
      <c r="B264" s="38"/>
      <c r="C264" s="8"/>
      <c r="D264" s="8"/>
      <c r="E264" s="8"/>
      <c r="F264" s="8"/>
    </row>
    <row r="265" spans="1:6" ht="12.75" customHeight="1" x14ac:dyDescent="0.2">
      <c r="A265" s="38"/>
      <c r="B265" s="38"/>
      <c r="C265" s="8"/>
      <c r="D265" s="8"/>
      <c r="E265" s="8"/>
      <c r="F265" s="8"/>
    </row>
    <row r="266" spans="1:6" ht="12.75" customHeight="1" x14ac:dyDescent="0.2">
      <c r="A266" s="38"/>
      <c r="B266" s="38"/>
      <c r="C266" s="8"/>
      <c r="D266" s="8"/>
      <c r="E266" s="8"/>
      <c r="F266" s="8"/>
    </row>
    <row r="267" spans="1:6" ht="12.75" customHeight="1" x14ac:dyDescent="0.2">
      <c r="A267" s="38"/>
      <c r="B267" s="38"/>
      <c r="C267" s="8"/>
      <c r="D267" s="8"/>
      <c r="E267" s="8"/>
      <c r="F267" s="8"/>
    </row>
    <row r="268" spans="1:6" ht="12.75" customHeight="1" x14ac:dyDescent="0.2">
      <c r="A268" s="38"/>
      <c r="B268" s="38"/>
      <c r="C268" s="8"/>
      <c r="D268" s="8"/>
      <c r="E268" s="8"/>
      <c r="F268" s="8"/>
    </row>
    <row r="269" spans="1:6" ht="12.75" customHeight="1" x14ac:dyDescent="0.2">
      <c r="A269" s="38"/>
      <c r="B269" s="38"/>
      <c r="C269" s="8"/>
      <c r="D269" s="8"/>
      <c r="E269" s="8"/>
      <c r="F269" s="8"/>
    </row>
    <row r="270" spans="1:6" ht="12.75" customHeight="1" x14ac:dyDescent="0.2">
      <c r="A270" s="38"/>
      <c r="B270" s="38"/>
      <c r="C270" s="8"/>
      <c r="D270" s="8"/>
      <c r="E270" s="8"/>
      <c r="F270" s="8"/>
    </row>
    <row r="271" spans="1:6" ht="12.75" customHeight="1" x14ac:dyDescent="0.2">
      <c r="A271" s="38"/>
      <c r="B271" s="38"/>
      <c r="C271" s="8"/>
      <c r="D271" s="8"/>
      <c r="E271" s="8"/>
      <c r="F271" s="8"/>
    </row>
    <row r="272" spans="1:6" ht="12.75" customHeight="1" x14ac:dyDescent="0.2">
      <c r="A272" s="38"/>
      <c r="B272" s="38"/>
      <c r="C272" s="8"/>
      <c r="D272" s="8"/>
      <c r="E272" s="8"/>
      <c r="F272" s="8"/>
    </row>
    <row r="273" spans="1:6" ht="12.75" customHeight="1" x14ac:dyDescent="0.2">
      <c r="A273" s="38"/>
      <c r="B273" s="38"/>
      <c r="C273" s="8"/>
      <c r="D273" s="8"/>
      <c r="E273" s="8"/>
      <c r="F273" s="8"/>
    </row>
    <row r="274" spans="1:6" ht="12.75" customHeight="1" x14ac:dyDescent="0.2">
      <c r="A274" s="38"/>
      <c r="B274" s="38"/>
      <c r="C274" s="8"/>
      <c r="D274" s="8"/>
      <c r="E274" s="8"/>
      <c r="F274" s="8"/>
    </row>
    <row r="275" spans="1:6" ht="12.75" customHeight="1" x14ac:dyDescent="0.2">
      <c r="A275" s="38"/>
      <c r="B275" s="38"/>
      <c r="C275" s="8"/>
      <c r="D275" s="8"/>
      <c r="E275" s="8"/>
      <c r="F275" s="8"/>
    </row>
    <row r="276" spans="1:6" ht="12.75" customHeight="1" x14ac:dyDescent="0.2">
      <c r="A276" s="38"/>
      <c r="B276" s="38"/>
      <c r="C276" s="8"/>
      <c r="D276" s="8"/>
      <c r="E276" s="8"/>
      <c r="F276" s="8"/>
    </row>
    <row r="277" spans="1:6" ht="12.75" customHeight="1" x14ac:dyDescent="0.2">
      <c r="A277" s="38"/>
      <c r="B277" s="38"/>
      <c r="C277" s="8"/>
      <c r="D277" s="8"/>
      <c r="E277" s="8"/>
      <c r="F277" s="8"/>
    </row>
    <row r="278" spans="1:6" ht="12.75" customHeight="1" x14ac:dyDescent="0.2">
      <c r="A278" s="38"/>
      <c r="B278" s="38"/>
      <c r="C278" s="8"/>
      <c r="D278" s="8"/>
      <c r="E278" s="8"/>
      <c r="F278" s="8"/>
    </row>
    <row r="279" spans="1:6" ht="12.75" customHeight="1" x14ac:dyDescent="0.2">
      <c r="A279" s="38"/>
      <c r="B279" s="38"/>
      <c r="C279" s="8"/>
      <c r="D279" s="8"/>
      <c r="E279" s="8"/>
      <c r="F279" s="8"/>
    </row>
    <row r="280" spans="1:6" ht="12.75" customHeight="1" x14ac:dyDescent="0.2">
      <c r="A280" s="38"/>
      <c r="B280" s="38"/>
      <c r="C280" s="8"/>
      <c r="D280" s="8"/>
      <c r="E280" s="8"/>
      <c r="F280" s="8"/>
    </row>
    <row r="281" spans="1:6" ht="12.75" customHeight="1" x14ac:dyDescent="0.2">
      <c r="A281" s="38"/>
      <c r="B281" s="38"/>
      <c r="C281" s="8"/>
      <c r="D281" s="8"/>
      <c r="E281" s="8"/>
      <c r="F281" s="8"/>
    </row>
    <row r="282" spans="1:6" ht="12.75" customHeight="1" x14ac:dyDescent="0.2">
      <c r="A282" s="38"/>
      <c r="B282" s="38"/>
      <c r="C282" s="8"/>
      <c r="D282" s="8"/>
      <c r="E282" s="8"/>
      <c r="F282" s="8"/>
    </row>
    <row r="283" spans="1:6" ht="12.75" customHeight="1" x14ac:dyDescent="0.2">
      <c r="A283" s="38"/>
      <c r="B283" s="38"/>
      <c r="C283" s="8"/>
      <c r="D283" s="8"/>
      <c r="E283" s="8"/>
      <c r="F283" s="8"/>
    </row>
    <row r="284" spans="1:6" ht="12.75" customHeight="1" x14ac:dyDescent="0.2">
      <c r="A284" s="38"/>
      <c r="B284" s="38"/>
      <c r="C284" s="8"/>
      <c r="D284" s="8"/>
      <c r="E284" s="8"/>
      <c r="F284" s="8"/>
    </row>
    <row r="285" spans="1:6" ht="12.75" customHeight="1" x14ac:dyDescent="0.2">
      <c r="A285" s="38"/>
      <c r="B285" s="38"/>
      <c r="C285" s="8"/>
      <c r="D285" s="8"/>
      <c r="E285" s="8"/>
      <c r="F285" s="8"/>
    </row>
    <row r="286" spans="1:6" ht="12.75" customHeight="1" x14ac:dyDescent="0.2">
      <c r="A286" s="38"/>
      <c r="B286" s="38"/>
      <c r="C286" s="8"/>
      <c r="D286" s="8"/>
      <c r="E286" s="8"/>
      <c r="F286" s="8"/>
    </row>
    <row r="287" spans="1:6" ht="12.75" customHeight="1" x14ac:dyDescent="0.2">
      <c r="A287" s="38"/>
      <c r="B287" s="38"/>
      <c r="C287" s="8"/>
      <c r="D287" s="8"/>
      <c r="E287" s="8"/>
      <c r="F287" s="8"/>
    </row>
    <row r="288" spans="1:6" ht="12.75" customHeight="1" x14ac:dyDescent="0.2">
      <c r="A288" s="38"/>
      <c r="B288" s="38"/>
      <c r="C288" s="8"/>
      <c r="D288" s="8"/>
      <c r="E288" s="8"/>
      <c r="F288" s="8"/>
    </row>
    <row r="289" spans="1:6" ht="12.75" customHeight="1" x14ac:dyDescent="0.2">
      <c r="A289" s="38"/>
      <c r="B289" s="38"/>
      <c r="C289" s="8"/>
      <c r="D289" s="8"/>
      <c r="E289" s="8"/>
      <c r="F289" s="8"/>
    </row>
    <row r="290" spans="1:6" ht="12.75" customHeight="1" x14ac:dyDescent="0.2">
      <c r="A290" s="38"/>
      <c r="B290" s="38"/>
      <c r="C290" s="8"/>
      <c r="D290" s="8"/>
      <c r="E290" s="8"/>
      <c r="F290" s="8"/>
    </row>
    <row r="291" spans="1:6" ht="12.75" customHeight="1" x14ac:dyDescent="0.2">
      <c r="A291" s="38"/>
      <c r="B291" s="38"/>
      <c r="C291" s="8"/>
      <c r="D291" s="8"/>
      <c r="E291" s="8"/>
      <c r="F291" s="8"/>
    </row>
    <row r="292" spans="1:6" ht="12.75" customHeight="1" x14ac:dyDescent="0.2">
      <c r="A292" s="38"/>
      <c r="B292" s="38"/>
      <c r="C292" s="8"/>
      <c r="D292" s="8"/>
      <c r="E292" s="8"/>
      <c r="F292" s="8"/>
    </row>
    <row r="293" spans="1:6" ht="12.75" customHeight="1" x14ac:dyDescent="0.2">
      <c r="A293" s="38"/>
      <c r="B293" s="38"/>
      <c r="C293" s="8"/>
      <c r="D293" s="8"/>
      <c r="E293" s="8"/>
      <c r="F293" s="8"/>
    </row>
    <row r="294" spans="1:6" ht="12.75" customHeight="1" x14ac:dyDescent="0.2">
      <c r="A294" s="38"/>
      <c r="B294" s="38"/>
      <c r="C294" s="8"/>
      <c r="D294" s="8"/>
      <c r="E294" s="8"/>
      <c r="F294" s="8"/>
    </row>
    <row r="295" spans="1:6" ht="12.75" customHeight="1" x14ac:dyDescent="0.2">
      <c r="A295" s="38"/>
      <c r="B295" s="38"/>
      <c r="C295" s="8"/>
      <c r="D295" s="8"/>
      <c r="E295" s="8"/>
      <c r="F295" s="8"/>
    </row>
    <row r="296" spans="1:6" ht="12.75" customHeight="1" x14ac:dyDescent="0.2">
      <c r="A296" s="38"/>
      <c r="B296" s="38"/>
      <c r="C296" s="8"/>
      <c r="D296" s="8"/>
      <c r="E296" s="8"/>
      <c r="F296" s="8"/>
    </row>
    <row r="297" spans="1:6" ht="12.75" customHeight="1" x14ac:dyDescent="0.2">
      <c r="A297" s="38"/>
      <c r="B297" s="38"/>
      <c r="C297" s="8"/>
      <c r="D297" s="8"/>
      <c r="E297" s="8"/>
      <c r="F297" s="8"/>
    </row>
    <row r="298" spans="1:6" ht="12.75" customHeight="1" x14ac:dyDescent="0.2">
      <c r="A298" s="38"/>
      <c r="B298" s="38"/>
      <c r="C298" s="8"/>
      <c r="D298" s="8"/>
      <c r="E298" s="8"/>
      <c r="F298" s="8"/>
    </row>
    <row r="299" spans="1:6" ht="12.75" customHeight="1" x14ac:dyDescent="0.2">
      <c r="A299" s="38"/>
      <c r="B299" s="38"/>
      <c r="C299" s="8"/>
      <c r="D299" s="8"/>
      <c r="E299" s="8"/>
      <c r="F299" s="8"/>
    </row>
    <row r="300" spans="1:6" ht="12.75" customHeight="1" x14ac:dyDescent="0.2">
      <c r="A300" s="38"/>
      <c r="B300" s="38"/>
      <c r="C300" s="8"/>
      <c r="D300" s="8"/>
      <c r="E300" s="8"/>
      <c r="F300" s="8"/>
    </row>
    <row r="301" spans="1:6" ht="12.75" customHeight="1" x14ac:dyDescent="0.2">
      <c r="A301" s="38"/>
      <c r="B301" s="38"/>
      <c r="C301" s="8"/>
      <c r="D301" s="8"/>
      <c r="E301" s="8"/>
      <c r="F301" s="8"/>
    </row>
    <row r="302" spans="1:6" ht="12.75" customHeight="1" x14ac:dyDescent="0.2">
      <c r="A302" s="38"/>
      <c r="B302" s="38"/>
      <c r="C302" s="8"/>
      <c r="D302" s="8"/>
      <c r="E302" s="8"/>
      <c r="F302" s="8"/>
    </row>
    <row r="303" spans="1:6" ht="12.75" customHeight="1" x14ac:dyDescent="0.2">
      <c r="A303" s="38"/>
      <c r="B303" s="38"/>
      <c r="C303" s="8"/>
      <c r="D303" s="8"/>
      <c r="E303" s="8"/>
      <c r="F303" s="8"/>
    </row>
    <row r="304" spans="1:6" ht="12.75" customHeight="1" x14ac:dyDescent="0.2">
      <c r="A304" s="38"/>
      <c r="B304" s="38"/>
      <c r="C304" s="8"/>
      <c r="D304" s="8"/>
      <c r="E304" s="8"/>
      <c r="F304" s="8"/>
    </row>
    <row r="305" spans="1:6" ht="12.75" customHeight="1" x14ac:dyDescent="0.2">
      <c r="A305" s="38"/>
      <c r="B305" s="38"/>
      <c r="C305" s="8"/>
      <c r="D305" s="8"/>
      <c r="E305" s="8"/>
      <c r="F305" s="8"/>
    </row>
    <row r="306" spans="1:6" ht="12.75" customHeight="1" x14ac:dyDescent="0.2">
      <c r="A306" s="38"/>
      <c r="B306" s="38"/>
      <c r="C306" s="8"/>
      <c r="D306" s="8"/>
      <c r="E306" s="8"/>
      <c r="F306" s="8"/>
    </row>
    <row r="307" spans="1:6" ht="12.75" customHeight="1" x14ac:dyDescent="0.2">
      <c r="A307" s="38"/>
      <c r="B307" s="38"/>
      <c r="C307" s="8"/>
      <c r="D307" s="8"/>
      <c r="E307" s="8"/>
      <c r="F307" s="8"/>
    </row>
    <row r="308" spans="1:6" ht="12.75" customHeight="1" x14ac:dyDescent="0.2">
      <c r="A308" s="38"/>
      <c r="B308" s="38"/>
      <c r="C308" s="8"/>
      <c r="D308" s="8"/>
      <c r="E308" s="8"/>
      <c r="F308" s="8"/>
    </row>
    <row r="309" spans="1:6" ht="12.75" customHeight="1" x14ac:dyDescent="0.2">
      <c r="A309" s="38"/>
      <c r="B309" s="38"/>
      <c r="C309" s="8"/>
      <c r="D309" s="8"/>
      <c r="E309" s="8"/>
      <c r="F309" s="8"/>
    </row>
    <row r="310" spans="1:6" ht="12.75" customHeight="1" x14ac:dyDescent="0.2">
      <c r="A310" s="38"/>
      <c r="B310" s="38"/>
      <c r="C310" s="8"/>
      <c r="D310" s="8"/>
      <c r="E310" s="8"/>
      <c r="F310" s="8"/>
    </row>
    <row r="311" spans="1:6" ht="12.75" customHeight="1" x14ac:dyDescent="0.2">
      <c r="A311" s="38"/>
      <c r="B311" s="38"/>
      <c r="C311" s="8"/>
      <c r="D311" s="8"/>
      <c r="E311" s="8"/>
      <c r="F311" s="8"/>
    </row>
    <row r="312" spans="1:6" ht="12.75" customHeight="1" x14ac:dyDescent="0.2">
      <c r="A312" s="38"/>
      <c r="B312" s="38"/>
      <c r="C312" s="8"/>
      <c r="D312" s="8"/>
      <c r="E312" s="8"/>
      <c r="F312" s="8"/>
    </row>
    <row r="313" spans="1:6" ht="12.75" customHeight="1" x14ac:dyDescent="0.2">
      <c r="A313" s="38"/>
      <c r="B313" s="38"/>
      <c r="C313" s="8"/>
      <c r="D313" s="8"/>
      <c r="E313" s="8"/>
      <c r="F313" s="8"/>
    </row>
    <row r="314" spans="1:6" ht="12.75" customHeight="1" x14ac:dyDescent="0.2">
      <c r="A314" s="38"/>
      <c r="B314" s="38"/>
      <c r="C314" s="8"/>
      <c r="D314" s="8"/>
      <c r="E314" s="8"/>
      <c r="F314" s="8"/>
    </row>
    <row r="315" spans="1:6" ht="12.75" customHeight="1" x14ac:dyDescent="0.2">
      <c r="A315" s="38"/>
      <c r="B315" s="38"/>
      <c r="C315" s="8"/>
      <c r="D315" s="8"/>
      <c r="E315" s="8"/>
      <c r="F315" s="8"/>
    </row>
    <row r="316" spans="1:6" ht="12.75" customHeight="1" x14ac:dyDescent="0.2">
      <c r="A316" s="38"/>
      <c r="B316" s="38"/>
      <c r="C316" s="8"/>
      <c r="D316" s="8"/>
      <c r="E316" s="8"/>
      <c r="F316" s="8"/>
    </row>
    <row r="317" spans="1:6" ht="12.75" customHeight="1" x14ac:dyDescent="0.2">
      <c r="A317" s="38"/>
      <c r="B317" s="38"/>
      <c r="C317" s="8"/>
      <c r="D317" s="8"/>
      <c r="E317" s="8"/>
      <c r="F317" s="8"/>
    </row>
    <row r="318" spans="1:6" ht="12.75" customHeight="1" x14ac:dyDescent="0.2">
      <c r="A318" s="38"/>
      <c r="B318" s="38"/>
      <c r="C318" s="8"/>
      <c r="D318" s="8"/>
      <c r="E318" s="8"/>
      <c r="F318" s="8"/>
    </row>
    <row r="319" spans="1:6" ht="12.75" customHeight="1" x14ac:dyDescent="0.2">
      <c r="A319" s="38"/>
      <c r="B319" s="38"/>
      <c r="C319" s="8"/>
      <c r="D319" s="8"/>
      <c r="E319" s="8"/>
      <c r="F319" s="8"/>
    </row>
    <row r="320" spans="1:6" ht="12.75" customHeight="1" x14ac:dyDescent="0.2">
      <c r="A320" s="38"/>
      <c r="B320" s="38"/>
      <c r="C320" s="8"/>
      <c r="D320" s="8"/>
      <c r="E320" s="8"/>
      <c r="F320" s="8"/>
    </row>
    <row r="321" spans="1:6" ht="12.75" customHeight="1" x14ac:dyDescent="0.2">
      <c r="A321" s="38"/>
      <c r="B321" s="38"/>
      <c r="C321" s="8"/>
      <c r="D321" s="8"/>
      <c r="E321" s="8"/>
      <c r="F321" s="8"/>
    </row>
    <row r="322" spans="1:6" ht="12.75" customHeight="1" x14ac:dyDescent="0.2">
      <c r="A322" s="38"/>
      <c r="B322" s="38"/>
      <c r="C322" s="8"/>
      <c r="D322" s="8"/>
      <c r="E322" s="8"/>
      <c r="F322" s="8"/>
    </row>
    <row r="323" spans="1:6" ht="12.75" customHeight="1" x14ac:dyDescent="0.2">
      <c r="A323" s="38"/>
      <c r="B323" s="38"/>
      <c r="C323" s="8"/>
      <c r="D323" s="8"/>
      <c r="E323" s="8"/>
      <c r="F323" s="8"/>
    </row>
    <row r="324" spans="1:6" ht="12.75" customHeight="1" x14ac:dyDescent="0.2">
      <c r="A324" s="38"/>
      <c r="B324" s="38"/>
      <c r="C324" s="8"/>
      <c r="D324" s="8"/>
      <c r="E324" s="8"/>
      <c r="F324" s="8"/>
    </row>
    <row r="325" spans="1:6" ht="12.75" customHeight="1" x14ac:dyDescent="0.2">
      <c r="A325" s="38"/>
      <c r="B325" s="38"/>
      <c r="C325" s="8"/>
      <c r="D325" s="8"/>
      <c r="E325" s="8"/>
      <c r="F325" s="8"/>
    </row>
    <row r="326" spans="1:6" ht="12.75" customHeight="1" x14ac:dyDescent="0.2">
      <c r="A326" s="38"/>
      <c r="B326" s="38"/>
      <c r="C326" s="8"/>
      <c r="D326" s="8"/>
      <c r="E326" s="8"/>
      <c r="F326" s="8"/>
    </row>
    <row r="327" spans="1:6" ht="12.75" customHeight="1" x14ac:dyDescent="0.2">
      <c r="A327" s="38"/>
      <c r="B327" s="38"/>
      <c r="C327" s="8"/>
      <c r="D327" s="8"/>
      <c r="E327" s="8"/>
      <c r="F327" s="8"/>
    </row>
    <row r="328" spans="1:6" ht="12.75" customHeight="1" x14ac:dyDescent="0.2">
      <c r="A328" s="38"/>
      <c r="B328" s="38"/>
      <c r="C328" s="8"/>
      <c r="D328" s="8"/>
      <c r="E328" s="8"/>
      <c r="F328" s="8"/>
    </row>
    <row r="329" spans="1:6" ht="12.75" customHeight="1" x14ac:dyDescent="0.2">
      <c r="A329" s="38"/>
      <c r="B329" s="38"/>
      <c r="C329" s="8"/>
      <c r="D329" s="8"/>
      <c r="E329" s="8"/>
      <c r="F329" s="8"/>
    </row>
    <row r="330" spans="1:6" ht="12.75" customHeight="1" x14ac:dyDescent="0.2">
      <c r="A330" s="38"/>
      <c r="B330" s="38"/>
      <c r="C330" s="8"/>
      <c r="D330" s="8"/>
      <c r="E330" s="8"/>
      <c r="F330" s="8"/>
    </row>
    <row r="331" spans="1:6" ht="12.75" customHeight="1" x14ac:dyDescent="0.2">
      <c r="A331" s="38"/>
      <c r="B331" s="38"/>
      <c r="C331" s="8"/>
      <c r="D331" s="8"/>
      <c r="E331" s="8"/>
      <c r="F331" s="8"/>
    </row>
    <row r="332" spans="1:6" ht="12.75" customHeight="1" x14ac:dyDescent="0.2">
      <c r="A332" s="38"/>
      <c r="B332" s="38"/>
      <c r="C332" s="8"/>
      <c r="D332" s="8"/>
      <c r="E332" s="8"/>
      <c r="F332" s="8"/>
    </row>
    <row r="333" spans="1:6" ht="12.75" customHeight="1" x14ac:dyDescent="0.2">
      <c r="A333" s="38"/>
      <c r="B333" s="38"/>
      <c r="C333" s="8"/>
      <c r="D333" s="8"/>
      <c r="E333" s="8"/>
      <c r="F333" s="8"/>
    </row>
    <row r="334" spans="1:6" ht="12.75" customHeight="1" x14ac:dyDescent="0.2">
      <c r="A334" s="38"/>
      <c r="B334" s="38"/>
      <c r="C334" s="8"/>
      <c r="D334" s="8"/>
      <c r="E334" s="8"/>
      <c r="F334" s="8"/>
    </row>
    <row r="335" spans="1:6" ht="12.75" customHeight="1" x14ac:dyDescent="0.2">
      <c r="A335" s="38"/>
      <c r="B335" s="38"/>
      <c r="C335" s="8"/>
      <c r="D335" s="8"/>
      <c r="E335" s="8"/>
      <c r="F335" s="8"/>
    </row>
    <row r="336" spans="1:6" ht="12.75" customHeight="1" x14ac:dyDescent="0.2">
      <c r="A336" s="38"/>
      <c r="B336" s="38"/>
      <c r="C336" s="8"/>
      <c r="D336" s="8"/>
      <c r="E336" s="8"/>
      <c r="F336" s="8"/>
    </row>
    <row r="337" spans="1:6" ht="12.75" customHeight="1" x14ac:dyDescent="0.2">
      <c r="A337" s="38"/>
      <c r="B337" s="38"/>
      <c r="C337" s="8"/>
      <c r="D337" s="8"/>
      <c r="E337" s="8"/>
      <c r="F337" s="8"/>
    </row>
    <row r="338" spans="1:6" ht="12.75" customHeight="1" x14ac:dyDescent="0.2">
      <c r="A338" s="38"/>
      <c r="B338" s="38"/>
      <c r="C338" s="8"/>
      <c r="D338" s="8"/>
      <c r="E338" s="8"/>
      <c r="F338" s="8"/>
    </row>
    <row r="339" spans="1:6" ht="12.75" customHeight="1" x14ac:dyDescent="0.2">
      <c r="A339" s="38"/>
      <c r="B339" s="38"/>
      <c r="C339" s="8"/>
      <c r="D339" s="8"/>
      <c r="E339" s="8"/>
      <c r="F339" s="8"/>
    </row>
    <row r="340" spans="1:6" ht="12.75" customHeight="1" x14ac:dyDescent="0.2">
      <c r="A340" s="38"/>
      <c r="B340" s="38"/>
      <c r="C340" s="8"/>
      <c r="D340" s="8"/>
      <c r="E340" s="8"/>
      <c r="F340" s="8"/>
    </row>
    <row r="341" spans="1:6" ht="12.75" customHeight="1" x14ac:dyDescent="0.2">
      <c r="A341" s="38"/>
      <c r="B341" s="38"/>
      <c r="C341" s="8"/>
      <c r="D341" s="8"/>
      <c r="E341" s="8"/>
      <c r="F341" s="8"/>
    </row>
    <row r="342" spans="1:6" ht="12.75" customHeight="1" x14ac:dyDescent="0.2">
      <c r="A342" s="38"/>
      <c r="B342" s="38"/>
      <c r="C342" s="8"/>
      <c r="D342" s="8"/>
      <c r="E342" s="8"/>
      <c r="F342" s="8"/>
    </row>
    <row r="343" spans="1:6" ht="12.75" customHeight="1" x14ac:dyDescent="0.2">
      <c r="A343" s="38"/>
      <c r="B343" s="38"/>
      <c r="C343" s="8"/>
      <c r="D343" s="8"/>
      <c r="E343" s="8"/>
      <c r="F343" s="8"/>
    </row>
    <row r="344" spans="1:6" ht="12.75" customHeight="1" x14ac:dyDescent="0.2">
      <c r="A344" s="38"/>
      <c r="B344" s="38"/>
      <c r="C344" s="8"/>
      <c r="D344" s="8"/>
      <c r="E344" s="8"/>
      <c r="F344" s="8"/>
    </row>
    <row r="345" spans="1:6" ht="12.75" customHeight="1" x14ac:dyDescent="0.2">
      <c r="A345" s="38"/>
      <c r="B345" s="38"/>
      <c r="C345" s="8"/>
      <c r="D345" s="8"/>
      <c r="E345" s="8"/>
      <c r="F345" s="8"/>
    </row>
    <row r="346" spans="1:6" ht="12.75" customHeight="1" x14ac:dyDescent="0.2">
      <c r="A346" s="38"/>
      <c r="B346" s="38"/>
      <c r="C346" s="8"/>
      <c r="D346" s="8"/>
      <c r="E346" s="8"/>
      <c r="F346" s="8"/>
    </row>
    <row r="347" spans="1:6" ht="12.75" customHeight="1" x14ac:dyDescent="0.2">
      <c r="A347" s="38"/>
      <c r="B347" s="38"/>
      <c r="C347" s="8"/>
      <c r="D347" s="8"/>
      <c r="E347" s="8"/>
      <c r="F347" s="8"/>
    </row>
    <row r="348" spans="1:6" ht="12.75" customHeight="1" x14ac:dyDescent="0.2">
      <c r="A348" s="38"/>
      <c r="B348" s="38"/>
      <c r="C348" s="8"/>
      <c r="D348" s="8"/>
      <c r="E348" s="8"/>
      <c r="F348" s="8"/>
    </row>
    <row r="349" spans="1:6" ht="12.75" customHeight="1" x14ac:dyDescent="0.2">
      <c r="A349" s="38"/>
      <c r="B349" s="38"/>
      <c r="C349" s="8"/>
      <c r="D349" s="8"/>
      <c r="E349" s="8"/>
      <c r="F349" s="8"/>
    </row>
    <row r="350" spans="1:6" ht="12.75" customHeight="1" x14ac:dyDescent="0.2">
      <c r="A350" s="38"/>
      <c r="B350" s="38"/>
      <c r="C350" s="8"/>
      <c r="D350" s="8"/>
      <c r="E350" s="8"/>
      <c r="F350" s="8"/>
    </row>
    <row r="351" spans="1:6" ht="12.75" customHeight="1" x14ac:dyDescent="0.2">
      <c r="A351" s="38"/>
      <c r="B351" s="38"/>
      <c r="C351" s="8"/>
      <c r="D351" s="8"/>
      <c r="E351" s="8"/>
      <c r="F351" s="8"/>
    </row>
    <row r="352" spans="1:6" ht="12.75" customHeight="1" x14ac:dyDescent="0.2">
      <c r="A352" s="38"/>
      <c r="B352" s="38"/>
      <c r="C352" s="8"/>
      <c r="D352" s="8"/>
      <c r="E352" s="8"/>
      <c r="F352" s="8"/>
    </row>
    <row r="353" spans="1:6" ht="12.75" customHeight="1" x14ac:dyDescent="0.2">
      <c r="A353" s="38"/>
      <c r="B353" s="38"/>
      <c r="C353" s="8"/>
      <c r="D353" s="8"/>
      <c r="E353" s="8"/>
      <c r="F353" s="8"/>
    </row>
    <row r="354" spans="1:6" ht="12.75" customHeight="1" x14ac:dyDescent="0.2">
      <c r="A354" s="38"/>
      <c r="B354" s="38"/>
      <c r="C354" s="8"/>
      <c r="D354" s="8"/>
      <c r="E354" s="8"/>
      <c r="F354" s="8"/>
    </row>
    <row r="355" spans="1:6" ht="12.75" customHeight="1" x14ac:dyDescent="0.2">
      <c r="A355" s="38"/>
      <c r="B355" s="38"/>
      <c r="C355" s="8"/>
      <c r="D355" s="8"/>
      <c r="E355" s="8"/>
      <c r="F355" s="8"/>
    </row>
    <row r="356" spans="1:6" ht="12.75" customHeight="1" x14ac:dyDescent="0.2">
      <c r="A356" s="38"/>
      <c r="B356" s="38"/>
      <c r="C356" s="8"/>
      <c r="D356" s="8"/>
      <c r="E356" s="8"/>
      <c r="F356" s="8"/>
    </row>
    <row r="357" spans="1:6" ht="12.75" customHeight="1" x14ac:dyDescent="0.2">
      <c r="A357" s="38"/>
      <c r="B357" s="38"/>
      <c r="C357" s="8"/>
      <c r="D357" s="8"/>
      <c r="E357" s="8"/>
      <c r="F357" s="8"/>
    </row>
    <row r="358" spans="1:6" ht="12.75" customHeight="1" x14ac:dyDescent="0.2">
      <c r="A358" s="38"/>
      <c r="B358" s="38"/>
      <c r="C358" s="8"/>
      <c r="D358" s="8"/>
      <c r="E358" s="8"/>
      <c r="F358" s="8"/>
    </row>
    <row r="359" spans="1:6" ht="12.75" customHeight="1" x14ac:dyDescent="0.2">
      <c r="A359" s="38"/>
      <c r="B359" s="38"/>
      <c r="C359" s="8"/>
      <c r="D359" s="8"/>
      <c r="E359" s="8"/>
      <c r="F359" s="8"/>
    </row>
    <row r="360" spans="1:6" ht="12.75" customHeight="1" x14ac:dyDescent="0.2">
      <c r="A360" s="38"/>
      <c r="B360" s="38"/>
      <c r="C360" s="8"/>
      <c r="D360" s="8"/>
      <c r="E360" s="8"/>
      <c r="F360" s="8"/>
    </row>
    <row r="361" spans="1:6" ht="12.75" customHeight="1" x14ac:dyDescent="0.2">
      <c r="A361" s="38"/>
      <c r="B361" s="38"/>
      <c r="C361" s="8"/>
      <c r="D361" s="8"/>
      <c r="E361" s="8"/>
      <c r="F361" s="8"/>
    </row>
    <row r="362" spans="1:6" ht="12.75" customHeight="1" x14ac:dyDescent="0.2">
      <c r="A362" s="38"/>
      <c r="B362" s="38"/>
      <c r="C362" s="8"/>
      <c r="D362" s="8"/>
      <c r="E362" s="8"/>
      <c r="F362" s="8"/>
    </row>
    <row r="363" spans="1:6" ht="12.75" customHeight="1" x14ac:dyDescent="0.2">
      <c r="A363" s="38"/>
      <c r="B363" s="38"/>
      <c r="C363" s="8"/>
      <c r="D363" s="8"/>
      <c r="E363" s="8"/>
      <c r="F363" s="8"/>
    </row>
    <row r="364" spans="1:6" ht="12.75" customHeight="1" x14ac:dyDescent="0.2">
      <c r="A364" s="38"/>
      <c r="B364" s="38"/>
      <c r="C364" s="8"/>
      <c r="D364" s="8"/>
      <c r="E364" s="8"/>
      <c r="F364" s="8"/>
    </row>
    <row r="365" spans="1:6" ht="12.75" customHeight="1" x14ac:dyDescent="0.2">
      <c r="A365" s="38"/>
      <c r="B365" s="38"/>
      <c r="C365" s="8"/>
      <c r="D365" s="8"/>
      <c r="E365" s="8"/>
      <c r="F365" s="8"/>
    </row>
    <row r="366" spans="1:6" ht="12.75" customHeight="1" x14ac:dyDescent="0.2">
      <c r="A366" s="38"/>
      <c r="B366" s="38"/>
      <c r="C366" s="8"/>
      <c r="D366" s="8"/>
      <c r="E366" s="8"/>
      <c r="F366" s="8"/>
    </row>
    <row r="367" spans="1:6" ht="12.75" customHeight="1" x14ac:dyDescent="0.2">
      <c r="A367" s="38"/>
      <c r="B367" s="38"/>
      <c r="C367" s="8"/>
      <c r="D367" s="8"/>
      <c r="E367" s="8"/>
      <c r="F367" s="8"/>
    </row>
    <row r="368" spans="1:6" ht="12.75" customHeight="1" x14ac:dyDescent="0.2">
      <c r="A368" s="38"/>
      <c r="B368" s="38"/>
      <c r="C368" s="8"/>
      <c r="D368" s="8"/>
      <c r="E368" s="8"/>
      <c r="F368" s="8"/>
    </row>
    <row r="369" spans="1:6" ht="12.75" customHeight="1" x14ac:dyDescent="0.2">
      <c r="A369" s="38"/>
      <c r="B369" s="38"/>
      <c r="C369" s="8"/>
      <c r="D369" s="8"/>
      <c r="E369" s="8"/>
      <c r="F369" s="8"/>
    </row>
    <row r="370" spans="1:6" ht="12.75" customHeight="1" x14ac:dyDescent="0.2">
      <c r="A370" s="38"/>
      <c r="B370" s="38"/>
      <c r="C370" s="8"/>
      <c r="D370" s="8"/>
      <c r="E370" s="8"/>
      <c r="F370" s="8"/>
    </row>
    <row r="371" spans="1:6" ht="12.75" customHeight="1" x14ac:dyDescent="0.2">
      <c r="A371" s="38"/>
      <c r="B371" s="38"/>
      <c r="C371" s="8"/>
      <c r="D371" s="8"/>
      <c r="E371" s="8"/>
      <c r="F371" s="8"/>
    </row>
    <row r="372" spans="1:6" ht="12.75" customHeight="1" x14ac:dyDescent="0.2">
      <c r="A372" s="38"/>
      <c r="B372" s="38"/>
      <c r="C372" s="8"/>
      <c r="D372" s="8"/>
      <c r="E372" s="8"/>
      <c r="F372" s="8"/>
    </row>
    <row r="373" spans="1:6" ht="12.75" customHeight="1" x14ac:dyDescent="0.2">
      <c r="A373" s="38"/>
      <c r="B373" s="38"/>
      <c r="C373" s="8"/>
      <c r="D373" s="8"/>
      <c r="E373" s="8"/>
      <c r="F373" s="8"/>
    </row>
    <row r="374" spans="1:6" ht="12.75" customHeight="1" x14ac:dyDescent="0.2">
      <c r="A374" s="38"/>
      <c r="B374" s="38"/>
      <c r="C374" s="8"/>
      <c r="D374" s="8"/>
      <c r="E374" s="8"/>
      <c r="F374" s="8"/>
    </row>
    <row r="375" spans="1:6" ht="12.75" customHeight="1" x14ac:dyDescent="0.2">
      <c r="A375" s="38"/>
      <c r="B375" s="38"/>
      <c r="C375" s="8"/>
      <c r="D375" s="8"/>
      <c r="E375" s="8"/>
      <c r="F375" s="8"/>
    </row>
    <row r="376" spans="1:6" ht="12.75" customHeight="1" x14ac:dyDescent="0.2">
      <c r="A376" s="38"/>
      <c r="B376" s="38"/>
      <c r="C376" s="8"/>
      <c r="D376" s="8"/>
      <c r="E376" s="8"/>
      <c r="F376" s="8"/>
    </row>
    <row r="377" spans="1:6" ht="12.75" customHeight="1" x14ac:dyDescent="0.2">
      <c r="A377" s="38"/>
      <c r="B377" s="38"/>
      <c r="C377" s="8"/>
      <c r="D377" s="8"/>
      <c r="E377" s="8"/>
      <c r="F377" s="8"/>
    </row>
    <row r="378" spans="1:6" ht="12.75" customHeight="1" x14ac:dyDescent="0.2">
      <c r="A378" s="38"/>
      <c r="B378" s="38"/>
      <c r="C378" s="8"/>
      <c r="D378" s="8"/>
      <c r="E378" s="8"/>
      <c r="F378" s="8"/>
    </row>
    <row r="379" spans="1:6" ht="12.75" customHeight="1" x14ac:dyDescent="0.2">
      <c r="A379" s="38"/>
      <c r="B379" s="38"/>
      <c r="C379" s="8"/>
      <c r="D379" s="8"/>
      <c r="E379" s="8"/>
      <c r="F379" s="8"/>
    </row>
    <row r="380" spans="1:6" ht="12.75" customHeight="1" x14ac:dyDescent="0.2">
      <c r="A380" s="38"/>
      <c r="B380" s="38"/>
      <c r="C380" s="8"/>
      <c r="D380" s="8"/>
      <c r="E380" s="8"/>
      <c r="F380" s="8"/>
    </row>
    <row r="381" spans="1:6" ht="12.75" customHeight="1" x14ac:dyDescent="0.2">
      <c r="A381" s="38"/>
      <c r="B381" s="38"/>
      <c r="C381" s="8"/>
      <c r="D381" s="8"/>
      <c r="E381" s="8"/>
      <c r="F381" s="8"/>
    </row>
    <row r="382" spans="1:6" ht="12.75" customHeight="1" x14ac:dyDescent="0.2">
      <c r="A382" s="38"/>
      <c r="B382" s="38"/>
      <c r="C382" s="8"/>
      <c r="D382" s="8"/>
      <c r="E382" s="8"/>
      <c r="F382" s="8"/>
    </row>
    <row r="383" spans="1:6" ht="12.75" customHeight="1" x14ac:dyDescent="0.2">
      <c r="A383" s="38"/>
      <c r="B383" s="38"/>
      <c r="C383" s="8"/>
      <c r="D383" s="8"/>
      <c r="E383" s="8"/>
      <c r="F383" s="8"/>
    </row>
    <row r="384" spans="1:6" ht="12.75" customHeight="1" x14ac:dyDescent="0.2">
      <c r="A384" s="38"/>
      <c r="B384" s="38"/>
      <c r="C384" s="8"/>
      <c r="D384" s="8"/>
      <c r="E384" s="8"/>
      <c r="F384" s="8"/>
    </row>
    <row r="385" spans="1:6" ht="12.75" customHeight="1" x14ac:dyDescent="0.2">
      <c r="A385" s="38"/>
      <c r="B385" s="38"/>
      <c r="C385" s="8"/>
      <c r="D385" s="8"/>
      <c r="E385" s="8"/>
      <c r="F385" s="8"/>
    </row>
    <row r="386" spans="1:6" ht="12.75" customHeight="1" x14ac:dyDescent="0.2">
      <c r="A386" s="38"/>
      <c r="B386" s="38"/>
      <c r="C386" s="8"/>
      <c r="D386" s="8"/>
      <c r="E386" s="8"/>
      <c r="F386" s="8"/>
    </row>
    <row r="387" spans="1:6" ht="12.75" customHeight="1" x14ac:dyDescent="0.2">
      <c r="A387" s="38"/>
      <c r="B387" s="38"/>
      <c r="C387" s="8"/>
      <c r="D387" s="8"/>
      <c r="E387" s="8"/>
      <c r="F387" s="8"/>
    </row>
    <row r="388" spans="1:6" ht="12.75" customHeight="1" x14ac:dyDescent="0.2">
      <c r="A388" s="38"/>
      <c r="B388" s="38"/>
      <c r="C388" s="8"/>
      <c r="D388" s="8"/>
      <c r="E388" s="8"/>
      <c r="F388" s="8"/>
    </row>
    <row r="389" spans="1:6" ht="12.75" customHeight="1" x14ac:dyDescent="0.2">
      <c r="A389" s="38"/>
      <c r="B389" s="38"/>
      <c r="C389" s="8"/>
      <c r="D389" s="8"/>
      <c r="E389" s="8"/>
      <c r="F389" s="8"/>
    </row>
    <row r="390" spans="1:6" ht="12.75" customHeight="1" x14ac:dyDescent="0.2">
      <c r="A390" s="38"/>
      <c r="B390" s="38"/>
      <c r="C390" s="8"/>
      <c r="D390" s="8"/>
      <c r="E390" s="8"/>
      <c r="F390" s="8"/>
    </row>
    <row r="391" spans="1:6" ht="12.75" customHeight="1" x14ac:dyDescent="0.2">
      <c r="A391" s="38"/>
      <c r="B391" s="38"/>
      <c r="C391" s="8"/>
      <c r="D391" s="8"/>
      <c r="E391" s="8"/>
      <c r="F391" s="8"/>
    </row>
    <row r="392" spans="1:6" ht="12.75" customHeight="1" x14ac:dyDescent="0.2">
      <c r="A392" s="38"/>
      <c r="B392" s="38"/>
      <c r="C392" s="8"/>
      <c r="D392" s="8"/>
      <c r="E392" s="8"/>
      <c r="F392" s="8"/>
    </row>
    <row r="393" spans="1:6" ht="12.75" customHeight="1" x14ac:dyDescent="0.2">
      <c r="A393" s="38"/>
      <c r="B393" s="38"/>
      <c r="C393" s="8"/>
      <c r="D393" s="8"/>
      <c r="E393" s="8"/>
      <c r="F393" s="8"/>
    </row>
    <row r="394" spans="1:6" ht="12.75" customHeight="1" x14ac:dyDescent="0.2">
      <c r="A394" s="38"/>
      <c r="B394" s="38"/>
      <c r="C394" s="8"/>
      <c r="D394" s="8"/>
      <c r="E394" s="8"/>
      <c r="F394" s="8"/>
    </row>
    <row r="395" spans="1:6" ht="12.75" customHeight="1" x14ac:dyDescent="0.2">
      <c r="A395" s="38"/>
      <c r="B395" s="38"/>
      <c r="C395" s="8"/>
      <c r="D395" s="8"/>
      <c r="E395" s="8"/>
      <c r="F395" s="8"/>
    </row>
    <row r="396" spans="1:6" ht="12.75" customHeight="1" x14ac:dyDescent="0.2">
      <c r="A396" s="38"/>
      <c r="B396" s="38"/>
      <c r="C396" s="8"/>
      <c r="D396" s="8"/>
      <c r="E396" s="8"/>
      <c r="F396" s="8"/>
    </row>
    <row r="397" spans="1:6" ht="12.75" customHeight="1" x14ac:dyDescent="0.2">
      <c r="A397" s="38"/>
      <c r="B397" s="38"/>
      <c r="C397" s="8"/>
      <c r="D397" s="8"/>
      <c r="E397" s="8"/>
      <c r="F397" s="8"/>
    </row>
    <row r="398" spans="1:6" ht="12.75" customHeight="1" x14ac:dyDescent="0.2">
      <c r="A398" s="38"/>
      <c r="B398" s="38"/>
      <c r="C398" s="8"/>
      <c r="D398" s="8"/>
      <c r="E398" s="8"/>
      <c r="F398" s="8"/>
    </row>
    <row r="399" spans="1:6" ht="12.75" customHeight="1" x14ac:dyDescent="0.2">
      <c r="A399" s="38"/>
      <c r="B399" s="38"/>
      <c r="C399" s="8"/>
      <c r="D399" s="8"/>
      <c r="E399" s="8"/>
      <c r="F399" s="8"/>
    </row>
    <row r="400" spans="1:6" ht="12.75" customHeight="1" x14ac:dyDescent="0.2">
      <c r="A400" s="38"/>
      <c r="B400" s="38"/>
      <c r="C400" s="8"/>
      <c r="D400" s="8"/>
      <c r="E400" s="8"/>
      <c r="F400" s="8"/>
    </row>
    <row r="401" spans="1:6" ht="12.75" customHeight="1" x14ac:dyDescent="0.2">
      <c r="A401" s="38"/>
      <c r="B401" s="38"/>
      <c r="C401" s="8"/>
      <c r="D401" s="8"/>
      <c r="E401" s="8"/>
      <c r="F401" s="8"/>
    </row>
    <row r="402" spans="1:6" ht="12.75" customHeight="1" x14ac:dyDescent="0.2">
      <c r="A402" s="38"/>
      <c r="B402" s="38"/>
      <c r="C402" s="8"/>
      <c r="D402" s="8"/>
      <c r="E402" s="8"/>
      <c r="F402" s="8"/>
    </row>
    <row r="403" spans="1:6" ht="12.75" customHeight="1" x14ac:dyDescent="0.2">
      <c r="A403" s="38"/>
      <c r="B403" s="38"/>
      <c r="C403" s="8"/>
      <c r="D403" s="8"/>
      <c r="E403" s="8"/>
      <c r="F403" s="8"/>
    </row>
    <row r="404" spans="1:6" ht="12.75" customHeight="1" x14ac:dyDescent="0.2">
      <c r="A404" s="38"/>
      <c r="B404" s="38"/>
      <c r="C404" s="8"/>
      <c r="D404" s="8"/>
      <c r="E404" s="8"/>
      <c r="F404" s="8"/>
    </row>
    <row r="405" spans="1:6" ht="12.75" customHeight="1" x14ac:dyDescent="0.2">
      <c r="A405" s="38"/>
      <c r="B405" s="38"/>
      <c r="C405" s="8"/>
      <c r="D405" s="8"/>
      <c r="E405" s="8"/>
      <c r="F405" s="8"/>
    </row>
    <row r="406" spans="1:6" ht="12.75" customHeight="1" x14ac:dyDescent="0.2">
      <c r="A406" s="38"/>
      <c r="B406" s="38"/>
      <c r="C406" s="8"/>
      <c r="D406" s="8"/>
      <c r="E406" s="8"/>
      <c r="F406" s="8"/>
    </row>
    <row r="407" spans="1:6" ht="12.75" customHeight="1" x14ac:dyDescent="0.2">
      <c r="A407" s="38"/>
      <c r="B407" s="38"/>
      <c r="C407" s="8"/>
      <c r="D407" s="8"/>
      <c r="E407" s="8"/>
      <c r="F407" s="8"/>
    </row>
    <row r="408" spans="1:6" ht="12.75" customHeight="1" x14ac:dyDescent="0.2">
      <c r="A408" s="38"/>
      <c r="B408" s="38"/>
      <c r="C408" s="8"/>
      <c r="D408" s="8"/>
      <c r="E408" s="8"/>
      <c r="F408" s="8"/>
    </row>
    <row r="409" spans="1:6" ht="12.75" customHeight="1" x14ac:dyDescent="0.2">
      <c r="A409" s="38"/>
      <c r="B409" s="38"/>
      <c r="C409" s="8"/>
      <c r="D409" s="8"/>
      <c r="E409" s="8"/>
      <c r="F409" s="8"/>
    </row>
    <row r="410" spans="1:6" ht="12.75" customHeight="1" x14ac:dyDescent="0.2">
      <c r="A410" s="38"/>
      <c r="B410" s="38"/>
      <c r="C410" s="8"/>
      <c r="D410" s="8"/>
      <c r="E410" s="8"/>
      <c r="F410" s="8"/>
    </row>
    <row r="411" spans="1:6" ht="12.75" customHeight="1" x14ac:dyDescent="0.2">
      <c r="A411" s="38"/>
      <c r="B411" s="38"/>
      <c r="C411" s="8"/>
      <c r="D411" s="8"/>
      <c r="E411" s="8"/>
      <c r="F411" s="8"/>
    </row>
    <row r="412" spans="1:6" ht="12.75" customHeight="1" x14ac:dyDescent="0.2">
      <c r="A412" s="38"/>
      <c r="B412" s="38"/>
      <c r="C412" s="8"/>
      <c r="D412" s="8"/>
      <c r="E412" s="8"/>
      <c r="F412" s="8"/>
    </row>
    <row r="413" spans="1:6" ht="12.75" customHeight="1" x14ac:dyDescent="0.2">
      <c r="A413" s="38"/>
      <c r="B413" s="38"/>
      <c r="C413" s="8"/>
      <c r="D413" s="8"/>
      <c r="E413" s="8"/>
      <c r="F413" s="8"/>
    </row>
    <row r="414" spans="1:6" ht="12.75" customHeight="1" x14ac:dyDescent="0.2">
      <c r="A414" s="38"/>
      <c r="B414" s="38"/>
      <c r="C414" s="8"/>
      <c r="D414" s="8"/>
      <c r="E414" s="8"/>
      <c r="F414" s="8"/>
    </row>
    <row r="415" spans="1:6" ht="12.75" customHeight="1" x14ac:dyDescent="0.2">
      <c r="A415" s="38"/>
      <c r="B415" s="38"/>
      <c r="C415" s="8"/>
      <c r="D415" s="8"/>
      <c r="E415" s="8"/>
      <c r="F415" s="8"/>
    </row>
    <row r="416" spans="1:6" ht="12.75" customHeight="1" x14ac:dyDescent="0.2">
      <c r="A416" s="38"/>
      <c r="B416" s="38"/>
      <c r="C416" s="8"/>
      <c r="D416" s="8"/>
      <c r="E416" s="8"/>
      <c r="F416" s="8"/>
    </row>
    <row r="417" spans="1:6" ht="12.75" customHeight="1" x14ac:dyDescent="0.2">
      <c r="A417" s="38"/>
      <c r="B417" s="38"/>
      <c r="C417" s="8"/>
      <c r="D417" s="8"/>
      <c r="E417" s="8"/>
      <c r="F417" s="8"/>
    </row>
    <row r="418" spans="1:6" ht="12.75" customHeight="1" x14ac:dyDescent="0.2">
      <c r="A418" s="38"/>
      <c r="B418" s="38"/>
      <c r="C418" s="8"/>
      <c r="D418" s="8"/>
      <c r="E418" s="8"/>
      <c r="F418" s="8"/>
    </row>
    <row r="419" spans="1:6" ht="12.75" customHeight="1" x14ac:dyDescent="0.2">
      <c r="A419" s="38"/>
      <c r="B419" s="38"/>
      <c r="C419" s="8"/>
      <c r="D419" s="8"/>
      <c r="E419" s="8"/>
      <c r="F419" s="8"/>
    </row>
    <row r="420" spans="1:6" ht="12.75" customHeight="1" x14ac:dyDescent="0.2">
      <c r="A420" s="38"/>
      <c r="B420" s="38"/>
      <c r="C420" s="8"/>
      <c r="D420" s="8"/>
      <c r="E420" s="8"/>
      <c r="F420" s="8"/>
    </row>
    <row r="421" spans="1:6" ht="12.75" customHeight="1" x14ac:dyDescent="0.2">
      <c r="A421" s="38"/>
      <c r="B421" s="38"/>
      <c r="C421" s="8"/>
      <c r="D421" s="8"/>
      <c r="E421" s="8"/>
      <c r="F421" s="8"/>
    </row>
    <row r="422" spans="1:6" ht="12.75" customHeight="1" x14ac:dyDescent="0.2">
      <c r="A422" s="38"/>
      <c r="B422" s="38"/>
      <c r="C422" s="8"/>
      <c r="D422" s="8"/>
      <c r="E422" s="8"/>
      <c r="F422" s="8"/>
    </row>
    <row r="423" spans="1:6" ht="12.75" customHeight="1" x14ac:dyDescent="0.2">
      <c r="A423" s="38"/>
      <c r="B423" s="38"/>
      <c r="C423" s="8"/>
      <c r="D423" s="8"/>
      <c r="E423" s="8"/>
      <c r="F423" s="8"/>
    </row>
    <row r="424" spans="1:6" ht="12.75" customHeight="1" x14ac:dyDescent="0.2">
      <c r="A424" s="38"/>
      <c r="B424" s="38"/>
      <c r="C424" s="8"/>
      <c r="D424" s="8"/>
      <c r="E424" s="8"/>
      <c r="F424" s="8"/>
    </row>
    <row r="425" spans="1:6" ht="12.75" customHeight="1" x14ac:dyDescent="0.2">
      <c r="A425" s="38"/>
      <c r="B425" s="38"/>
      <c r="C425" s="8"/>
      <c r="D425" s="8"/>
      <c r="E425" s="8"/>
      <c r="F425" s="8"/>
    </row>
    <row r="426" spans="1:6" ht="12.75" customHeight="1" x14ac:dyDescent="0.2">
      <c r="A426" s="38"/>
      <c r="B426" s="38"/>
      <c r="C426" s="8"/>
      <c r="D426" s="8"/>
      <c r="E426" s="8"/>
      <c r="F426" s="8"/>
    </row>
    <row r="427" spans="1:6" ht="12.75" customHeight="1" x14ac:dyDescent="0.2">
      <c r="A427" s="38"/>
      <c r="B427" s="38"/>
      <c r="C427" s="8"/>
      <c r="D427" s="8"/>
      <c r="E427" s="8"/>
      <c r="F427" s="8"/>
    </row>
    <row r="428" spans="1:6" ht="12.75" customHeight="1" x14ac:dyDescent="0.2">
      <c r="A428" s="38"/>
      <c r="B428" s="38"/>
      <c r="C428" s="8"/>
      <c r="D428" s="8"/>
      <c r="E428" s="8"/>
      <c r="F428" s="8"/>
    </row>
    <row r="429" spans="1:6" ht="12.75" customHeight="1" x14ac:dyDescent="0.2">
      <c r="A429" s="38"/>
      <c r="B429" s="38"/>
      <c r="C429" s="8"/>
      <c r="D429" s="8"/>
      <c r="E429" s="8"/>
      <c r="F429" s="8"/>
    </row>
    <row r="430" spans="1:6" ht="12.75" customHeight="1" x14ac:dyDescent="0.2">
      <c r="A430" s="38"/>
      <c r="B430" s="38"/>
      <c r="C430" s="8"/>
      <c r="D430" s="8"/>
      <c r="E430" s="8"/>
      <c r="F430" s="8"/>
    </row>
    <row r="431" spans="1:6" ht="12.75" customHeight="1" x14ac:dyDescent="0.2">
      <c r="A431" s="38"/>
      <c r="B431" s="38"/>
      <c r="C431" s="8"/>
      <c r="D431" s="8"/>
      <c r="E431" s="8"/>
      <c r="F431" s="8"/>
    </row>
    <row r="432" spans="1:6" ht="12.75" customHeight="1" x14ac:dyDescent="0.2">
      <c r="A432" s="38"/>
      <c r="B432" s="38"/>
      <c r="C432" s="8"/>
      <c r="D432" s="8"/>
      <c r="E432" s="8"/>
      <c r="F432" s="8"/>
    </row>
    <row r="433" spans="1:6" ht="12.75" customHeight="1" x14ac:dyDescent="0.2">
      <c r="A433" s="38"/>
      <c r="B433" s="38"/>
      <c r="C433" s="8"/>
      <c r="D433" s="8"/>
      <c r="E433" s="8"/>
      <c r="F433" s="8"/>
    </row>
    <row r="434" spans="1:6" ht="12.75" customHeight="1" x14ac:dyDescent="0.2">
      <c r="A434" s="38"/>
      <c r="B434" s="38"/>
      <c r="C434" s="8"/>
      <c r="D434" s="8"/>
      <c r="E434" s="8"/>
      <c r="F434" s="8"/>
    </row>
    <row r="435" spans="1:6" ht="12.75" customHeight="1" x14ac:dyDescent="0.2">
      <c r="A435" s="38"/>
      <c r="B435" s="38"/>
      <c r="C435" s="8"/>
      <c r="D435" s="8"/>
      <c r="E435" s="8"/>
      <c r="F435" s="8"/>
    </row>
    <row r="436" spans="1:6" ht="12.75" customHeight="1" x14ac:dyDescent="0.2">
      <c r="A436" s="38"/>
      <c r="B436" s="38"/>
      <c r="C436" s="8"/>
      <c r="D436" s="8"/>
      <c r="E436" s="8"/>
      <c r="F436" s="8"/>
    </row>
    <row r="437" spans="1:6" ht="12.75" customHeight="1" x14ac:dyDescent="0.2">
      <c r="A437" s="38"/>
      <c r="B437" s="38"/>
      <c r="C437" s="8"/>
      <c r="D437" s="8"/>
      <c r="E437" s="8"/>
      <c r="F437" s="8"/>
    </row>
    <row r="438" spans="1:6" ht="12.75" customHeight="1" x14ac:dyDescent="0.2">
      <c r="A438" s="38"/>
      <c r="B438" s="38"/>
      <c r="C438" s="8"/>
      <c r="D438" s="8"/>
      <c r="E438" s="8"/>
      <c r="F438" s="8"/>
    </row>
    <row r="439" spans="1:6" ht="12.75" customHeight="1" x14ac:dyDescent="0.2">
      <c r="A439" s="38"/>
      <c r="B439" s="38"/>
      <c r="C439" s="8"/>
      <c r="D439" s="8"/>
      <c r="E439" s="8"/>
      <c r="F439" s="8"/>
    </row>
    <row r="440" spans="1:6" ht="12.75" customHeight="1" x14ac:dyDescent="0.2">
      <c r="A440" s="38"/>
      <c r="B440" s="38"/>
      <c r="C440" s="8"/>
      <c r="D440" s="8"/>
      <c r="E440" s="8"/>
      <c r="F440" s="8"/>
    </row>
    <row r="441" spans="1:6" ht="12.75" customHeight="1" x14ac:dyDescent="0.2">
      <c r="A441" s="38"/>
      <c r="B441" s="38"/>
      <c r="C441" s="8"/>
      <c r="D441" s="8"/>
      <c r="E441" s="8"/>
      <c r="F441" s="8"/>
    </row>
    <row r="442" spans="1:6" ht="12.75" customHeight="1" x14ac:dyDescent="0.2">
      <c r="A442" s="38"/>
      <c r="B442" s="38"/>
      <c r="C442" s="8"/>
      <c r="D442" s="8"/>
      <c r="E442" s="8"/>
      <c r="F442" s="8"/>
    </row>
    <row r="443" spans="1:6" ht="12.75" customHeight="1" x14ac:dyDescent="0.2">
      <c r="A443" s="38"/>
      <c r="B443" s="38"/>
      <c r="C443" s="8"/>
      <c r="D443" s="8"/>
      <c r="E443" s="8"/>
      <c r="F443" s="8"/>
    </row>
    <row r="444" spans="1:6" ht="12.75" customHeight="1" x14ac:dyDescent="0.2">
      <c r="A444" s="38"/>
      <c r="B444" s="38"/>
      <c r="C444" s="8"/>
      <c r="D444" s="8"/>
      <c r="E444" s="8"/>
      <c r="F444" s="8"/>
    </row>
    <row r="445" spans="1:6" ht="12.75" customHeight="1" x14ac:dyDescent="0.2">
      <c r="A445" s="38"/>
      <c r="B445" s="38"/>
      <c r="C445" s="8"/>
      <c r="D445" s="8"/>
      <c r="E445" s="8"/>
      <c r="F445" s="8"/>
    </row>
    <row r="446" spans="1:6" ht="12.75" customHeight="1" x14ac:dyDescent="0.2">
      <c r="A446" s="38"/>
      <c r="B446" s="38"/>
      <c r="C446" s="8"/>
      <c r="D446" s="8"/>
      <c r="E446" s="8"/>
      <c r="F446" s="8"/>
    </row>
    <row r="447" spans="1:6" ht="12.75" customHeight="1" x14ac:dyDescent="0.2">
      <c r="A447" s="38"/>
      <c r="B447" s="38"/>
      <c r="C447" s="8"/>
      <c r="D447" s="8"/>
      <c r="E447" s="8"/>
      <c r="F447" s="8"/>
    </row>
    <row r="448" spans="1:6" ht="12.75" customHeight="1" x14ac:dyDescent="0.2">
      <c r="A448" s="38"/>
      <c r="B448" s="38"/>
      <c r="C448" s="8"/>
      <c r="D448" s="8"/>
      <c r="E448" s="8"/>
      <c r="F448" s="8"/>
    </row>
    <row r="449" spans="1:6" ht="12.75" customHeight="1" x14ac:dyDescent="0.2">
      <c r="A449" s="38"/>
      <c r="B449" s="38"/>
      <c r="C449" s="8"/>
      <c r="D449" s="8"/>
      <c r="E449" s="8"/>
      <c r="F449" s="8"/>
    </row>
    <row r="450" spans="1:6" ht="12.75" customHeight="1" x14ac:dyDescent="0.2">
      <c r="A450" s="38"/>
      <c r="B450" s="38"/>
      <c r="C450" s="8"/>
      <c r="D450" s="8"/>
      <c r="E450" s="8"/>
      <c r="F450" s="8"/>
    </row>
    <row r="451" spans="1:6" ht="12.75" customHeight="1" x14ac:dyDescent="0.2">
      <c r="A451" s="38"/>
      <c r="B451" s="38"/>
      <c r="C451" s="8"/>
      <c r="D451" s="8"/>
      <c r="E451" s="8"/>
      <c r="F451" s="8"/>
    </row>
    <row r="452" spans="1:6" ht="12.75" customHeight="1" x14ac:dyDescent="0.2">
      <c r="A452" s="38"/>
      <c r="B452" s="38"/>
      <c r="C452" s="8"/>
      <c r="D452" s="8"/>
      <c r="E452" s="8"/>
      <c r="F452" s="8"/>
    </row>
    <row r="453" spans="1:6" ht="12.75" customHeight="1" x14ac:dyDescent="0.2">
      <c r="A453" s="38"/>
      <c r="B453" s="38"/>
      <c r="C453" s="8"/>
      <c r="D453" s="8"/>
      <c r="E453" s="8"/>
      <c r="F453" s="8"/>
    </row>
    <row r="454" spans="1:6" ht="12.75" customHeight="1" x14ac:dyDescent="0.2">
      <c r="A454" s="38"/>
      <c r="B454" s="38"/>
      <c r="C454" s="8"/>
      <c r="D454" s="8"/>
      <c r="E454" s="8"/>
      <c r="F454" s="8"/>
    </row>
    <row r="455" spans="1:6" ht="12.75" customHeight="1" x14ac:dyDescent="0.2">
      <c r="A455" s="38"/>
      <c r="B455" s="38"/>
      <c r="C455" s="8"/>
      <c r="D455" s="8"/>
      <c r="E455" s="8"/>
      <c r="F455" s="8"/>
    </row>
    <row r="456" spans="1:6" ht="12.75" customHeight="1" x14ac:dyDescent="0.2">
      <c r="A456" s="38"/>
      <c r="B456" s="38"/>
      <c r="C456" s="8"/>
      <c r="D456" s="8"/>
      <c r="E456" s="8"/>
      <c r="F456" s="8"/>
    </row>
    <row r="457" spans="1:6" ht="12.75" customHeight="1" x14ac:dyDescent="0.2">
      <c r="A457" s="38"/>
      <c r="B457" s="38"/>
      <c r="C457" s="8"/>
      <c r="D457" s="8"/>
      <c r="E457" s="8"/>
      <c r="F457" s="8"/>
    </row>
    <row r="458" spans="1:6" ht="12.75" customHeight="1" x14ac:dyDescent="0.2">
      <c r="A458" s="38"/>
      <c r="B458" s="38"/>
      <c r="C458" s="8"/>
      <c r="D458" s="8"/>
      <c r="E458" s="8"/>
      <c r="F458" s="8"/>
    </row>
    <row r="459" spans="1:6" ht="12.75" customHeight="1" x14ac:dyDescent="0.2">
      <c r="A459" s="38"/>
      <c r="B459" s="38"/>
      <c r="C459" s="8"/>
      <c r="D459" s="8"/>
      <c r="E459" s="8"/>
      <c r="F459" s="8"/>
    </row>
    <row r="460" spans="1:6" ht="12.75" customHeight="1" x14ac:dyDescent="0.2">
      <c r="A460" s="38"/>
      <c r="B460" s="38"/>
      <c r="C460" s="8"/>
      <c r="D460" s="8"/>
      <c r="E460" s="8"/>
      <c r="F460" s="8"/>
    </row>
    <row r="461" spans="1:6" ht="12.75" customHeight="1" x14ac:dyDescent="0.2">
      <c r="A461" s="38"/>
      <c r="B461" s="38"/>
      <c r="C461" s="8"/>
      <c r="D461" s="8"/>
      <c r="E461" s="8"/>
      <c r="F461" s="8"/>
    </row>
    <row r="462" spans="1:6" ht="12.75" customHeight="1" x14ac:dyDescent="0.2">
      <c r="A462" s="38"/>
      <c r="B462" s="38"/>
      <c r="C462" s="8"/>
      <c r="D462" s="8"/>
      <c r="E462" s="8"/>
      <c r="F462" s="8"/>
    </row>
    <row r="463" spans="1:6" ht="12.75" customHeight="1" x14ac:dyDescent="0.2">
      <c r="A463" s="38"/>
      <c r="B463" s="38"/>
      <c r="C463" s="8"/>
      <c r="D463" s="8"/>
      <c r="E463" s="8"/>
      <c r="F463" s="8"/>
    </row>
    <row r="464" spans="1:6" ht="12.75" customHeight="1" x14ac:dyDescent="0.2">
      <c r="A464" s="38"/>
      <c r="B464" s="38"/>
      <c r="C464" s="8"/>
      <c r="D464" s="8"/>
      <c r="E464" s="8"/>
      <c r="F464" s="8"/>
    </row>
    <row r="465" spans="1:6" ht="12.75" customHeight="1" x14ac:dyDescent="0.2">
      <c r="A465" s="38"/>
      <c r="B465" s="38"/>
      <c r="C465" s="8"/>
      <c r="D465" s="8"/>
      <c r="E465" s="8"/>
      <c r="F465" s="8"/>
    </row>
    <row r="466" spans="1:6" ht="12.75" customHeight="1" x14ac:dyDescent="0.2">
      <c r="A466" s="38"/>
      <c r="B466" s="38"/>
      <c r="C466" s="8"/>
      <c r="D466" s="8"/>
      <c r="E466" s="8"/>
      <c r="F466" s="8"/>
    </row>
    <row r="467" spans="1:6" ht="12.75" customHeight="1" x14ac:dyDescent="0.2">
      <c r="A467" s="38"/>
      <c r="B467" s="38"/>
      <c r="C467" s="8"/>
      <c r="D467" s="8"/>
      <c r="E467" s="8"/>
      <c r="F467" s="8"/>
    </row>
    <row r="468" spans="1:6" ht="12.75" customHeight="1" x14ac:dyDescent="0.2">
      <c r="A468" s="38"/>
      <c r="B468" s="38"/>
      <c r="C468" s="8"/>
      <c r="D468" s="8"/>
      <c r="E468" s="8"/>
      <c r="F468" s="8"/>
    </row>
    <row r="469" spans="1:6" ht="12.75" customHeight="1" x14ac:dyDescent="0.2">
      <c r="A469" s="38"/>
      <c r="B469" s="38"/>
      <c r="C469" s="8"/>
      <c r="D469" s="8"/>
      <c r="E469" s="8"/>
      <c r="F469" s="8"/>
    </row>
    <row r="470" spans="1:6" ht="12.75" customHeight="1" x14ac:dyDescent="0.2">
      <c r="A470" s="38"/>
      <c r="B470" s="38"/>
      <c r="C470" s="8"/>
      <c r="D470" s="8"/>
      <c r="E470" s="8"/>
      <c r="F470" s="8"/>
    </row>
    <row r="471" spans="1:6" ht="12.75" customHeight="1" x14ac:dyDescent="0.2">
      <c r="A471" s="38"/>
      <c r="B471" s="38"/>
      <c r="C471" s="8"/>
      <c r="D471" s="8"/>
      <c r="E471" s="8"/>
      <c r="F471" s="8"/>
    </row>
    <row r="472" spans="1:6" ht="12.75" customHeight="1" x14ac:dyDescent="0.2">
      <c r="A472" s="38"/>
      <c r="B472" s="38"/>
      <c r="C472" s="8"/>
      <c r="D472" s="8"/>
      <c r="E472" s="8"/>
      <c r="F472" s="8"/>
    </row>
    <row r="473" spans="1:6" ht="12.75" customHeight="1" x14ac:dyDescent="0.2">
      <c r="A473" s="38"/>
      <c r="B473" s="38"/>
      <c r="C473" s="8"/>
      <c r="D473" s="8"/>
      <c r="E473" s="8"/>
      <c r="F473" s="8"/>
    </row>
    <row r="474" spans="1:6" ht="12.75" customHeight="1" x14ac:dyDescent="0.2">
      <c r="A474" s="38"/>
      <c r="B474" s="38"/>
      <c r="C474" s="8"/>
      <c r="D474" s="8"/>
      <c r="E474" s="8"/>
      <c r="F474" s="8"/>
    </row>
    <row r="475" spans="1:6" ht="12.75" customHeight="1" x14ac:dyDescent="0.2">
      <c r="A475" s="38"/>
      <c r="B475" s="38"/>
      <c r="C475" s="8"/>
      <c r="D475" s="8"/>
      <c r="E475" s="8"/>
      <c r="F475" s="8"/>
    </row>
    <row r="476" spans="1:6" ht="12.75" customHeight="1" x14ac:dyDescent="0.2">
      <c r="A476" s="38"/>
      <c r="B476" s="38"/>
      <c r="C476" s="8"/>
      <c r="D476" s="8"/>
      <c r="E476" s="8"/>
      <c r="F476" s="8"/>
    </row>
    <row r="477" spans="1:6" ht="12.75" customHeight="1" x14ac:dyDescent="0.2">
      <c r="A477" s="38"/>
      <c r="B477" s="38"/>
      <c r="C477" s="8"/>
      <c r="D477" s="8"/>
      <c r="E477" s="8"/>
      <c r="F477" s="8"/>
    </row>
    <row r="478" spans="1:6" ht="12.75" customHeight="1" x14ac:dyDescent="0.2">
      <c r="A478" s="38"/>
      <c r="B478" s="38"/>
      <c r="C478" s="8"/>
      <c r="D478" s="8"/>
      <c r="E478" s="8"/>
      <c r="F478" s="8"/>
    </row>
    <row r="479" spans="1:6" ht="12.75" customHeight="1" x14ac:dyDescent="0.2">
      <c r="A479" s="38"/>
      <c r="B479" s="38"/>
      <c r="C479" s="8"/>
      <c r="D479" s="8"/>
      <c r="E479" s="8"/>
      <c r="F479" s="8"/>
    </row>
    <row r="480" spans="1:6" ht="12.75" customHeight="1" x14ac:dyDescent="0.2">
      <c r="A480" s="38"/>
      <c r="B480" s="38"/>
      <c r="C480" s="8"/>
      <c r="D480" s="8"/>
      <c r="E480" s="8"/>
      <c r="F480" s="8"/>
    </row>
    <row r="481" spans="1:6" ht="12.75" customHeight="1" x14ac:dyDescent="0.2">
      <c r="A481" s="38"/>
      <c r="B481" s="38"/>
      <c r="C481" s="8"/>
      <c r="D481" s="8"/>
      <c r="E481" s="8"/>
      <c r="F481" s="8"/>
    </row>
    <row r="482" spans="1:6" ht="12.75" customHeight="1" x14ac:dyDescent="0.2">
      <c r="A482" s="38"/>
      <c r="B482" s="38"/>
      <c r="C482" s="8"/>
      <c r="D482" s="8"/>
      <c r="E482" s="8"/>
      <c r="F482" s="8"/>
    </row>
    <row r="483" spans="1:6" ht="12.75" customHeight="1" x14ac:dyDescent="0.2">
      <c r="A483" s="38"/>
      <c r="B483" s="38"/>
      <c r="C483" s="8"/>
      <c r="D483" s="8"/>
      <c r="E483" s="8"/>
      <c r="F483" s="8"/>
    </row>
    <row r="484" spans="1:6" ht="12.75" customHeight="1" x14ac:dyDescent="0.2">
      <c r="A484" s="38"/>
      <c r="B484" s="38"/>
      <c r="C484" s="8"/>
      <c r="D484" s="8"/>
      <c r="E484" s="8"/>
      <c r="F484" s="8"/>
    </row>
    <row r="485" spans="1:6" ht="12.75" customHeight="1" x14ac:dyDescent="0.2">
      <c r="A485" s="38"/>
      <c r="B485" s="38"/>
      <c r="C485" s="8"/>
      <c r="D485" s="8"/>
      <c r="E485" s="8"/>
      <c r="F485" s="8"/>
    </row>
    <row r="486" spans="1:6" ht="12.75" customHeight="1" x14ac:dyDescent="0.2">
      <c r="A486" s="38"/>
      <c r="B486" s="38"/>
      <c r="C486" s="8"/>
      <c r="D486" s="8"/>
      <c r="E486" s="8"/>
      <c r="F486" s="8"/>
    </row>
    <row r="487" spans="1:6" ht="12.75" customHeight="1" x14ac:dyDescent="0.2">
      <c r="A487" s="38"/>
      <c r="B487" s="38"/>
      <c r="C487" s="8"/>
      <c r="D487" s="8"/>
      <c r="E487" s="8"/>
      <c r="F487" s="8"/>
    </row>
    <row r="488" spans="1:6" ht="12.75" customHeight="1" x14ac:dyDescent="0.2">
      <c r="A488" s="38"/>
      <c r="B488" s="38"/>
      <c r="C488" s="8"/>
      <c r="D488" s="8"/>
      <c r="E488" s="8"/>
      <c r="F488" s="8"/>
    </row>
    <row r="489" spans="1:6" ht="12.75" customHeight="1" x14ac:dyDescent="0.2">
      <c r="A489" s="38"/>
      <c r="B489" s="38"/>
      <c r="C489" s="8"/>
      <c r="D489" s="8"/>
      <c r="E489" s="8"/>
      <c r="F489" s="8"/>
    </row>
    <row r="490" spans="1:6" ht="12.75" customHeight="1" x14ac:dyDescent="0.2">
      <c r="A490" s="38"/>
      <c r="B490" s="38"/>
      <c r="C490" s="8"/>
      <c r="D490" s="8"/>
      <c r="E490" s="8"/>
      <c r="F490" s="8"/>
    </row>
    <row r="491" spans="1:6" ht="12.75" customHeight="1" x14ac:dyDescent="0.2">
      <c r="A491" s="38"/>
      <c r="B491" s="38"/>
      <c r="C491" s="8"/>
      <c r="D491" s="8"/>
      <c r="E491" s="8"/>
      <c r="F491" s="8"/>
    </row>
    <row r="492" spans="1:6" ht="12.75" customHeight="1" x14ac:dyDescent="0.2">
      <c r="A492" s="38"/>
      <c r="B492" s="38"/>
      <c r="C492" s="8"/>
      <c r="D492" s="8"/>
      <c r="E492" s="8"/>
      <c r="F492" s="8"/>
    </row>
    <row r="493" spans="1:6" ht="12.75" customHeight="1" x14ac:dyDescent="0.2">
      <c r="A493" s="38"/>
      <c r="B493" s="38"/>
      <c r="C493" s="8"/>
      <c r="D493" s="8"/>
      <c r="E493" s="8"/>
      <c r="F493" s="8"/>
    </row>
    <row r="494" spans="1:6" ht="12.75" customHeight="1" x14ac:dyDescent="0.2">
      <c r="A494" s="38"/>
      <c r="B494" s="38"/>
      <c r="C494" s="8"/>
      <c r="D494" s="8"/>
      <c r="E494" s="8"/>
      <c r="F494" s="8"/>
    </row>
    <row r="495" spans="1:6" ht="12.75" customHeight="1" x14ac:dyDescent="0.2">
      <c r="A495" s="38"/>
      <c r="B495" s="38"/>
      <c r="C495" s="8"/>
      <c r="D495" s="8"/>
      <c r="E495" s="8"/>
      <c r="F495" s="8"/>
    </row>
    <row r="496" spans="1:6" ht="12.75" customHeight="1" x14ac:dyDescent="0.2">
      <c r="A496" s="38"/>
      <c r="B496" s="38"/>
      <c r="C496" s="8"/>
      <c r="D496" s="8"/>
      <c r="E496" s="8"/>
      <c r="F496" s="8"/>
    </row>
    <row r="497" spans="1:6" ht="12.75" customHeight="1" x14ac:dyDescent="0.2">
      <c r="A497" s="38"/>
      <c r="B497" s="38"/>
      <c r="C497" s="8"/>
      <c r="D497" s="8"/>
      <c r="E497" s="8"/>
      <c r="F497" s="8"/>
    </row>
    <row r="498" spans="1:6" ht="12.75" customHeight="1" x14ac:dyDescent="0.2">
      <c r="A498" s="38"/>
      <c r="B498" s="38"/>
      <c r="C498" s="8"/>
      <c r="D498" s="8"/>
      <c r="E498" s="8"/>
      <c r="F498" s="8"/>
    </row>
    <row r="499" spans="1:6" ht="12.75" customHeight="1" x14ac:dyDescent="0.2">
      <c r="A499" s="38"/>
      <c r="B499" s="38"/>
      <c r="C499" s="8"/>
      <c r="D499" s="8"/>
      <c r="E499" s="8"/>
      <c r="F499" s="8"/>
    </row>
    <row r="500" spans="1:6" ht="12.75" customHeight="1" x14ac:dyDescent="0.2">
      <c r="A500" s="38"/>
      <c r="B500" s="38"/>
      <c r="C500" s="8"/>
      <c r="D500" s="8"/>
      <c r="E500" s="8"/>
      <c r="F500" s="8"/>
    </row>
    <row r="501" spans="1:6" ht="12.75" customHeight="1" x14ac:dyDescent="0.2">
      <c r="A501" s="38"/>
      <c r="B501" s="38"/>
      <c r="C501" s="8"/>
      <c r="D501" s="8"/>
      <c r="E501" s="8"/>
      <c r="F501" s="8"/>
    </row>
    <row r="502" spans="1:6" ht="12.75" customHeight="1" x14ac:dyDescent="0.2">
      <c r="A502" s="38"/>
      <c r="B502" s="38"/>
      <c r="C502" s="8"/>
      <c r="D502" s="8"/>
      <c r="E502" s="8"/>
      <c r="F502" s="8"/>
    </row>
    <row r="503" spans="1:6" ht="12.75" customHeight="1" x14ac:dyDescent="0.2">
      <c r="A503" s="38"/>
      <c r="B503" s="38"/>
      <c r="C503" s="8"/>
      <c r="D503" s="8"/>
      <c r="E503" s="8"/>
      <c r="F503" s="8"/>
    </row>
    <row r="504" spans="1:6" ht="12.75" customHeight="1" x14ac:dyDescent="0.2">
      <c r="A504" s="38"/>
      <c r="B504" s="38"/>
      <c r="C504" s="8"/>
      <c r="D504" s="8"/>
      <c r="E504" s="8"/>
      <c r="F504" s="8"/>
    </row>
    <row r="505" spans="1:6" ht="12.75" customHeight="1" x14ac:dyDescent="0.2">
      <c r="A505" s="38"/>
      <c r="B505" s="38"/>
      <c r="C505" s="8"/>
      <c r="D505" s="8"/>
      <c r="E505" s="8"/>
      <c r="F505" s="8"/>
    </row>
    <row r="506" spans="1:6" ht="12.75" customHeight="1" x14ac:dyDescent="0.2">
      <c r="A506" s="38"/>
      <c r="B506" s="38"/>
      <c r="C506" s="8"/>
      <c r="D506" s="8"/>
      <c r="E506" s="8"/>
      <c r="F506" s="8"/>
    </row>
    <row r="507" spans="1:6" ht="12.75" customHeight="1" x14ac:dyDescent="0.2">
      <c r="A507" s="38"/>
      <c r="B507" s="38"/>
      <c r="C507" s="8"/>
      <c r="D507" s="8"/>
      <c r="E507" s="8"/>
      <c r="F507" s="8"/>
    </row>
    <row r="508" spans="1:6" ht="12.75" customHeight="1" x14ac:dyDescent="0.2">
      <c r="A508" s="38"/>
      <c r="B508" s="38"/>
      <c r="C508" s="8"/>
      <c r="D508" s="8"/>
      <c r="E508" s="8"/>
      <c r="F508" s="8"/>
    </row>
    <row r="509" spans="1:6" ht="12.75" customHeight="1" x14ac:dyDescent="0.2">
      <c r="A509" s="38"/>
      <c r="B509" s="38"/>
      <c r="C509" s="8"/>
      <c r="D509" s="8"/>
      <c r="E509" s="8"/>
      <c r="F509" s="8"/>
    </row>
    <row r="510" spans="1:6" ht="12.75" customHeight="1" x14ac:dyDescent="0.2">
      <c r="A510" s="38"/>
      <c r="B510" s="38"/>
      <c r="C510" s="8"/>
      <c r="D510" s="8"/>
      <c r="E510" s="8"/>
      <c r="F510" s="8"/>
    </row>
    <row r="511" spans="1:6" ht="12.75" customHeight="1" x14ac:dyDescent="0.2">
      <c r="A511" s="38"/>
      <c r="B511" s="38"/>
      <c r="C511" s="8"/>
      <c r="D511" s="8"/>
      <c r="E511" s="8"/>
      <c r="F511" s="8"/>
    </row>
    <row r="512" spans="1:6" ht="12.75" customHeight="1" x14ac:dyDescent="0.2">
      <c r="A512" s="38"/>
      <c r="B512" s="38"/>
      <c r="C512" s="8"/>
      <c r="D512" s="8"/>
      <c r="E512" s="8"/>
      <c r="F512" s="8"/>
    </row>
    <row r="513" spans="1:6" ht="12.75" customHeight="1" x14ac:dyDescent="0.2">
      <c r="A513" s="38"/>
      <c r="B513" s="38"/>
      <c r="C513" s="8"/>
      <c r="D513" s="8"/>
      <c r="E513" s="8"/>
      <c r="F513" s="8"/>
    </row>
    <row r="514" spans="1:6" ht="12.75" customHeight="1" x14ac:dyDescent="0.2">
      <c r="A514" s="38"/>
      <c r="B514" s="38"/>
      <c r="C514" s="8"/>
      <c r="D514" s="8"/>
      <c r="E514" s="8"/>
      <c r="F514" s="8"/>
    </row>
    <row r="515" spans="1:6" ht="12.75" customHeight="1" x14ac:dyDescent="0.2">
      <c r="A515" s="38"/>
      <c r="B515" s="38"/>
      <c r="C515" s="8"/>
      <c r="D515" s="8"/>
      <c r="E515" s="8"/>
      <c r="F515" s="8"/>
    </row>
    <row r="516" spans="1:6" ht="12.75" customHeight="1" x14ac:dyDescent="0.2">
      <c r="A516" s="38"/>
      <c r="B516" s="38"/>
      <c r="C516" s="8"/>
      <c r="D516" s="8"/>
      <c r="E516" s="8"/>
      <c r="F516" s="8"/>
    </row>
    <row r="517" spans="1:6" ht="12.75" customHeight="1" x14ac:dyDescent="0.2">
      <c r="A517" s="38"/>
      <c r="B517" s="38"/>
      <c r="C517" s="8"/>
      <c r="D517" s="8"/>
      <c r="E517" s="8"/>
      <c r="F517" s="8"/>
    </row>
    <row r="518" spans="1:6" ht="12.75" customHeight="1" x14ac:dyDescent="0.2">
      <c r="A518" s="38"/>
      <c r="B518" s="38"/>
      <c r="C518" s="8"/>
      <c r="D518" s="8"/>
      <c r="E518" s="8"/>
      <c r="F518" s="8"/>
    </row>
    <row r="519" spans="1:6" ht="12.75" customHeight="1" x14ac:dyDescent="0.2">
      <c r="A519" s="38"/>
      <c r="B519" s="38"/>
      <c r="C519" s="8"/>
      <c r="D519" s="8"/>
      <c r="E519" s="8"/>
      <c r="F519" s="8"/>
    </row>
    <row r="520" spans="1:6" ht="12.75" customHeight="1" x14ac:dyDescent="0.2">
      <c r="A520" s="38"/>
      <c r="B520" s="38"/>
      <c r="C520" s="8"/>
      <c r="D520" s="8"/>
      <c r="E520" s="8"/>
      <c r="F520" s="8"/>
    </row>
    <row r="521" spans="1:6" ht="12.75" customHeight="1" x14ac:dyDescent="0.2">
      <c r="A521" s="38"/>
      <c r="B521" s="38"/>
      <c r="C521" s="8"/>
      <c r="D521" s="8"/>
      <c r="E521" s="8"/>
      <c r="F521" s="8"/>
    </row>
    <row r="522" spans="1:6" ht="12.75" customHeight="1" x14ac:dyDescent="0.2">
      <c r="A522" s="38"/>
      <c r="B522" s="38"/>
      <c r="C522" s="8"/>
      <c r="D522" s="8"/>
      <c r="E522" s="8"/>
      <c r="F522" s="8"/>
    </row>
    <row r="523" spans="1:6" ht="12.75" customHeight="1" x14ac:dyDescent="0.2">
      <c r="A523" s="38"/>
      <c r="B523" s="38"/>
      <c r="C523" s="8"/>
      <c r="D523" s="8"/>
      <c r="E523" s="8"/>
      <c r="F523" s="8"/>
    </row>
    <row r="524" spans="1:6" ht="12.75" customHeight="1" x14ac:dyDescent="0.2">
      <c r="A524" s="38"/>
      <c r="B524" s="38"/>
      <c r="C524" s="8"/>
      <c r="D524" s="8"/>
      <c r="E524" s="8"/>
      <c r="F524" s="8"/>
    </row>
    <row r="525" spans="1:6" ht="12.75" customHeight="1" x14ac:dyDescent="0.2">
      <c r="A525" s="38"/>
      <c r="B525" s="38"/>
      <c r="C525" s="8"/>
      <c r="D525" s="8"/>
      <c r="E525" s="8"/>
      <c r="F525" s="8"/>
    </row>
    <row r="526" spans="1:6" ht="12.75" customHeight="1" x14ac:dyDescent="0.2">
      <c r="A526" s="38"/>
      <c r="B526" s="38"/>
      <c r="C526" s="8"/>
      <c r="D526" s="8"/>
      <c r="E526" s="8"/>
      <c r="F526" s="8"/>
    </row>
    <row r="527" spans="1:6" ht="12.75" customHeight="1" x14ac:dyDescent="0.2">
      <c r="A527" s="38"/>
      <c r="B527" s="38"/>
      <c r="C527" s="8"/>
      <c r="D527" s="8"/>
      <c r="E527" s="8"/>
      <c r="F527" s="8"/>
    </row>
    <row r="528" spans="1:6" ht="12.75" customHeight="1" x14ac:dyDescent="0.2">
      <c r="A528" s="38"/>
      <c r="B528" s="38"/>
      <c r="C528" s="8"/>
      <c r="D528" s="8"/>
      <c r="E528" s="8"/>
      <c r="F528" s="8"/>
    </row>
    <row r="529" spans="1:6" ht="12.75" customHeight="1" x14ac:dyDescent="0.2">
      <c r="A529" s="38"/>
      <c r="B529" s="38"/>
      <c r="C529" s="8"/>
      <c r="D529" s="8"/>
      <c r="E529" s="8"/>
      <c r="F529" s="8"/>
    </row>
    <row r="530" spans="1:6" ht="12.75" customHeight="1" x14ac:dyDescent="0.2">
      <c r="A530" s="38"/>
      <c r="B530" s="38"/>
      <c r="C530" s="8"/>
      <c r="D530" s="8"/>
      <c r="E530" s="8"/>
      <c r="F530" s="8"/>
    </row>
    <row r="531" spans="1:6" ht="12.75" customHeight="1" x14ac:dyDescent="0.2">
      <c r="A531" s="38"/>
      <c r="B531" s="38"/>
      <c r="C531" s="8"/>
      <c r="D531" s="8"/>
      <c r="E531" s="8"/>
      <c r="F531" s="8"/>
    </row>
    <row r="532" spans="1:6" ht="12.75" customHeight="1" x14ac:dyDescent="0.2">
      <c r="A532" s="38"/>
      <c r="B532" s="38"/>
      <c r="C532" s="8"/>
      <c r="D532" s="8"/>
      <c r="E532" s="8"/>
      <c r="F532" s="8"/>
    </row>
    <row r="533" spans="1:6" ht="12.75" customHeight="1" x14ac:dyDescent="0.2">
      <c r="A533" s="38"/>
      <c r="B533" s="38"/>
      <c r="C533" s="8"/>
      <c r="D533" s="8"/>
      <c r="E533" s="8"/>
      <c r="F533" s="8"/>
    </row>
    <row r="534" spans="1:6" ht="12.75" customHeight="1" x14ac:dyDescent="0.2">
      <c r="A534" s="38"/>
      <c r="B534" s="38"/>
      <c r="C534" s="8"/>
      <c r="D534" s="8"/>
      <c r="E534" s="8"/>
      <c r="F534" s="8"/>
    </row>
    <row r="535" spans="1:6" ht="12.75" customHeight="1" x14ac:dyDescent="0.2">
      <c r="A535" s="38"/>
      <c r="B535" s="38"/>
      <c r="C535" s="8"/>
      <c r="D535" s="8"/>
      <c r="E535" s="8"/>
      <c r="F535" s="8"/>
    </row>
    <row r="536" spans="1:6" ht="12.75" customHeight="1" x14ac:dyDescent="0.2">
      <c r="A536" s="38"/>
      <c r="B536" s="38"/>
      <c r="C536" s="8"/>
      <c r="D536" s="8"/>
      <c r="E536" s="8"/>
      <c r="F536" s="8"/>
    </row>
    <row r="537" spans="1:6" ht="12.75" customHeight="1" x14ac:dyDescent="0.2">
      <c r="A537" s="38"/>
      <c r="B537" s="38"/>
      <c r="C537" s="8"/>
      <c r="D537" s="8"/>
      <c r="E537" s="8"/>
      <c r="F537" s="8"/>
    </row>
    <row r="538" spans="1:6" ht="12.75" customHeight="1" x14ac:dyDescent="0.2">
      <c r="A538" s="38"/>
      <c r="B538" s="38"/>
      <c r="C538" s="8"/>
      <c r="D538" s="8"/>
      <c r="E538" s="8"/>
      <c r="F538" s="8"/>
    </row>
    <row r="539" spans="1:6" ht="12.75" customHeight="1" x14ac:dyDescent="0.2">
      <c r="A539" s="38"/>
      <c r="B539" s="38"/>
      <c r="C539" s="8"/>
      <c r="D539" s="8"/>
      <c r="E539" s="8"/>
      <c r="F539" s="8"/>
    </row>
    <row r="540" spans="1:6" ht="12.75" customHeight="1" x14ac:dyDescent="0.2">
      <c r="A540" s="38"/>
      <c r="B540" s="38"/>
      <c r="C540" s="8"/>
      <c r="D540" s="8"/>
      <c r="E540" s="8"/>
      <c r="F540" s="8"/>
    </row>
    <row r="541" spans="1:6" ht="12.75" customHeight="1" x14ac:dyDescent="0.2">
      <c r="A541" s="38"/>
      <c r="B541" s="38"/>
      <c r="C541" s="8"/>
      <c r="D541" s="8"/>
      <c r="E541" s="8"/>
      <c r="F541" s="8"/>
    </row>
    <row r="542" spans="1:6" ht="12.75" customHeight="1" x14ac:dyDescent="0.2">
      <c r="A542" s="38"/>
      <c r="B542" s="38"/>
      <c r="C542" s="8"/>
      <c r="D542" s="8"/>
      <c r="E542" s="8"/>
      <c r="F542" s="8"/>
    </row>
    <row r="543" spans="1:6" ht="12.75" customHeight="1" x14ac:dyDescent="0.2">
      <c r="A543" s="38"/>
      <c r="B543" s="38"/>
      <c r="C543" s="8"/>
      <c r="D543" s="8"/>
      <c r="E543" s="8"/>
      <c r="F543" s="8"/>
    </row>
    <row r="544" spans="1:6" ht="12.75" customHeight="1" x14ac:dyDescent="0.2">
      <c r="A544" s="38"/>
      <c r="B544" s="38"/>
      <c r="C544" s="8"/>
      <c r="D544" s="8"/>
      <c r="E544" s="8"/>
      <c r="F544" s="8"/>
    </row>
    <row r="545" spans="1:6" ht="12.75" customHeight="1" x14ac:dyDescent="0.2">
      <c r="A545" s="38"/>
      <c r="B545" s="38"/>
      <c r="C545" s="8"/>
      <c r="D545" s="8"/>
      <c r="E545" s="8"/>
      <c r="F545" s="8"/>
    </row>
    <row r="546" spans="1:6" ht="12.75" customHeight="1" x14ac:dyDescent="0.2">
      <c r="A546" s="38"/>
      <c r="B546" s="38"/>
      <c r="C546" s="8"/>
      <c r="D546" s="8"/>
      <c r="E546" s="8"/>
      <c r="F546" s="8"/>
    </row>
    <row r="547" spans="1:6" ht="12.75" customHeight="1" x14ac:dyDescent="0.2">
      <c r="A547" s="38"/>
      <c r="B547" s="38"/>
      <c r="C547" s="8"/>
      <c r="D547" s="8"/>
      <c r="E547" s="8"/>
      <c r="F547" s="8"/>
    </row>
    <row r="548" spans="1:6" ht="12.75" customHeight="1" x14ac:dyDescent="0.2">
      <c r="A548" s="38"/>
      <c r="B548" s="38"/>
      <c r="C548" s="8"/>
      <c r="D548" s="8"/>
      <c r="E548" s="8"/>
      <c r="F548" s="8"/>
    </row>
    <row r="549" spans="1:6" ht="12.75" customHeight="1" x14ac:dyDescent="0.2">
      <c r="A549" s="38"/>
      <c r="B549" s="38"/>
      <c r="C549" s="8"/>
      <c r="D549" s="8"/>
      <c r="E549" s="8"/>
      <c r="F549" s="8"/>
    </row>
    <row r="550" spans="1:6" ht="12.75" customHeight="1" x14ac:dyDescent="0.2">
      <c r="A550" s="38"/>
      <c r="B550" s="38"/>
      <c r="C550" s="8"/>
      <c r="D550" s="8"/>
      <c r="E550" s="8"/>
      <c r="F550" s="8"/>
    </row>
    <row r="551" spans="1:6" ht="12.75" customHeight="1" x14ac:dyDescent="0.2">
      <c r="A551" s="38"/>
      <c r="B551" s="38"/>
      <c r="C551" s="8"/>
      <c r="D551" s="8"/>
      <c r="E551" s="8"/>
      <c r="F551" s="8"/>
    </row>
    <row r="552" spans="1:6" ht="12.75" customHeight="1" x14ac:dyDescent="0.2">
      <c r="A552" s="38"/>
      <c r="B552" s="38"/>
      <c r="C552" s="8"/>
      <c r="D552" s="8"/>
      <c r="E552" s="8"/>
      <c r="F552" s="8"/>
    </row>
    <row r="553" spans="1:6" ht="12.75" customHeight="1" x14ac:dyDescent="0.2">
      <c r="A553" s="38"/>
      <c r="B553" s="38"/>
      <c r="C553" s="8"/>
      <c r="D553" s="8"/>
      <c r="E553" s="8"/>
      <c r="F553" s="8"/>
    </row>
    <row r="554" spans="1:6" ht="12.75" customHeight="1" x14ac:dyDescent="0.2">
      <c r="A554" s="38"/>
      <c r="B554" s="38"/>
      <c r="C554" s="8"/>
      <c r="D554" s="8"/>
      <c r="E554" s="8"/>
      <c r="F554" s="8"/>
    </row>
    <row r="555" spans="1:6" ht="12.75" customHeight="1" x14ac:dyDescent="0.2">
      <c r="A555" s="38"/>
      <c r="B555" s="38"/>
      <c r="C555" s="8"/>
      <c r="D555" s="8"/>
      <c r="E555" s="8"/>
      <c r="F555" s="8"/>
    </row>
    <row r="556" spans="1:6" ht="12.75" customHeight="1" x14ac:dyDescent="0.2">
      <c r="A556" s="38"/>
      <c r="B556" s="38"/>
      <c r="C556" s="8"/>
      <c r="D556" s="8"/>
      <c r="E556" s="8"/>
      <c r="F556" s="8"/>
    </row>
    <row r="557" spans="1:6" ht="12.75" customHeight="1" x14ac:dyDescent="0.2">
      <c r="A557" s="38"/>
      <c r="B557" s="38"/>
      <c r="C557" s="8"/>
      <c r="D557" s="8"/>
      <c r="E557" s="8"/>
      <c r="F557" s="8"/>
    </row>
    <row r="558" spans="1:6" ht="12.75" customHeight="1" x14ac:dyDescent="0.2">
      <c r="A558" s="38"/>
      <c r="B558" s="38"/>
      <c r="C558" s="8"/>
      <c r="D558" s="8"/>
      <c r="E558" s="8"/>
      <c r="F558" s="8"/>
    </row>
    <row r="559" spans="1:6" ht="12.75" customHeight="1" x14ac:dyDescent="0.2">
      <c r="A559" s="38"/>
      <c r="B559" s="38"/>
      <c r="C559" s="8"/>
      <c r="D559" s="8"/>
      <c r="E559" s="8"/>
      <c r="F559" s="8"/>
    </row>
    <row r="560" spans="1:6" ht="12.75" customHeight="1" x14ac:dyDescent="0.2">
      <c r="A560" s="38"/>
      <c r="B560" s="38"/>
      <c r="C560" s="8"/>
      <c r="D560" s="8"/>
      <c r="E560" s="8"/>
      <c r="F560" s="8"/>
    </row>
    <row r="561" spans="1:6" ht="12.75" customHeight="1" x14ac:dyDescent="0.2">
      <c r="A561" s="38"/>
      <c r="B561" s="38"/>
      <c r="C561" s="8"/>
      <c r="D561" s="8"/>
      <c r="E561" s="8"/>
      <c r="F561" s="8"/>
    </row>
    <row r="562" spans="1:6" ht="12.75" customHeight="1" x14ac:dyDescent="0.2">
      <c r="A562" s="38"/>
      <c r="B562" s="38"/>
      <c r="C562" s="8"/>
      <c r="D562" s="8"/>
      <c r="E562" s="8"/>
      <c r="F562" s="8"/>
    </row>
    <row r="563" spans="1:6" ht="12.75" customHeight="1" x14ac:dyDescent="0.2">
      <c r="A563" s="38"/>
      <c r="B563" s="38"/>
      <c r="C563" s="8"/>
      <c r="D563" s="8"/>
      <c r="E563" s="8"/>
      <c r="F563" s="8"/>
    </row>
    <row r="564" spans="1:6" ht="12.75" customHeight="1" x14ac:dyDescent="0.2">
      <c r="A564" s="38"/>
      <c r="B564" s="38"/>
      <c r="C564" s="8"/>
      <c r="D564" s="8"/>
      <c r="E564" s="8"/>
      <c r="F564" s="8"/>
    </row>
    <row r="565" spans="1:6" ht="12.75" customHeight="1" x14ac:dyDescent="0.2">
      <c r="A565" s="38"/>
      <c r="B565" s="38"/>
      <c r="C565" s="8"/>
      <c r="D565" s="8"/>
      <c r="E565" s="8"/>
      <c r="F565" s="8"/>
    </row>
    <row r="566" spans="1:6" ht="12.75" customHeight="1" x14ac:dyDescent="0.2">
      <c r="A566" s="38"/>
      <c r="B566" s="38"/>
      <c r="C566" s="8"/>
      <c r="D566" s="8"/>
      <c r="E566" s="8"/>
      <c r="F566" s="8"/>
    </row>
    <row r="567" spans="1:6" ht="12.75" customHeight="1" x14ac:dyDescent="0.2">
      <c r="A567" s="38"/>
      <c r="B567" s="38"/>
      <c r="C567" s="8"/>
      <c r="D567" s="8"/>
      <c r="E567" s="8"/>
      <c r="F567" s="8"/>
    </row>
    <row r="568" spans="1:6" ht="12.75" customHeight="1" x14ac:dyDescent="0.2">
      <c r="A568" s="38"/>
      <c r="B568" s="38"/>
      <c r="C568" s="8"/>
      <c r="D568" s="8"/>
      <c r="E568" s="8"/>
      <c r="F568" s="8"/>
    </row>
    <row r="569" spans="1:6" ht="12.75" customHeight="1" x14ac:dyDescent="0.2">
      <c r="A569" s="38"/>
      <c r="B569" s="38"/>
      <c r="C569" s="8"/>
      <c r="D569" s="8"/>
      <c r="E569" s="8"/>
      <c r="F569" s="8"/>
    </row>
    <row r="570" spans="1:6" ht="12.75" customHeight="1" x14ac:dyDescent="0.2">
      <c r="A570" s="38"/>
      <c r="B570" s="38"/>
      <c r="C570" s="8"/>
      <c r="D570" s="8"/>
      <c r="E570" s="8"/>
      <c r="F570" s="8"/>
    </row>
    <row r="571" spans="1:6" ht="12.75" customHeight="1" x14ac:dyDescent="0.2">
      <c r="A571" s="38"/>
      <c r="B571" s="38"/>
      <c r="C571" s="8"/>
      <c r="D571" s="8"/>
      <c r="E571" s="8"/>
      <c r="F571" s="8"/>
    </row>
    <row r="572" spans="1:6" ht="12.75" customHeight="1" x14ac:dyDescent="0.2">
      <c r="A572" s="38"/>
      <c r="B572" s="38"/>
      <c r="C572" s="8"/>
      <c r="D572" s="8"/>
      <c r="E572" s="8"/>
      <c r="F572" s="8"/>
    </row>
    <row r="573" spans="1:6" ht="12.75" customHeight="1" x14ac:dyDescent="0.2">
      <c r="A573" s="38"/>
      <c r="B573" s="38"/>
      <c r="C573" s="8"/>
      <c r="D573" s="8"/>
      <c r="E573" s="8"/>
      <c r="F573" s="8"/>
    </row>
    <row r="574" spans="1:6" ht="12.75" customHeight="1" x14ac:dyDescent="0.2">
      <c r="A574" s="38"/>
      <c r="B574" s="38"/>
      <c r="C574" s="8"/>
      <c r="D574" s="8"/>
      <c r="E574" s="8"/>
      <c r="F574" s="8"/>
    </row>
    <row r="575" spans="1:6" ht="12.75" customHeight="1" x14ac:dyDescent="0.2">
      <c r="A575" s="38"/>
      <c r="B575" s="38"/>
      <c r="C575" s="8"/>
      <c r="D575" s="8"/>
      <c r="E575" s="8"/>
      <c r="F575" s="8"/>
    </row>
    <row r="576" spans="1:6" ht="12.75" customHeight="1" x14ac:dyDescent="0.2">
      <c r="A576" s="38"/>
      <c r="B576" s="38"/>
      <c r="C576" s="8"/>
      <c r="D576" s="8"/>
      <c r="E576" s="8"/>
      <c r="F576" s="8"/>
    </row>
    <row r="577" spans="1:6" ht="12.75" customHeight="1" x14ac:dyDescent="0.2">
      <c r="A577" s="38"/>
      <c r="B577" s="38"/>
      <c r="C577" s="8"/>
      <c r="D577" s="8"/>
      <c r="E577" s="8"/>
      <c r="F577" s="8"/>
    </row>
    <row r="578" spans="1:6" ht="12.75" customHeight="1" x14ac:dyDescent="0.2">
      <c r="A578" s="38"/>
      <c r="B578" s="38"/>
      <c r="C578" s="8"/>
      <c r="D578" s="8"/>
      <c r="E578" s="8"/>
      <c r="F578" s="8"/>
    </row>
    <row r="579" spans="1:6" ht="12.75" customHeight="1" x14ac:dyDescent="0.2">
      <c r="A579" s="38"/>
      <c r="B579" s="38"/>
      <c r="C579" s="8"/>
      <c r="D579" s="8"/>
      <c r="E579" s="8"/>
      <c r="F579" s="8"/>
    </row>
    <row r="580" spans="1:6" ht="12.75" customHeight="1" x14ac:dyDescent="0.2">
      <c r="A580" s="38"/>
      <c r="B580" s="38"/>
      <c r="C580" s="8"/>
      <c r="D580" s="8"/>
      <c r="E580" s="8"/>
      <c r="F580" s="8"/>
    </row>
    <row r="581" spans="1:6" ht="12.75" customHeight="1" x14ac:dyDescent="0.2">
      <c r="A581" s="38"/>
      <c r="B581" s="38"/>
      <c r="C581" s="8"/>
      <c r="D581" s="8"/>
      <c r="E581" s="8"/>
      <c r="F581" s="8"/>
    </row>
    <row r="582" spans="1:6" ht="12.75" customHeight="1" x14ac:dyDescent="0.2">
      <c r="A582" s="38"/>
      <c r="B582" s="38"/>
      <c r="C582" s="8"/>
      <c r="D582" s="8"/>
      <c r="E582" s="8"/>
      <c r="F582" s="8"/>
    </row>
    <row r="583" spans="1:6" ht="12.75" customHeight="1" x14ac:dyDescent="0.2">
      <c r="A583" s="38"/>
      <c r="B583" s="38"/>
      <c r="C583" s="8"/>
      <c r="D583" s="8"/>
      <c r="E583" s="8"/>
      <c r="F583" s="8"/>
    </row>
    <row r="584" spans="1:6" ht="12.75" customHeight="1" x14ac:dyDescent="0.2">
      <c r="A584" s="38"/>
      <c r="B584" s="38"/>
      <c r="C584" s="8"/>
      <c r="D584" s="8"/>
      <c r="E584" s="8"/>
      <c r="F584" s="8"/>
    </row>
    <row r="585" spans="1:6" ht="12.75" customHeight="1" x14ac:dyDescent="0.2">
      <c r="A585" s="38"/>
      <c r="B585" s="38"/>
      <c r="C585" s="8"/>
      <c r="D585" s="8"/>
      <c r="E585" s="8"/>
      <c r="F585" s="8"/>
    </row>
    <row r="586" spans="1:6" ht="12.75" customHeight="1" x14ac:dyDescent="0.2">
      <c r="A586" s="38"/>
      <c r="B586" s="38"/>
      <c r="C586" s="8"/>
      <c r="D586" s="8"/>
      <c r="E586" s="8"/>
      <c r="F586" s="8"/>
    </row>
    <row r="587" spans="1:6" ht="12.75" customHeight="1" x14ac:dyDescent="0.2">
      <c r="A587" s="38"/>
      <c r="B587" s="38"/>
      <c r="C587" s="8"/>
      <c r="D587" s="8"/>
      <c r="E587" s="8"/>
      <c r="F587" s="8"/>
    </row>
    <row r="588" spans="1:6" ht="12.75" customHeight="1" x14ac:dyDescent="0.2">
      <c r="A588" s="38"/>
      <c r="B588" s="38"/>
      <c r="C588" s="8"/>
      <c r="D588" s="8"/>
      <c r="E588" s="8"/>
      <c r="F588" s="8"/>
    </row>
    <row r="589" spans="1:6" ht="12.75" customHeight="1" x14ac:dyDescent="0.2">
      <c r="A589" s="38"/>
      <c r="B589" s="38"/>
      <c r="C589" s="8"/>
      <c r="D589" s="8"/>
      <c r="E589" s="8"/>
      <c r="F589" s="8"/>
    </row>
    <row r="590" spans="1:6" ht="12.75" customHeight="1" x14ac:dyDescent="0.2">
      <c r="A590" s="38"/>
      <c r="B590" s="38"/>
      <c r="C590" s="8"/>
      <c r="D590" s="8"/>
      <c r="E590" s="8"/>
      <c r="F590" s="8"/>
    </row>
    <row r="591" spans="1:6" ht="12.75" customHeight="1" x14ac:dyDescent="0.2">
      <c r="A591" s="38"/>
      <c r="B591" s="38"/>
      <c r="C591" s="8"/>
      <c r="D591" s="8"/>
      <c r="E591" s="8"/>
      <c r="F591" s="8"/>
    </row>
    <row r="592" spans="1:6" ht="12.75" customHeight="1" x14ac:dyDescent="0.2">
      <c r="A592" s="38"/>
      <c r="B592" s="38"/>
      <c r="C592" s="8"/>
      <c r="D592" s="8"/>
      <c r="E592" s="8"/>
      <c r="F592" s="8"/>
    </row>
    <row r="593" spans="1:6" ht="12.75" customHeight="1" x14ac:dyDescent="0.2">
      <c r="A593" s="38"/>
      <c r="B593" s="38"/>
      <c r="C593" s="8"/>
      <c r="D593" s="8"/>
      <c r="E593" s="8"/>
      <c r="F593" s="8"/>
    </row>
    <row r="594" spans="1:6" ht="12.75" customHeight="1" x14ac:dyDescent="0.2">
      <c r="A594" s="38"/>
      <c r="B594" s="38"/>
      <c r="C594" s="8"/>
      <c r="D594" s="8"/>
      <c r="E594" s="8"/>
      <c r="F594" s="8"/>
    </row>
    <row r="595" spans="1:6" ht="12.75" customHeight="1" x14ac:dyDescent="0.2">
      <c r="A595" s="38"/>
      <c r="B595" s="38"/>
      <c r="C595" s="8"/>
      <c r="D595" s="8"/>
      <c r="E595" s="8"/>
      <c r="F595" s="8"/>
    </row>
    <row r="596" spans="1:6" ht="12.75" customHeight="1" x14ac:dyDescent="0.2">
      <c r="A596" s="38"/>
      <c r="B596" s="38"/>
      <c r="C596" s="8"/>
      <c r="D596" s="8"/>
      <c r="E596" s="8"/>
      <c r="F596" s="8"/>
    </row>
    <row r="597" spans="1:6" ht="12.75" customHeight="1" x14ac:dyDescent="0.2">
      <c r="A597" s="38"/>
      <c r="B597" s="38"/>
      <c r="C597" s="8"/>
      <c r="D597" s="8"/>
      <c r="E597" s="8"/>
      <c r="F597" s="8"/>
    </row>
    <row r="598" spans="1:6" ht="12.75" customHeight="1" x14ac:dyDescent="0.2">
      <c r="A598" s="38"/>
      <c r="B598" s="38"/>
      <c r="C598" s="8"/>
      <c r="D598" s="8"/>
      <c r="E598" s="8"/>
      <c r="F598" s="8"/>
    </row>
    <row r="599" spans="1:6" ht="12.75" customHeight="1" x14ac:dyDescent="0.2">
      <c r="A599" s="38"/>
      <c r="B599" s="38"/>
      <c r="C599" s="8"/>
      <c r="D599" s="8"/>
      <c r="E599" s="8"/>
      <c r="F599" s="8"/>
    </row>
    <row r="600" spans="1:6" ht="12.75" customHeight="1" x14ac:dyDescent="0.2">
      <c r="A600" s="38"/>
      <c r="B600" s="38"/>
      <c r="C600" s="8"/>
      <c r="D600" s="8"/>
      <c r="E600" s="8"/>
      <c r="F600" s="8"/>
    </row>
    <row r="601" spans="1:6" ht="12.75" customHeight="1" x14ac:dyDescent="0.2">
      <c r="A601" s="38"/>
      <c r="B601" s="38"/>
      <c r="C601" s="8"/>
      <c r="D601" s="8"/>
      <c r="E601" s="8"/>
      <c r="F601" s="8"/>
    </row>
    <row r="602" spans="1:6" ht="12.75" customHeight="1" x14ac:dyDescent="0.2">
      <c r="A602" s="38"/>
      <c r="B602" s="38"/>
      <c r="C602" s="8"/>
      <c r="D602" s="8"/>
      <c r="E602" s="8"/>
      <c r="F602" s="8"/>
    </row>
    <row r="603" spans="1:6" ht="12.75" customHeight="1" x14ac:dyDescent="0.2">
      <c r="A603" s="38"/>
      <c r="B603" s="38"/>
      <c r="C603" s="8"/>
      <c r="D603" s="8"/>
      <c r="E603" s="8"/>
      <c r="F603" s="8"/>
    </row>
    <row r="604" spans="1:6" ht="12.75" customHeight="1" x14ac:dyDescent="0.2">
      <c r="A604" s="38"/>
      <c r="B604" s="38"/>
      <c r="C604" s="8"/>
      <c r="D604" s="8"/>
      <c r="E604" s="8"/>
      <c r="F604" s="8"/>
    </row>
    <row r="605" spans="1:6" ht="12.75" customHeight="1" x14ac:dyDescent="0.2">
      <c r="A605" s="38"/>
      <c r="B605" s="38"/>
      <c r="C605" s="8"/>
      <c r="D605" s="8"/>
      <c r="E605" s="8"/>
      <c r="F605" s="8"/>
    </row>
    <row r="606" spans="1:6" ht="12.75" customHeight="1" x14ac:dyDescent="0.2">
      <c r="A606" s="38"/>
      <c r="B606" s="38"/>
      <c r="C606" s="8"/>
      <c r="D606" s="8"/>
      <c r="E606" s="8"/>
      <c r="F606" s="8"/>
    </row>
    <row r="607" spans="1:6" ht="12.75" customHeight="1" x14ac:dyDescent="0.2">
      <c r="A607" s="38"/>
      <c r="B607" s="38"/>
      <c r="C607" s="8"/>
      <c r="D607" s="8"/>
      <c r="E607" s="8"/>
      <c r="F607" s="8"/>
    </row>
    <row r="608" spans="1:6" ht="12.75" customHeight="1" x14ac:dyDescent="0.2">
      <c r="A608" s="38"/>
      <c r="B608" s="38"/>
      <c r="C608" s="8"/>
      <c r="D608" s="8"/>
      <c r="E608" s="8"/>
      <c r="F608" s="8"/>
    </row>
    <row r="609" spans="1:6" ht="12.75" customHeight="1" x14ac:dyDescent="0.2">
      <c r="A609" s="38"/>
      <c r="B609" s="38"/>
      <c r="C609" s="8"/>
      <c r="D609" s="8"/>
      <c r="E609" s="8"/>
      <c r="F609" s="8"/>
    </row>
    <row r="610" spans="1:6" ht="12.75" customHeight="1" x14ac:dyDescent="0.2">
      <c r="A610" s="38"/>
      <c r="B610" s="38"/>
      <c r="C610" s="8"/>
      <c r="D610" s="8"/>
      <c r="E610" s="8"/>
      <c r="F610" s="8"/>
    </row>
    <row r="611" spans="1:6" ht="12.75" customHeight="1" x14ac:dyDescent="0.2">
      <c r="A611" s="38"/>
      <c r="B611" s="38"/>
      <c r="C611" s="8"/>
      <c r="D611" s="8"/>
      <c r="E611" s="8"/>
      <c r="F611" s="8"/>
    </row>
    <row r="612" spans="1:6" ht="12.75" customHeight="1" x14ac:dyDescent="0.2">
      <c r="A612" s="38"/>
      <c r="B612" s="38"/>
      <c r="C612" s="8"/>
      <c r="D612" s="8"/>
      <c r="E612" s="8"/>
      <c r="F612" s="8"/>
    </row>
    <row r="613" spans="1:6" ht="12.75" customHeight="1" x14ac:dyDescent="0.2">
      <c r="A613" s="38"/>
      <c r="B613" s="38"/>
      <c r="C613" s="8"/>
      <c r="D613" s="8"/>
      <c r="E613" s="8"/>
      <c r="F613" s="8"/>
    </row>
    <row r="614" spans="1:6" ht="12.75" customHeight="1" x14ac:dyDescent="0.2">
      <c r="A614" s="38"/>
      <c r="B614" s="38"/>
      <c r="C614" s="8"/>
      <c r="D614" s="8"/>
      <c r="E614" s="8"/>
      <c r="F614" s="8"/>
    </row>
    <row r="615" spans="1:6" ht="12.75" customHeight="1" x14ac:dyDescent="0.2">
      <c r="A615" s="38"/>
      <c r="B615" s="38"/>
      <c r="C615" s="8"/>
      <c r="D615" s="8"/>
      <c r="E615" s="8"/>
      <c r="F615" s="8"/>
    </row>
    <row r="616" spans="1:6" ht="12.75" customHeight="1" x14ac:dyDescent="0.2">
      <c r="A616" s="38"/>
      <c r="B616" s="38"/>
      <c r="C616" s="8"/>
      <c r="D616" s="8"/>
      <c r="E616" s="8"/>
      <c r="F616" s="8"/>
    </row>
    <row r="617" spans="1:6" ht="12.75" customHeight="1" x14ac:dyDescent="0.2">
      <c r="A617" s="38"/>
      <c r="B617" s="38"/>
      <c r="C617" s="8"/>
      <c r="D617" s="8"/>
      <c r="E617" s="8"/>
      <c r="F617" s="8"/>
    </row>
    <row r="618" spans="1:6" ht="12.75" customHeight="1" x14ac:dyDescent="0.2">
      <c r="A618" s="38"/>
      <c r="B618" s="38"/>
      <c r="C618" s="8"/>
      <c r="D618" s="8"/>
      <c r="E618" s="8"/>
      <c r="F618" s="8"/>
    </row>
    <row r="619" spans="1:6" ht="12.75" customHeight="1" x14ac:dyDescent="0.2">
      <c r="A619" s="38"/>
      <c r="B619" s="38"/>
      <c r="C619" s="8"/>
      <c r="D619" s="8"/>
      <c r="E619" s="8"/>
      <c r="F619" s="8"/>
    </row>
    <row r="620" spans="1:6" ht="12.75" customHeight="1" x14ac:dyDescent="0.2">
      <c r="A620" s="38"/>
      <c r="B620" s="38"/>
      <c r="C620" s="8"/>
      <c r="D620" s="8"/>
      <c r="E620" s="8"/>
      <c r="F620" s="8"/>
    </row>
    <row r="621" spans="1:6" ht="12.75" customHeight="1" x14ac:dyDescent="0.2">
      <c r="A621" s="38"/>
      <c r="B621" s="38"/>
      <c r="C621" s="8"/>
      <c r="D621" s="8"/>
      <c r="E621" s="8"/>
      <c r="F621" s="8"/>
    </row>
    <row r="622" spans="1:6" ht="12.75" customHeight="1" x14ac:dyDescent="0.2">
      <c r="A622" s="38"/>
      <c r="B622" s="38"/>
      <c r="C622" s="8"/>
      <c r="D622" s="8"/>
      <c r="E622" s="8"/>
      <c r="F622" s="8"/>
    </row>
    <row r="623" spans="1:6" ht="12.75" customHeight="1" x14ac:dyDescent="0.2">
      <c r="A623" s="38"/>
      <c r="B623" s="38"/>
      <c r="C623" s="8"/>
      <c r="D623" s="8"/>
      <c r="E623" s="8"/>
      <c r="F623" s="8"/>
    </row>
    <row r="624" spans="1:6" ht="12.75" customHeight="1" x14ac:dyDescent="0.2">
      <c r="A624" s="38"/>
      <c r="B624" s="38"/>
      <c r="C624" s="8"/>
      <c r="D624" s="8"/>
      <c r="E624" s="8"/>
      <c r="F624" s="8"/>
    </row>
    <row r="625" spans="1:6" ht="12.75" customHeight="1" x14ac:dyDescent="0.2">
      <c r="A625" s="38"/>
      <c r="B625" s="38"/>
      <c r="C625" s="8"/>
      <c r="D625" s="8"/>
      <c r="E625" s="8"/>
      <c r="F625" s="8"/>
    </row>
    <row r="626" spans="1:6" ht="12.75" customHeight="1" x14ac:dyDescent="0.2">
      <c r="A626" s="38"/>
      <c r="B626" s="38"/>
      <c r="C626" s="8"/>
      <c r="D626" s="8"/>
      <c r="E626" s="8"/>
      <c r="F626" s="8"/>
    </row>
    <row r="627" spans="1:6" ht="12.75" customHeight="1" x14ac:dyDescent="0.2">
      <c r="A627" s="38"/>
      <c r="B627" s="38"/>
      <c r="C627" s="8"/>
      <c r="D627" s="8"/>
      <c r="E627" s="8"/>
      <c r="F627" s="8"/>
    </row>
    <row r="628" spans="1:6" ht="12.75" customHeight="1" x14ac:dyDescent="0.2">
      <c r="A628" s="38"/>
      <c r="B628" s="38"/>
      <c r="C628" s="8"/>
      <c r="D628" s="8"/>
      <c r="E628" s="8"/>
      <c r="F628" s="8"/>
    </row>
    <row r="629" spans="1:6" ht="12.75" customHeight="1" x14ac:dyDescent="0.2">
      <c r="A629" s="38"/>
      <c r="B629" s="38"/>
      <c r="C629" s="8"/>
      <c r="D629" s="8"/>
      <c r="E629" s="8"/>
      <c r="F629" s="8"/>
    </row>
    <row r="630" spans="1:6" ht="12.75" customHeight="1" x14ac:dyDescent="0.2">
      <c r="A630" s="38"/>
      <c r="B630" s="38"/>
      <c r="C630" s="8"/>
      <c r="D630" s="8"/>
      <c r="E630" s="8"/>
      <c r="F630" s="8"/>
    </row>
    <row r="631" spans="1:6" ht="12.75" customHeight="1" x14ac:dyDescent="0.2">
      <c r="A631" s="38"/>
      <c r="B631" s="38"/>
      <c r="C631" s="8"/>
      <c r="D631" s="8"/>
      <c r="E631" s="8"/>
      <c r="F631" s="8"/>
    </row>
    <row r="632" spans="1:6" ht="12.75" customHeight="1" x14ac:dyDescent="0.2">
      <c r="A632" s="38"/>
      <c r="B632" s="38"/>
      <c r="C632" s="8"/>
      <c r="D632" s="8"/>
      <c r="E632" s="8"/>
      <c r="F632" s="8"/>
    </row>
    <row r="633" spans="1:6" ht="12.75" customHeight="1" x14ac:dyDescent="0.2">
      <c r="A633" s="38"/>
      <c r="B633" s="38"/>
      <c r="C633" s="8"/>
      <c r="D633" s="8"/>
      <c r="E633" s="8"/>
      <c r="F633" s="8"/>
    </row>
    <row r="634" spans="1:6" ht="12.75" customHeight="1" x14ac:dyDescent="0.2">
      <c r="A634" s="38"/>
      <c r="B634" s="38"/>
      <c r="C634" s="8"/>
      <c r="D634" s="8"/>
      <c r="E634" s="8"/>
      <c r="F634" s="8"/>
    </row>
    <row r="635" spans="1:6" ht="12.75" customHeight="1" x14ac:dyDescent="0.2">
      <c r="A635" s="38"/>
      <c r="B635" s="38"/>
      <c r="C635" s="8"/>
      <c r="D635" s="8"/>
      <c r="E635" s="8"/>
      <c r="F635" s="8"/>
    </row>
    <row r="636" spans="1:6" ht="12.75" customHeight="1" x14ac:dyDescent="0.2">
      <c r="A636" s="38"/>
      <c r="B636" s="38"/>
      <c r="C636" s="8"/>
      <c r="D636" s="8"/>
      <c r="E636" s="8"/>
      <c r="F636" s="8"/>
    </row>
    <row r="637" spans="1:6" ht="12.75" customHeight="1" x14ac:dyDescent="0.2">
      <c r="A637" s="38"/>
      <c r="B637" s="38"/>
      <c r="C637" s="8"/>
      <c r="D637" s="8"/>
      <c r="E637" s="8"/>
      <c r="F637" s="8"/>
    </row>
    <row r="638" spans="1:6" ht="12.75" customHeight="1" x14ac:dyDescent="0.2">
      <c r="A638" s="38"/>
      <c r="B638" s="38"/>
      <c r="C638" s="8"/>
      <c r="D638" s="8"/>
      <c r="E638" s="8"/>
      <c r="F638" s="8"/>
    </row>
    <row r="639" spans="1:6" ht="12.75" customHeight="1" x14ac:dyDescent="0.2">
      <c r="A639" s="38"/>
      <c r="B639" s="38"/>
      <c r="C639" s="8"/>
      <c r="D639" s="8"/>
      <c r="E639" s="8"/>
      <c r="F639" s="8"/>
    </row>
    <row r="640" spans="1:6" ht="12.75" customHeight="1" x14ac:dyDescent="0.2">
      <c r="A640" s="38"/>
      <c r="B640" s="38"/>
      <c r="C640" s="8"/>
      <c r="D640" s="8"/>
      <c r="E640" s="8"/>
      <c r="F640" s="8"/>
    </row>
    <row r="641" spans="1:6" ht="12.75" customHeight="1" x14ac:dyDescent="0.2">
      <c r="A641" s="38"/>
      <c r="B641" s="38"/>
      <c r="C641" s="8"/>
      <c r="D641" s="8"/>
      <c r="E641" s="8"/>
      <c r="F641" s="8"/>
    </row>
    <row r="642" spans="1:6" ht="12.75" customHeight="1" x14ac:dyDescent="0.2">
      <c r="A642" s="38"/>
      <c r="B642" s="38"/>
      <c r="C642" s="8"/>
      <c r="D642" s="8"/>
      <c r="E642" s="8"/>
      <c r="F642" s="8"/>
    </row>
    <row r="643" spans="1:6" ht="12.75" customHeight="1" x14ac:dyDescent="0.2">
      <c r="A643" s="38"/>
      <c r="B643" s="38"/>
      <c r="C643" s="8"/>
      <c r="D643" s="8"/>
      <c r="E643" s="8"/>
      <c r="F643" s="8"/>
    </row>
    <row r="644" spans="1:6" ht="12.75" customHeight="1" x14ac:dyDescent="0.2">
      <c r="A644" s="38"/>
      <c r="B644" s="38"/>
      <c r="C644" s="8"/>
      <c r="D644" s="8"/>
      <c r="E644" s="8"/>
      <c r="F644" s="8"/>
    </row>
    <row r="645" spans="1:6" ht="12.75" customHeight="1" x14ac:dyDescent="0.2">
      <c r="A645" s="38"/>
      <c r="B645" s="38"/>
      <c r="C645" s="8"/>
      <c r="D645" s="8"/>
      <c r="E645" s="8"/>
      <c r="F645" s="8"/>
    </row>
    <row r="646" spans="1:6" ht="12.75" customHeight="1" x14ac:dyDescent="0.2">
      <c r="A646" s="38"/>
      <c r="B646" s="38"/>
      <c r="C646" s="8"/>
      <c r="D646" s="8"/>
      <c r="E646" s="8"/>
      <c r="F646" s="8"/>
    </row>
    <row r="647" spans="1:6" ht="12.75" customHeight="1" x14ac:dyDescent="0.2">
      <c r="A647" s="38"/>
      <c r="B647" s="38"/>
      <c r="C647" s="8"/>
      <c r="D647" s="8"/>
      <c r="E647" s="8"/>
      <c r="F647" s="8"/>
    </row>
    <row r="648" spans="1:6" ht="12.75" customHeight="1" x14ac:dyDescent="0.2">
      <c r="A648" s="38"/>
      <c r="B648" s="38"/>
      <c r="C648" s="8"/>
      <c r="D648" s="8"/>
      <c r="E648" s="8"/>
      <c r="F648" s="8"/>
    </row>
    <row r="649" spans="1:6" ht="12.75" customHeight="1" x14ac:dyDescent="0.2">
      <c r="A649" s="38"/>
      <c r="B649" s="38"/>
      <c r="C649" s="8"/>
      <c r="D649" s="8"/>
      <c r="E649" s="8"/>
      <c r="F649" s="8"/>
    </row>
    <row r="650" spans="1:6" ht="12.75" customHeight="1" x14ac:dyDescent="0.2">
      <c r="A650" s="38"/>
      <c r="B650" s="38"/>
      <c r="C650" s="8"/>
      <c r="D650" s="8"/>
      <c r="E650" s="8"/>
      <c r="F650" s="8"/>
    </row>
    <row r="651" spans="1:6" ht="12.75" customHeight="1" x14ac:dyDescent="0.2">
      <c r="A651" s="38"/>
      <c r="B651" s="38"/>
      <c r="C651" s="8"/>
      <c r="D651" s="8"/>
      <c r="E651" s="8"/>
      <c r="F651" s="8"/>
    </row>
    <row r="652" spans="1:6" ht="12.75" customHeight="1" x14ac:dyDescent="0.2">
      <c r="A652" s="38"/>
      <c r="B652" s="38"/>
      <c r="C652" s="8"/>
      <c r="D652" s="8"/>
      <c r="E652" s="8"/>
      <c r="F652" s="8"/>
    </row>
    <row r="653" spans="1:6" ht="12.75" customHeight="1" x14ac:dyDescent="0.2">
      <c r="A653" s="38"/>
      <c r="B653" s="38"/>
      <c r="C653" s="8"/>
      <c r="D653" s="8"/>
      <c r="E653" s="8"/>
      <c r="F653" s="8"/>
    </row>
    <row r="654" spans="1:6" ht="12.75" customHeight="1" x14ac:dyDescent="0.2">
      <c r="A654" s="38"/>
      <c r="B654" s="38"/>
      <c r="C654" s="8"/>
      <c r="D654" s="8"/>
      <c r="E654" s="8"/>
      <c r="F654" s="8"/>
    </row>
    <row r="655" spans="1:6" ht="12.75" customHeight="1" x14ac:dyDescent="0.2">
      <c r="A655" s="38"/>
      <c r="B655" s="38"/>
      <c r="C655" s="8"/>
      <c r="D655" s="8"/>
      <c r="E655" s="8"/>
      <c r="F655" s="8"/>
    </row>
    <row r="656" spans="1:6" ht="12.75" customHeight="1" x14ac:dyDescent="0.2">
      <c r="A656" s="38"/>
      <c r="B656" s="38"/>
      <c r="C656" s="8"/>
      <c r="D656" s="8"/>
      <c r="E656" s="8"/>
      <c r="F656" s="8"/>
    </row>
    <row r="657" spans="1:6" ht="12.75" customHeight="1" x14ac:dyDescent="0.2">
      <c r="A657" s="38"/>
      <c r="B657" s="38"/>
      <c r="C657" s="8"/>
      <c r="D657" s="8"/>
      <c r="E657" s="8"/>
      <c r="F657" s="8"/>
    </row>
    <row r="658" spans="1:6" ht="12.75" customHeight="1" x14ac:dyDescent="0.2">
      <c r="A658" s="38"/>
      <c r="B658" s="38"/>
      <c r="C658" s="8"/>
      <c r="D658" s="8"/>
      <c r="E658" s="8"/>
      <c r="F658" s="8"/>
    </row>
    <row r="659" spans="1:6" ht="12.75" customHeight="1" x14ac:dyDescent="0.2">
      <c r="A659" s="38"/>
      <c r="B659" s="38"/>
      <c r="C659" s="8"/>
      <c r="D659" s="8"/>
      <c r="E659" s="8"/>
      <c r="F659" s="8"/>
    </row>
    <row r="660" spans="1:6" ht="12.75" customHeight="1" x14ac:dyDescent="0.2">
      <c r="A660" s="38"/>
      <c r="B660" s="38"/>
      <c r="C660" s="8"/>
      <c r="D660" s="8"/>
      <c r="E660" s="8"/>
      <c r="F660" s="8"/>
    </row>
    <row r="661" spans="1:6" ht="12.75" customHeight="1" x14ac:dyDescent="0.2">
      <c r="A661" s="38"/>
      <c r="B661" s="38"/>
      <c r="C661" s="8"/>
      <c r="D661" s="8"/>
      <c r="E661" s="8"/>
      <c r="F661" s="8"/>
    </row>
    <row r="662" spans="1:6" ht="12.75" customHeight="1" x14ac:dyDescent="0.2">
      <c r="A662" s="38"/>
      <c r="B662" s="38"/>
      <c r="C662" s="8"/>
      <c r="D662" s="8"/>
      <c r="E662" s="8"/>
      <c r="F662" s="8"/>
    </row>
    <row r="663" spans="1:6" ht="12.75" customHeight="1" x14ac:dyDescent="0.2">
      <c r="A663" s="38"/>
      <c r="B663" s="38"/>
      <c r="C663" s="8"/>
      <c r="D663" s="8"/>
      <c r="E663" s="8"/>
      <c r="F663" s="8"/>
    </row>
    <row r="664" spans="1:6" ht="12.75" customHeight="1" x14ac:dyDescent="0.2">
      <c r="A664" s="38"/>
      <c r="B664" s="38"/>
      <c r="C664" s="8"/>
      <c r="D664" s="8"/>
      <c r="E664" s="8"/>
      <c r="F664" s="8"/>
    </row>
    <row r="665" spans="1:6" ht="12.75" customHeight="1" x14ac:dyDescent="0.2">
      <c r="A665" s="38"/>
      <c r="B665" s="38"/>
      <c r="C665" s="8"/>
      <c r="D665" s="8"/>
      <c r="E665" s="8"/>
      <c r="F665" s="8"/>
    </row>
    <row r="666" spans="1:6" ht="12.75" customHeight="1" x14ac:dyDescent="0.2">
      <c r="A666" s="38"/>
      <c r="B666" s="38"/>
      <c r="C666" s="8"/>
      <c r="D666" s="8"/>
      <c r="E666" s="8"/>
      <c r="F666" s="8"/>
    </row>
    <row r="667" spans="1:6" ht="12.75" customHeight="1" x14ac:dyDescent="0.2">
      <c r="A667" s="38"/>
      <c r="B667" s="38"/>
      <c r="C667" s="8"/>
      <c r="D667" s="8"/>
      <c r="E667" s="8"/>
      <c r="F667" s="8"/>
    </row>
    <row r="668" spans="1:6" ht="12.75" customHeight="1" x14ac:dyDescent="0.2">
      <c r="A668" s="38"/>
      <c r="B668" s="38"/>
      <c r="C668" s="8"/>
      <c r="D668" s="8"/>
      <c r="E668" s="8"/>
      <c r="F668" s="8"/>
    </row>
    <row r="669" spans="1:6" ht="12.75" customHeight="1" x14ac:dyDescent="0.2">
      <c r="A669" s="38"/>
      <c r="B669" s="38"/>
      <c r="C669" s="8"/>
      <c r="D669" s="8"/>
      <c r="E669" s="8"/>
      <c r="F669" s="8"/>
    </row>
    <row r="670" spans="1:6" ht="12.75" customHeight="1" x14ac:dyDescent="0.2">
      <c r="A670" s="38"/>
      <c r="B670" s="38"/>
      <c r="C670" s="8"/>
      <c r="D670" s="8"/>
      <c r="E670" s="8"/>
      <c r="F670" s="8"/>
    </row>
    <row r="671" spans="1:6" ht="12.75" customHeight="1" x14ac:dyDescent="0.2">
      <c r="A671" s="38"/>
      <c r="B671" s="38"/>
      <c r="C671" s="8"/>
      <c r="D671" s="8"/>
      <c r="E671" s="8"/>
      <c r="F671" s="8"/>
    </row>
    <row r="672" spans="1:6" ht="12.75" customHeight="1" x14ac:dyDescent="0.2">
      <c r="A672" s="38"/>
      <c r="B672" s="38"/>
      <c r="C672" s="8"/>
      <c r="D672" s="8"/>
      <c r="E672" s="8"/>
      <c r="F672" s="8"/>
    </row>
    <row r="673" spans="1:6" ht="12.75" customHeight="1" x14ac:dyDescent="0.2">
      <c r="A673" s="38"/>
      <c r="B673" s="38"/>
      <c r="C673" s="8"/>
      <c r="D673" s="8"/>
      <c r="E673" s="8"/>
      <c r="F673" s="8"/>
    </row>
    <row r="674" spans="1:6" ht="12.75" customHeight="1" x14ac:dyDescent="0.2">
      <c r="A674" s="38"/>
      <c r="B674" s="38"/>
      <c r="C674" s="8"/>
      <c r="D674" s="8"/>
      <c r="E674" s="8"/>
      <c r="F674" s="8"/>
    </row>
    <row r="675" spans="1:6" ht="12.75" customHeight="1" x14ac:dyDescent="0.2">
      <c r="A675" s="38"/>
      <c r="B675" s="38"/>
      <c r="C675" s="8"/>
      <c r="D675" s="8"/>
      <c r="E675" s="8"/>
      <c r="F675" s="8"/>
    </row>
    <row r="676" spans="1:6" ht="12.75" customHeight="1" x14ac:dyDescent="0.2">
      <c r="A676" s="38"/>
      <c r="B676" s="38"/>
      <c r="C676" s="8"/>
      <c r="D676" s="8"/>
      <c r="E676" s="8"/>
      <c r="F676" s="8"/>
    </row>
    <row r="677" spans="1:6" ht="12.75" customHeight="1" x14ac:dyDescent="0.2">
      <c r="A677" s="38"/>
      <c r="B677" s="38"/>
      <c r="C677" s="8"/>
      <c r="D677" s="8"/>
      <c r="E677" s="8"/>
      <c r="F677" s="8"/>
    </row>
    <row r="678" spans="1:6" ht="12.75" customHeight="1" x14ac:dyDescent="0.2">
      <c r="A678" s="38"/>
      <c r="B678" s="38"/>
      <c r="C678" s="8"/>
      <c r="D678" s="8"/>
      <c r="E678" s="8"/>
      <c r="F678" s="8"/>
    </row>
    <row r="679" spans="1:6" ht="12.75" customHeight="1" x14ac:dyDescent="0.2">
      <c r="A679" s="38"/>
      <c r="B679" s="38"/>
      <c r="C679" s="8"/>
      <c r="D679" s="8"/>
      <c r="E679" s="8"/>
      <c r="F679" s="8"/>
    </row>
    <row r="680" spans="1:6" ht="12.75" customHeight="1" x14ac:dyDescent="0.2">
      <c r="A680" s="38"/>
      <c r="B680" s="38"/>
      <c r="C680" s="8"/>
      <c r="D680" s="8"/>
      <c r="E680" s="8"/>
      <c r="F680" s="8"/>
    </row>
    <row r="681" spans="1:6" ht="12.75" customHeight="1" x14ac:dyDescent="0.2">
      <c r="A681" s="38"/>
      <c r="B681" s="38"/>
      <c r="C681" s="8"/>
      <c r="D681" s="8"/>
      <c r="E681" s="8"/>
      <c r="F681" s="8"/>
    </row>
    <row r="682" spans="1:6" ht="12.75" customHeight="1" x14ac:dyDescent="0.2">
      <c r="A682" s="38"/>
      <c r="B682" s="38"/>
      <c r="C682" s="8"/>
      <c r="D682" s="8"/>
      <c r="E682" s="8"/>
      <c r="F682" s="8"/>
    </row>
    <row r="683" spans="1:6" ht="12.75" customHeight="1" x14ac:dyDescent="0.2">
      <c r="A683" s="38"/>
      <c r="B683" s="38"/>
      <c r="C683" s="8"/>
      <c r="D683" s="8"/>
      <c r="E683" s="8"/>
      <c r="F683" s="8"/>
    </row>
    <row r="684" spans="1:6" ht="12.75" customHeight="1" x14ac:dyDescent="0.2">
      <c r="A684" s="38"/>
      <c r="B684" s="38"/>
      <c r="C684" s="8"/>
      <c r="D684" s="8"/>
      <c r="E684" s="8"/>
      <c r="F684" s="8"/>
    </row>
    <row r="685" spans="1:6" ht="12.75" customHeight="1" x14ac:dyDescent="0.2">
      <c r="A685" s="38"/>
      <c r="B685" s="38"/>
      <c r="C685" s="8"/>
      <c r="D685" s="8"/>
      <c r="E685" s="8"/>
      <c r="F685" s="8"/>
    </row>
    <row r="686" spans="1:6" ht="12.75" customHeight="1" x14ac:dyDescent="0.2">
      <c r="A686" s="38"/>
      <c r="B686" s="38"/>
      <c r="C686" s="8"/>
      <c r="D686" s="8"/>
      <c r="E686" s="8"/>
      <c r="F686" s="8"/>
    </row>
    <row r="687" spans="1:6" ht="12.75" customHeight="1" x14ac:dyDescent="0.2">
      <c r="A687" s="38"/>
      <c r="B687" s="38"/>
      <c r="C687" s="8"/>
      <c r="D687" s="8"/>
      <c r="E687" s="8"/>
      <c r="F687" s="8"/>
    </row>
    <row r="688" spans="1:6" ht="12.75" customHeight="1" x14ac:dyDescent="0.2">
      <c r="A688" s="38"/>
      <c r="B688" s="38"/>
      <c r="C688" s="8"/>
      <c r="D688" s="8"/>
      <c r="E688" s="8"/>
      <c r="F688" s="8"/>
    </row>
    <row r="689" spans="1:6" ht="12.75" customHeight="1" x14ac:dyDescent="0.2">
      <c r="A689" s="38"/>
      <c r="B689" s="38"/>
      <c r="C689" s="8"/>
      <c r="D689" s="8"/>
      <c r="E689" s="8"/>
      <c r="F689" s="8"/>
    </row>
    <row r="690" spans="1:6" ht="12.75" customHeight="1" x14ac:dyDescent="0.2">
      <c r="A690" s="38"/>
      <c r="B690" s="38"/>
      <c r="C690" s="8"/>
      <c r="D690" s="8"/>
      <c r="E690" s="8"/>
      <c r="F690" s="8"/>
    </row>
    <row r="691" spans="1:6" ht="12.75" customHeight="1" x14ac:dyDescent="0.2">
      <c r="A691" s="38"/>
      <c r="B691" s="38"/>
      <c r="C691" s="8"/>
      <c r="D691" s="8"/>
      <c r="E691" s="8"/>
      <c r="F691" s="8"/>
    </row>
    <row r="692" spans="1:6" ht="12.75" customHeight="1" x14ac:dyDescent="0.2">
      <c r="A692" s="38"/>
      <c r="B692" s="38"/>
      <c r="C692" s="8"/>
      <c r="D692" s="8"/>
      <c r="E692" s="8"/>
      <c r="F692" s="8"/>
    </row>
    <row r="693" spans="1:6" ht="12.75" customHeight="1" x14ac:dyDescent="0.2">
      <c r="A693" s="38"/>
      <c r="B693" s="38"/>
      <c r="C693" s="8"/>
      <c r="D693" s="8"/>
      <c r="E693" s="8"/>
      <c r="F693" s="8"/>
    </row>
    <row r="694" spans="1:6" ht="12.75" customHeight="1" x14ac:dyDescent="0.2">
      <c r="A694" s="38"/>
      <c r="B694" s="38"/>
      <c r="C694" s="8"/>
      <c r="D694" s="8"/>
      <c r="E694" s="8"/>
      <c r="F694" s="8"/>
    </row>
    <row r="695" spans="1:6" ht="12.75" customHeight="1" x14ac:dyDescent="0.2">
      <c r="A695" s="38"/>
      <c r="B695" s="38"/>
      <c r="C695" s="8"/>
      <c r="D695" s="8"/>
      <c r="E695" s="8"/>
      <c r="F695" s="8"/>
    </row>
    <row r="696" spans="1:6" ht="12.75" customHeight="1" x14ac:dyDescent="0.2">
      <c r="A696" s="38"/>
      <c r="B696" s="38"/>
      <c r="C696" s="8"/>
      <c r="D696" s="8"/>
      <c r="E696" s="8"/>
      <c r="F696" s="8"/>
    </row>
    <row r="697" spans="1:6" ht="12.75" customHeight="1" x14ac:dyDescent="0.2">
      <c r="A697" s="38"/>
      <c r="B697" s="38"/>
      <c r="C697" s="8"/>
      <c r="D697" s="8"/>
      <c r="E697" s="8"/>
      <c r="F697" s="8"/>
    </row>
    <row r="698" spans="1:6" ht="12.75" customHeight="1" x14ac:dyDescent="0.2">
      <c r="A698" s="38"/>
      <c r="B698" s="38"/>
      <c r="C698" s="8"/>
      <c r="D698" s="8"/>
      <c r="E698" s="8"/>
      <c r="F698" s="8"/>
    </row>
    <row r="699" spans="1:6" ht="12.75" customHeight="1" x14ac:dyDescent="0.2">
      <c r="A699" s="38"/>
      <c r="B699" s="38"/>
      <c r="C699" s="8"/>
      <c r="D699" s="8"/>
      <c r="E699" s="8"/>
      <c r="F699" s="8"/>
    </row>
    <row r="700" spans="1:6" ht="12.75" customHeight="1" x14ac:dyDescent="0.2">
      <c r="A700" s="38"/>
      <c r="B700" s="38"/>
      <c r="C700" s="8"/>
      <c r="D700" s="8"/>
      <c r="E700" s="8"/>
      <c r="F700" s="8"/>
    </row>
    <row r="701" spans="1:6" ht="12.75" customHeight="1" x14ac:dyDescent="0.2">
      <c r="A701" s="38"/>
      <c r="B701" s="38"/>
      <c r="C701" s="8"/>
      <c r="D701" s="8"/>
      <c r="E701" s="8"/>
      <c r="F701" s="8"/>
    </row>
    <row r="702" spans="1:6" ht="12.75" customHeight="1" x14ac:dyDescent="0.2">
      <c r="A702" s="38"/>
      <c r="B702" s="38"/>
      <c r="C702" s="8"/>
      <c r="D702" s="8"/>
      <c r="E702" s="8"/>
      <c r="F702" s="8"/>
    </row>
    <row r="703" spans="1:6" ht="12.75" customHeight="1" x14ac:dyDescent="0.2">
      <c r="A703" s="38"/>
      <c r="B703" s="38"/>
      <c r="C703" s="8"/>
      <c r="D703" s="8"/>
      <c r="E703" s="8"/>
      <c r="F703" s="8"/>
    </row>
    <row r="704" spans="1:6" ht="12.75" customHeight="1" x14ac:dyDescent="0.2">
      <c r="A704" s="38"/>
      <c r="B704" s="38"/>
      <c r="C704" s="8"/>
      <c r="D704" s="8"/>
      <c r="E704" s="8"/>
      <c r="F704" s="8"/>
    </row>
    <row r="705" spans="1:6" ht="12.75" customHeight="1" x14ac:dyDescent="0.2">
      <c r="A705" s="38"/>
      <c r="B705" s="38"/>
      <c r="C705" s="8"/>
      <c r="D705" s="8"/>
      <c r="E705" s="8"/>
      <c r="F705" s="8"/>
    </row>
    <row r="706" spans="1:6" ht="12.75" customHeight="1" x14ac:dyDescent="0.2">
      <c r="A706" s="38"/>
      <c r="B706" s="38"/>
      <c r="C706" s="8"/>
      <c r="D706" s="8"/>
      <c r="E706" s="8"/>
      <c r="F706" s="8"/>
    </row>
    <row r="707" spans="1:6" ht="12.75" customHeight="1" x14ac:dyDescent="0.2">
      <c r="A707" s="38"/>
      <c r="B707" s="38"/>
      <c r="C707" s="8"/>
      <c r="D707" s="8"/>
      <c r="E707" s="8"/>
      <c r="F707" s="8"/>
    </row>
    <row r="708" spans="1:6" ht="12.75" customHeight="1" x14ac:dyDescent="0.2">
      <c r="A708" s="38"/>
      <c r="B708" s="38"/>
      <c r="C708" s="8"/>
      <c r="D708" s="8"/>
      <c r="E708" s="8"/>
      <c r="F708" s="8"/>
    </row>
    <row r="709" spans="1:6" ht="12.75" customHeight="1" x14ac:dyDescent="0.2">
      <c r="A709" s="38"/>
      <c r="B709" s="38"/>
      <c r="C709" s="8"/>
      <c r="D709" s="8"/>
      <c r="E709" s="8"/>
      <c r="F709" s="8"/>
    </row>
    <row r="710" spans="1:6" ht="12.75" customHeight="1" x14ac:dyDescent="0.2">
      <c r="A710" s="38"/>
      <c r="B710" s="38"/>
      <c r="C710" s="8"/>
      <c r="D710" s="8"/>
      <c r="E710" s="8"/>
      <c r="F710" s="8"/>
    </row>
    <row r="711" spans="1:6" ht="12.75" customHeight="1" x14ac:dyDescent="0.2">
      <c r="A711" s="38"/>
      <c r="B711" s="38"/>
      <c r="C711" s="8"/>
      <c r="D711" s="8"/>
      <c r="E711" s="8"/>
      <c r="F711" s="8"/>
    </row>
    <row r="712" spans="1:6" ht="12.75" customHeight="1" x14ac:dyDescent="0.2">
      <c r="A712" s="38"/>
      <c r="B712" s="38"/>
      <c r="C712" s="8"/>
      <c r="D712" s="8"/>
      <c r="E712" s="8"/>
      <c r="F712" s="8"/>
    </row>
    <row r="713" spans="1:6" ht="12.75" customHeight="1" x14ac:dyDescent="0.2">
      <c r="A713" s="38"/>
      <c r="B713" s="38"/>
      <c r="C713" s="8"/>
      <c r="D713" s="8"/>
      <c r="E713" s="8"/>
      <c r="F713" s="8"/>
    </row>
    <row r="714" spans="1:6" ht="12.75" customHeight="1" x14ac:dyDescent="0.2">
      <c r="A714" s="38"/>
      <c r="B714" s="38"/>
      <c r="C714" s="8"/>
      <c r="D714" s="8"/>
      <c r="E714" s="8"/>
      <c r="F714" s="8"/>
    </row>
    <row r="715" spans="1:6" ht="12.75" customHeight="1" x14ac:dyDescent="0.2">
      <c r="A715" s="38"/>
      <c r="B715" s="38"/>
      <c r="C715" s="8"/>
      <c r="D715" s="8"/>
      <c r="E715" s="8"/>
      <c r="F715" s="8"/>
    </row>
    <row r="716" spans="1:6" ht="12.75" customHeight="1" x14ac:dyDescent="0.2">
      <c r="A716" s="38"/>
      <c r="B716" s="38"/>
      <c r="C716" s="8"/>
      <c r="D716" s="8"/>
      <c r="E716" s="8"/>
      <c r="F716" s="8"/>
    </row>
    <row r="717" spans="1:6" ht="12.75" customHeight="1" x14ac:dyDescent="0.2">
      <c r="A717" s="38"/>
      <c r="B717" s="38"/>
      <c r="C717" s="8"/>
      <c r="D717" s="8"/>
      <c r="E717" s="8"/>
      <c r="F717" s="8"/>
    </row>
    <row r="718" spans="1:6" ht="12.75" customHeight="1" x14ac:dyDescent="0.2">
      <c r="A718" s="38"/>
      <c r="B718" s="38"/>
      <c r="C718" s="8"/>
      <c r="D718" s="8"/>
      <c r="E718" s="8"/>
      <c r="F718" s="8"/>
    </row>
    <row r="719" spans="1:6" ht="12.75" customHeight="1" x14ac:dyDescent="0.2">
      <c r="A719" s="38"/>
      <c r="B719" s="38"/>
      <c r="C719" s="8"/>
      <c r="D719" s="8"/>
      <c r="E719" s="8"/>
      <c r="F719" s="8"/>
    </row>
    <row r="720" spans="1:6" ht="12.75" customHeight="1" x14ac:dyDescent="0.2">
      <c r="A720" s="38"/>
      <c r="B720" s="38"/>
      <c r="C720" s="8"/>
      <c r="D720" s="8"/>
      <c r="E720" s="8"/>
      <c r="F720" s="8"/>
    </row>
    <row r="721" spans="1:6" ht="12.75" customHeight="1" x14ac:dyDescent="0.2">
      <c r="A721" s="38"/>
      <c r="B721" s="38"/>
      <c r="C721" s="8"/>
      <c r="D721" s="8"/>
      <c r="E721" s="8"/>
      <c r="F721" s="8"/>
    </row>
    <row r="722" spans="1:6" ht="12.75" customHeight="1" x14ac:dyDescent="0.2">
      <c r="A722" s="38"/>
      <c r="B722" s="38"/>
      <c r="C722" s="8"/>
      <c r="D722" s="8"/>
      <c r="E722" s="8"/>
      <c r="F722" s="8"/>
    </row>
    <row r="723" spans="1:6" ht="12.75" customHeight="1" x14ac:dyDescent="0.2">
      <c r="A723" s="38"/>
      <c r="B723" s="38"/>
      <c r="C723" s="8"/>
      <c r="D723" s="8"/>
      <c r="E723" s="8"/>
      <c r="F723" s="8"/>
    </row>
    <row r="724" spans="1:6" ht="12.75" customHeight="1" x14ac:dyDescent="0.2">
      <c r="A724" s="38"/>
      <c r="B724" s="38"/>
      <c r="C724" s="8"/>
      <c r="D724" s="8"/>
      <c r="E724" s="8"/>
      <c r="F724" s="8"/>
    </row>
    <row r="725" spans="1:6" ht="12.75" customHeight="1" x14ac:dyDescent="0.2">
      <c r="A725" s="38"/>
      <c r="B725" s="38"/>
      <c r="C725" s="8"/>
      <c r="D725" s="8"/>
      <c r="E725" s="8"/>
      <c r="F725" s="8"/>
    </row>
    <row r="726" spans="1:6" ht="12.75" customHeight="1" x14ac:dyDescent="0.2">
      <c r="A726" s="38"/>
      <c r="B726" s="38"/>
      <c r="C726" s="8"/>
      <c r="D726" s="8"/>
      <c r="E726" s="8"/>
      <c r="F726" s="8"/>
    </row>
    <row r="727" spans="1:6" ht="12.75" customHeight="1" x14ac:dyDescent="0.2">
      <c r="A727" s="38"/>
      <c r="B727" s="38"/>
      <c r="C727" s="8"/>
      <c r="D727" s="8"/>
      <c r="E727" s="8"/>
      <c r="F727" s="8"/>
    </row>
    <row r="728" spans="1:6" ht="12.75" customHeight="1" x14ac:dyDescent="0.2">
      <c r="A728" s="38"/>
      <c r="B728" s="38"/>
      <c r="C728" s="8"/>
      <c r="D728" s="8"/>
      <c r="E728" s="8"/>
      <c r="F728" s="8"/>
    </row>
    <row r="729" spans="1:6" ht="12.75" customHeight="1" x14ac:dyDescent="0.2">
      <c r="A729" s="38"/>
      <c r="B729" s="38"/>
      <c r="C729" s="8"/>
      <c r="D729" s="8"/>
      <c r="E729" s="8"/>
      <c r="F729" s="8"/>
    </row>
    <row r="730" spans="1:6" ht="12.75" customHeight="1" x14ac:dyDescent="0.2">
      <c r="A730" s="38"/>
      <c r="B730" s="38"/>
      <c r="C730" s="8"/>
      <c r="D730" s="8"/>
      <c r="E730" s="8"/>
      <c r="F730" s="8"/>
    </row>
    <row r="731" spans="1:6" ht="12.75" customHeight="1" x14ac:dyDescent="0.2">
      <c r="A731" s="38"/>
      <c r="B731" s="38"/>
      <c r="C731" s="8"/>
      <c r="D731" s="8"/>
      <c r="E731" s="8"/>
      <c r="F731" s="8"/>
    </row>
    <row r="732" spans="1:6" ht="12.75" customHeight="1" x14ac:dyDescent="0.2">
      <c r="A732" s="38"/>
      <c r="B732" s="38"/>
      <c r="C732" s="8"/>
      <c r="D732" s="8"/>
      <c r="E732" s="8"/>
      <c r="F732" s="8"/>
    </row>
    <row r="733" spans="1:6" ht="12.75" customHeight="1" x14ac:dyDescent="0.2">
      <c r="A733" s="38"/>
      <c r="B733" s="38"/>
      <c r="C733" s="8"/>
      <c r="D733" s="8"/>
      <c r="E733" s="8"/>
      <c r="F733" s="8"/>
    </row>
    <row r="734" spans="1:6" ht="12.75" customHeight="1" x14ac:dyDescent="0.2">
      <c r="A734" s="38"/>
      <c r="B734" s="38"/>
      <c r="C734" s="8"/>
      <c r="D734" s="8"/>
      <c r="E734" s="8"/>
      <c r="F734" s="8"/>
    </row>
    <row r="735" spans="1:6" ht="12.75" customHeight="1" x14ac:dyDescent="0.2">
      <c r="A735" s="38"/>
      <c r="B735" s="38"/>
      <c r="C735" s="8"/>
      <c r="D735" s="8"/>
      <c r="E735" s="8"/>
      <c r="F735" s="8"/>
    </row>
    <row r="736" spans="1:6" ht="12.75" customHeight="1" x14ac:dyDescent="0.2">
      <c r="A736" s="38"/>
      <c r="B736" s="38"/>
      <c r="C736" s="8"/>
      <c r="D736" s="8"/>
      <c r="E736" s="8"/>
      <c r="F736" s="8"/>
    </row>
    <row r="737" spans="1:6" ht="12.75" customHeight="1" x14ac:dyDescent="0.2">
      <c r="A737" s="38"/>
      <c r="B737" s="38"/>
      <c r="C737" s="8"/>
      <c r="D737" s="8"/>
      <c r="E737" s="8"/>
      <c r="F737" s="8"/>
    </row>
    <row r="738" spans="1:6" ht="12.75" customHeight="1" x14ac:dyDescent="0.2">
      <c r="A738" s="38"/>
      <c r="B738" s="38"/>
      <c r="C738" s="8"/>
      <c r="D738" s="8"/>
      <c r="E738" s="8"/>
      <c r="F738" s="8"/>
    </row>
    <row r="739" spans="1:6" ht="12.75" customHeight="1" x14ac:dyDescent="0.2">
      <c r="A739" s="38"/>
      <c r="B739" s="38"/>
      <c r="C739" s="8"/>
      <c r="D739" s="8"/>
      <c r="E739" s="8"/>
      <c r="F739" s="8"/>
    </row>
    <row r="740" spans="1:6" ht="12.75" customHeight="1" x14ac:dyDescent="0.2">
      <c r="A740" s="38"/>
      <c r="B740" s="38"/>
      <c r="C740" s="8"/>
      <c r="D740" s="8"/>
      <c r="E740" s="8"/>
      <c r="F740" s="8"/>
    </row>
    <row r="741" spans="1:6" ht="12.75" customHeight="1" x14ac:dyDescent="0.2">
      <c r="A741" s="38"/>
      <c r="B741" s="38"/>
      <c r="C741" s="8"/>
      <c r="D741" s="8"/>
      <c r="E741" s="8"/>
      <c r="F741" s="8"/>
    </row>
    <row r="742" spans="1:6" ht="12.75" customHeight="1" x14ac:dyDescent="0.2">
      <c r="A742" s="38"/>
      <c r="B742" s="38"/>
      <c r="C742" s="8"/>
      <c r="D742" s="8"/>
      <c r="E742" s="8"/>
      <c r="F742" s="8"/>
    </row>
    <row r="743" spans="1:6" ht="12.75" customHeight="1" x14ac:dyDescent="0.2">
      <c r="A743" s="38"/>
      <c r="B743" s="38"/>
      <c r="C743" s="8"/>
      <c r="D743" s="8"/>
      <c r="E743" s="8"/>
      <c r="F743" s="8"/>
    </row>
    <row r="744" spans="1:6" ht="12.75" customHeight="1" x14ac:dyDescent="0.2">
      <c r="A744" s="38"/>
      <c r="B744" s="38"/>
      <c r="C744" s="8"/>
      <c r="D744" s="8"/>
      <c r="E744" s="8"/>
      <c r="F744" s="8"/>
    </row>
    <row r="745" spans="1:6" ht="12.75" customHeight="1" x14ac:dyDescent="0.2">
      <c r="A745" s="38"/>
      <c r="B745" s="38"/>
      <c r="C745" s="8"/>
      <c r="D745" s="8"/>
      <c r="E745" s="8"/>
      <c r="F745" s="8"/>
    </row>
    <row r="746" spans="1:6" ht="12.75" customHeight="1" x14ac:dyDescent="0.2">
      <c r="A746" s="38"/>
      <c r="B746" s="38"/>
      <c r="C746" s="8"/>
      <c r="D746" s="8"/>
      <c r="E746" s="8"/>
      <c r="F746" s="8"/>
    </row>
    <row r="747" spans="1:6" ht="12.75" customHeight="1" x14ac:dyDescent="0.2">
      <c r="A747" s="38"/>
      <c r="B747" s="38"/>
      <c r="C747" s="8"/>
      <c r="D747" s="8"/>
      <c r="E747" s="8"/>
      <c r="F747" s="8"/>
    </row>
    <row r="748" spans="1:6" ht="12.75" customHeight="1" x14ac:dyDescent="0.2">
      <c r="A748" s="38"/>
      <c r="B748" s="38"/>
      <c r="C748" s="8"/>
      <c r="D748" s="8"/>
      <c r="E748" s="8"/>
      <c r="F748" s="8"/>
    </row>
    <row r="749" spans="1:6" ht="12.75" customHeight="1" x14ac:dyDescent="0.2">
      <c r="A749" s="38"/>
      <c r="B749" s="38"/>
      <c r="C749" s="8"/>
      <c r="D749" s="8"/>
      <c r="E749" s="8"/>
      <c r="F749" s="8"/>
    </row>
    <row r="750" spans="1:6" ht="12.75" customHeight="1" x14ac:dyDescent="0.2">
      <c r="A750" s="38"/>
      <c r="B750" s="38"/>
      <c r="C750" s="8"/>
      <c r="D750" s="8"/>
      <c r="E750" s="8"/>
      <c r="F750" s="8"/>
    </row>
    <row r="751" spans="1:6" ht="12.75" customHeight="1" x14ac:dyDescent="0.2">
      <c r="A751" s="38"/>
      <c r="B751" s="38"/>
      <c r="C751" s="8"/>
      <c r="D751" s="8"/>
      <c r="E751" s="8"/>
      <c r="F751" s="8"/>
    </row>
    <row r="752" spans="1:6" ht="12.75" customHeight="1" x14ac:dyDescent="0.2">
      <c r="A752" s="38"/>
      <c r="B752" s="38"/>
      <c r="C752" s="8"/>
      <c r="D752" s="8"/>
      <c r="E752" s="8"/>
      <c r="F752" s="8"/>
    </row>
    <row r="753" spans="1:6" ht="12.75" customHeight="1" x14ac:dyDescent="0.2">
      <c r="A753" s="38"/>
      <c r="B753" s="38"/>
      <c r="C753" s="8"/>
      <c r="D753" s="8"/>
      <c r="E753" s="8"/>
      <c r="F753" s="8"/>
    </row>
    <row r="754" spans="1:6" ht="12.75" customHeight="1" x14ac:dyDescent="0.2">
      <c r="A754" s="38"/>
      <c r="B754" s="38"/>
      <c r="C754" s="8"/>
      <c r="D754" s="8"/>
      <c r="E754" s="8"/>
      <c r="F754" s="8"/>
    </row>
    <row r="755" spans="1:6" ht="12.75" customHeight="1" x14ac:dyDescent="0.2">
      <c r="A755" s="38"/>
      <c r="B755" s="38"/>
      <c r="C755" s="8"/>
      <c r="D755" s="8"/>
      <c r="E755" s="8"/>
      <c r="F755" s="8"/>
    </row>
    <row r="756" spans="1:6" ht="12.75" customHeight="1" x14ac:dyDescent="0.2">
      <c r="A756" s="38"/>
      <c r="B756" s="38"/>
      <c r="C756" s="8"/>
      <c r="D756" s="8"/>
      <c r="E756" s="8"/>
      <c r="F756" s="8"/>
    </row>
    <row r="757" spans="1:6" ht="12.75" customHeight="1" x14ac:dyDescent="0.2">
      <c r="A757" s="38"/>
      <c r="B757" s="38"/>
      <c r="C757" s="8"/>
      <c r="D757" s="8"/>
      <c r="E757" s="8"/>
      <c r="F757" s="8"/>
    </row>
    <row r="758" spans="1:6" ht="12.75" customHeight="1" x14ac:dyDescent="0.2">
      <c r="A758" s="38"/>
      <c r="B758" s="38"/>
      <c r="C758" s="8"/>
      <c r="D758" s="8"/>
      <c r="E758" s="8"/>
      <c r="F758" s="8"/>
    </row>
    <row r="759" spans="1:6" ht="12.75" customHeight="1" x14ac:dyDescent="0.2">
      <c r="A759" s="38"/>
      <c r="B759" s="38"/>
      <c r="C759" s="8"/>
      <c r="D759" s="8"/>
      <c r="E759" s="8"/>
      <c r="F759" s="8"/>
    </row>
    <row r="760" spans="1:6" ht="12.75" customHeight="1" x14ac:dyDescent="0.2">
      <c r="A760" s="38"/>
      <c r="B760" s="38"/>
      <c r="C760" s="8"/>
      <c r="D760" s="8"/>
      <c r="E760" s="8"/>
      <c r="F760" s="8"/>
    </row>
    <row r="761" spans="1:6" ht="12.75" customHeight="1" x14ac:dyDescent="0.2">
      <c r="A761" s="38"/>
      <c r="B761" s="38"/>
      <c r="C761" s="8"/>
      <c r="D761" s="8"/>
      <c r="E761" s="8"/>
      <c r="F761" s="8"/>
    </row>
    <row r="762" spans="1:6" ht="12.75" customHeight="1" x14ac:dyDescent="0.2">
      <c r="A762" s="38"/>
      <c r="B762" s="38"/>
      <c r="C762" s="8"/>
      <c r="D762" s="8"/>
      <c r="E762" s="8"/>
      <c r="F762" s="8"/>
    </row>
    <row r="763" spans="1:6" ht="12.75" customHeight="1" x14ac:dyDescent="0.2">
      <c r="A763" s="38"/>
      <c r="B763" s="38"/>
      <c r="C763" s="8"/>
      <c r="D763" s="8"/>
      <c r="E763" s="8"/>
      <c r="F763" s="8"/>
    </row>
    <row r="764" spans="1:6" ht="12.75" customHeight="1" x14ac:dyDescent="0.2">
      <c r="A764" s="38"/>
      <c r="B764" s="38"/>
      <c r="C764" s="8"/>
      <c r="D764" s="8"/>
      <c r="E764" s="8"/>
      <c r="F764" s="8"/>
    </row>
    <row r="765" spans="1:6" ht="12.75" customHeight="1" x14ac:dyDescent="0.2">
      <c r="A765" s="38"/>
      <c r="B765" s="38"/>
      <c r="C765" s="8"/>
      <c r="D765" s="8"/>
      <c r="E765" s="8"/>
      <c r="F765" s="8"/>
    </row>
    <row r="766" spans="1:6" ht="12.75" customHeight="1" x14ac:dyDescent="0.2">
      <c r="A766" s="38"/>
      <c r="B766" s="38"/>
      <c r="C766" s="8"/>
      <c r="D766" s="8"/>
      <c r="E766" s="8"/>
      <c r="F766" s="8"/>
    </row>
    <row r="767" spans="1:6" ht="12.75" customHeight="1" x14ac:dyDescent="0.2">
      <c r="A767" s="38"/>
      <c r="B767" s="38"/>
      <c r="C767" s="8"/>
      <c r="D767" s="8"/>
      <c r="E767" s="8"/>
      <c r="F767" s="8"/>
    </row>
    <row r="768" spans="1:6" ht="12.75" customHeight="1" x14ac:dyDescent="0.2">
      <c r="A768" s="38"/>
      <c r="B768" s="38"/>
      <c r="C768" s="8"/>
      <c r="D768" s="8"/>
      <c r="E768" s="8"/>
      <c r="F768" s="8"/>
    </row>
    <row r="769" spans="1:6" ht="12.75" customHeight="1" x14ac:dyDescent="0.2">
      <c r="A769" s="38"/>
      <c r="B769" s="38"/>
      <c r="C769" s="8"/>
      <c r="D769" s="8"/>
      <c r="E769" s="8"/>
      <c r="F769" s="8"/>
    </row>
    <row r="770" spans="1:6" ht="12.75" customHeight="1" x14ac:dyDescent="0.2">
      <c r="A770" s="38"/>
      <c r="B770" s="38"/>
      <c r="C770" s="8"/>
      <c r="D770" s="8"/>
      <c r="E770" s="8"/>
      <c r="F770" s="8"/>
    </row>
    <row r="771" spans="1:6" ht="12.75" customHeight="1" x14ac:dyDescent="0.2">
      <c r="A771" s="38"/>
      <c r="B771" s="38"/>
      <c r="C771" s="8"/>
      <c r="D771" s="8"/>
      <c r="E771" s="8"/>
      <c r="F771" s="8"/>
    </row>
    <row r="772" spans="1:6" ht="12.75" customHeight="1" x14ac:dyDescent="0.2">
      <c r="A772" s="38"/>
      <c r="B772" s="38"/>
      <c r="C772" s="8"/>
      <c r="D772" s="8"/>
      <c r="E772" s="8"/>
      <c r="F772" s="8"/>
    </row>
    <row r="773" spans="1:6" ht="12.75" customHeight="1" x14ac:dyDescent="0.2">
      <c r="A773" s="38"/>
      <c r="B773" s="38"/>
      <c r="C773" s="8"/>
      <c r="D773" s="8"/>
      <c r="E773" s="8"/>
      <c r="F773" s="8"/>
    </row>
    <row r="774" spans="1:6" ht="12.75" customHeight="1" x14ac:dyDescent="0.2">
      <c r="A774" s="38"/>
      <c r="B774" s="38"/>
      <c r="C774" s="8"/>
      <c r="D774" s="8"/>
      <c r="E774" s="8"/>
      <c r="F774" s="8"/>
    </row>
    <row r="775" spans="1:6" ht="12.75" customHeight="1" x14ac:dyDescent="0.2">
      <c r="A775" s="38"/>
      <c r="B775" s="38"/>
      <c r="C775" s="8"/>
      <c r="D775" s="8"/>
      <c r="E775" s="8"/>
      <c r="F775" s="8"/>
    </row>
    <row r="776" spans="1:6" ht="12.75" customHeight="1" x14ac:dyDescent="0.2">
      <c r="A776" s="38"/>
      <c r="B776" s="38"/>
      <c r="C776" s="8"/>
      <c r="D776" s="8"/>
      <c r="E776" s="8"/>
      <c r="F776" s="8"/>
    </row>
    <row r="777" spans="1:6" ht="12.75" customHeight="1" x14ac:dyDescent="0.2">
      <c r="A777" s="38"/>
      <c r="B777" s="38"/>
      <c r="C777" s="8"/>
      <c r="D777" s="8"/>
      <c r="E777" s="8"/>
      <c r="F777" s="8"/>
    </row>
    <row r="778" spans="1:6" ht="12.75" customHeight="1" x14ac:dyDescent="0.2">
      <c r="A778" s="38"/>
      <c r="B778" s="38"/>
      <c r="C778" s="8"/>
      <c r="D778" s="8"/>
      <c r="E778" s="8"/>
      <c r="F778" s="8"/>
    </row>
    <row r="779" spans="1:6" ht="12.75" customHeight="1" x14ac:dyDescent="0.2">
      <c r="A779" s="38"/>
      <c r="B779" s="38"/>
      <c r="C779" s="8"/>
      <c r="D779" s="8"/>
      <c r="E779" s="8"/>
      <c r="F779" s="8"/>
    </row>
    <row r="780" spans="1:6" ht="12.75" customHeight="1" x14ac:dyDescent="0.2">
      <c r="A780" s="38"/>
      <c r="B780" s="38"/>
      <c r="C780" s="8"/>
      <c r="D780" s="8"/>
      <c r="E780" s="8"/>
      <c r="F780" s="8"/>
    </row>
    <row r="781" spans="1:6" ht="12.75" customHeight="1" x14ac:dyDescent="0.2">
      <c r="A781" s="38"/>
      <c r="B781" s="38"/>
      <c r="C781" s="8"/>
      <c r="D781" s="8"/>
      <c r="E781" s="8"/>
      <c r="F781" s="8"/>
    </row>
    <row r="782" spans="1:6" ht="12.75" customHeight="1" x14ac:dyDescent="0.2">
      <c r="A782" s="38"/>
      <c r="B782" s="38"/>
      <c r="C782" s="8"/>
      <c r="D782" s="8"/>
      <c r="E782" s="8"/>
      <c r="F782" s="8"/>
    </row>
    <row r="783" spans="1:6" ht="12.75" customHeight="1" x14ac:dyDescent="0.2">
      <c r="A783" s="38"/>
      <c r="B783" s="38"/>
      <c r="C783" s="8"/>
      <c r="D783" s="8"/>
      <c r="E783" s="8"/>
      <c r="F783" s="8"/>
    </row>
    <row r="784" spans="1:6" ht="12.75" customHeight="1" x14ac:dyDescent="0.2">
      <c r="A784" s="38"/>
      <c r="B784" s="38"/>
      <c r="C784" s="8"/>
      <c r="D784" s="8"/>
      <c r="E784" s="8"/>
      <c r="F784" s="8"/>
    </row>
    <row r="785" spans="1:6" ht="12.75" customHeight="1" x14ac:dyDescent="0.2">
      <c r="A785" s="38"/>
      <c r="B785" s="38"/>
      <c r="C785" s="8"/>
      <c r="D785" s="8"/>
      <c r="E785" s="8"/>
      <c r="F785" s="8"/>
    </row>
    <row r="786" spans="1:6" ht="12.75" customHeight="1" x14ac:dyDescent="0.2">
      <c r="A786" s="38"/>
      <c r="B786" s="38"/>
      <c r="C786" s="8"/>
      <c r="D786" s="8"/>
      <c r="E786" s="8"/>
      <c r="F786" s="8"/>
    </row>
    <row r="787" spans="1:6" ht="12.75" customHeight="1" x14ac:dyDescent="0.2">
      <c r="A787" s="38"/>
      <c r="B787" s="38"/>
      <c r="C787" s="8"/>
      <c r="D787" s="8"/>
      <c r="E787" s="8"/>
      <c r="F787" s="8"/>
    </row>
    <row r="788" spans="1:6" ht="12.75" customHeight="1" x14ac:dyDescent="0.2">
      <c r="A788" s="38"/>
      <c r="B788" s="38"/>
      <c r="C788" s="8"/>
      <c r="D788" s="8"/>
      <c r="E788" s="8"/>
      <c r="F788" s="8"/>
    </row>
    <row r="789" spans="1:6" ht="12.75" customHeight="1" x14ac:dyDescent="0.2">
      <c r="A789" s="38"/>
      <c r="B789" s="38"/>
      <c r="C789" s="8"/>
      <c r="D789" s="8"/>
      <c r="E789" s="8"/>
      <c r="F789" s="8"/>
    </row>
    <row r="790" spans="1:6" ht="12.75" customHeight="1" x14ac:dyDescent="0.2">
      <c r="A790" s="38"/>
      <c r="B790" s="38"/>
      <c r="C790" s="8"/>
      <c r="D790" s="8"/>
      <c r="E790" s="8"/>
      <c r="F790" s="8"/>
    </row>
    <row r="791" spans="1:6" ht="12.75" customHeight="1" x14ac:dyDescent="0.2">
      <c r="A791" s="38"/>
      <c r="B791" s="38"/>
      <c r="C791" s="8"/>
      <c r="D791" s="8"/>
      <c r="E791" s="8"/>
      <c r="F791" s="8"/>
    </row>
    <row r="792" spans="1:6" ht="12.75" customHeight="1" x14ac:dyDescent="0.2">
      <c r="A792" s="38"/>
      <c r="B792" s="38"/>
      <c r="C792" s="8"/>
      <c r="D792" s="8"/>
      <c r="E792" s="8"/>
      <c r="F792" s="8"/>
    </row>
    <row r="793" spans="1:6" ht="12.75" customHeight="1" x14ac:dyDescent="0.2">
      <c r="A793" s="38"/>
      <c r="B793" s="38"/>
      <c r="C793" s="8"/>
      <c r="D793" s="8"/>
      <c r="E793" s="8"/>
      <c r="F793" s="8"/>
    </row>
    <row r="794" spans="1:6" ht="12.75" customHeight="1" x14ac:dyDescent="0.2">
      <c r="A794" s="38"/>
      <c r="B794" s="38"/>
      <c r="C794" s="8"/>
      <c r="D794" s="8"/>
      <c r="E794" s="8"/>
      <c r="F794" s="8"/>
    </row>
    <row r="795" spans="1:6" ht="12.75" customHeight="1" x14ac:dyDescent="0.2">
      <c r="A795" s="38"/>
      <c r="B795" s="38"/>
      <c r="C795" s="8"/>
      <c r="D795" s="8"/>
      <c r="E795" s="8"/>
      <c r="F795" s="8"/>
    </row>
    <row r="796" spans="1:6" ht="12.75" customHeight="1" x14ac:dyDescent="0.2">
      <c r="A796" s="38"/>
      <c r="B796" s="38"/>
      <c r="C796" s="8"/>
      <c r="D796" s="8"/>
      <c r="E796" s="8"/>
      <c r="F796" s="8"/>
    </row>
    <row r="797" spans="1:6" ht="12.75" customHeight="1" x14ac:dyDescent="0.2">
      <c r="A797" s="38"/>
      <c r="B797" s="38"/>
      <c r="C797" s="8"/>
      <c r="D797" s="8"/>
      <c r="E797" s="8"/>
      <c r="F797" s="8"/>
    </row>
    <row r="798" spans="1:6" ht="12.75" customHeight="1" x14ac:dyDescent="0.2">
      <c r="A798" s="38"/>
      <c r="B798" s="38"/>
      <c r="C798" s="8"/>
      <c r="D798" s="8"/>
      <c r="E798" s="8"/>
      <c r="F798" s="8"/>
    </row>
    <row r="799" spans="1:6" ht="12.75" customHeight="1" x14ac:dyDescent="0.2">
      <c r="A799" s="38"/>
      <c r="B799" s="38"/>
      <c r="C799" s="8"/>
      <c r="D799" s="8"/>
      <c r="E799" s="8"/>
      <c r="F799" s="8"/>
    </row>
    <row r="800" spans="1:6" ht="12.75" customHeight="1" x14ac:dyDescent="0.2">
      <c r="A800" s="38"/>
      <c r="B800" s="38"/>
      <c r="C800" s="8"/>
      <c r="D800" s="8"/>
      <c r="E800" s="8"/>
      <c r="F800" s="8"/>
    </row>
    <row r="801" spans="1:6" ht="12.75" customHeight="1" x14ac:dyDescent="0.2">
      <c r="A801" s="38"/>
      <c r="B801" s="38"/>
      <c r="C801" s="8"/>
      <c r="D801" s="8"/>
      <c r="E801" s="8"/>
      <c r="F801" s="8"/>
    </row>
    <row r="802" spans="1:6" ht="12.75" customHeight="1" x14ac:dyDescent="0.2">
      <c r="A802" s="38"/>
      <c r="B802" s="38"/>
      <c r="C802" s="8"/>
      <c r="D802" s="8"/>
      <c r="E802" s="8"/>
      <c r="F802" s="8"/>
    </row>
    <row r="803" spans="1:6" ht="12.75" customHeight="1" x14ac:dyDescent="0.2">
      <c r="A803" s="38"/>
      <c r="B803" s="38"/>
      <c r="C803" s="8"/>
      <c r="D803" s="8"/>
      <c r="E803" s="8"/>
      <c r="F803" s="8"/>
    </row>
    <row r="804" spans="1:6" ht="12.75" customHeight="1" x14ac:dyDescent="0.2">
      <c r="A804" s="38"/>
      <c r="B804" s="38"/>
      <c r="C804" s="8"/>
      <c r="D804" s="8"/>
      <c r="E804" s="8"/>
      <c r="F804" s="8"/>
    </row>
    <row r="805" spans="1:6" ht="12.75" customHeight="1" x14ac:dyDescent="0.2">
      <c r="A805" s="38"/>
      <c r="B805" s="38"/>
      <c r="C805" s="8"/>
      <c r="D805" s="8"/>
      <c r="E805" s="8"/>
      <c r="F805" s="8"/>
    </row>
    <row r="806" spans="1:6" ht="12.75" customHeight="1" x14ac:dyDescent="0.2">
      <c r="A806" s="38"/>
      <c r="B806" s="38"/>
      <c r="C806" s="8"/>
      <c r="D806" s="8"/>
      <c r="E806" s="8"/>
      <c r="F806" s="8"/>
    </row>
    <row r="807" spans="1:6" ht="12.75" customHeight="1" x14ac:dyDescent="0.2">
      <c r="A807" s="38"/>
      <c r="B807" s="38"/>
      <c r="C807" s="8"/>
      <c r="D807" s="8"/>
      <c r="E807" s="8"/>
      <c r="F807" s="8"/>
    </row>
    <row r="808" spans="1:6" ht="12.75" customHeight="1" x14ac:dyDescent="0.2">
      <c r="A808" s="38"/>
      <c r="B808" s="38"/>
      <c r="C808" s="8"/>
      <c r="D808" s="8"/>
      <c r="E808" s="8"/>
      <c r="F808" s="8"/>
    </row>
    <row r="809" spans="1:6" ht="12.75" customHeight="1" x14ac:dyDescent="0.2">
      <c r="A809" s="38"/>
      <c r="B809" s="38"/>
      <c r="C809" s="8"/>
      <c r="D809" s="8"/>
      <c r="E809" s="8"/>
      <c r="F809" s="8"/>
    </row>
    <row r="810" spans="1:6" ht="12.75" customHeight="1" x14ac:dyDescent="0.2">
      <c r="A810" s="38"/>
      <c r="B810" s="38"/>
      <c r="C810" s="8"/>
      <c r="D810" s="8"/>
      <c r="E810" s="8"/>
      <c r="F810" s="8"/>
    </row>
    <row r="811" spans="1:6" ht="12.75" customHeight="1" x14ac:dyDescent="0.2">
      <c r="A811" s="38"/>
      <c r="B811" s="38"/>
      <c r="C811" s="8"/>
      <c r="D811" s="8"/>
      <c r="E811" s="8"/>
      <c r="F811" s="8"/>
    </row>
    <row r="812" spans="1:6" ht="12.75" customHeight="1" x14ac:dyDescent="0.2">
      <c r="A812" s="38"/>
      <c r="B812" s="38"/>
      <c r="C812" s="8"/>
      <c r="D812" s="8"/>
      <c r="E812" s="8"/>
      <c r="F812" s="8"/>
    </row>
    <row r="813" spans="1:6" ht="15" customHeight="1" x14ac:dyDescent="0.2">
      <c r="A813" s="38"/>
      <c r="B813" s="38"/>
      <c r="C813" s="8"/>
      <c r="D813" s="8"/>
      <c r="E813" s="8"/>
      <c r="F813" s="8"/>
    </row>
    <row r="814" spans="1:6" ht="15" customHeight="1" x14ac:dyDescent="0.2">
      <c r="A814" s="38"/>
      <c r="B814" s="38"/>
      <c r="C814" s="8"/>
      <c r="D814" s="8"/>
      <c r="E814" s="8"/>
      <c r="F814" s="8"/>
    </row>
    <row r="815" spans="1:6" ht="15" customHeight="1" x14ac:dyDescent="0.2">
      <c r="A815" s="38"/>
      <c r="B815" s="38"/>
      <c r="C815" s="8"/>
      <c r="D815" s="8"/>
      <c r="E815" s="8"/>
      <c r="F815" s="8"/>
    </row>
    <row r="816" spans="1:6" ht="15" customHeight="1" x14ac:dyDescent="0.2">
      <c r="A816" s="38"/>
      <c r="B816" s="38"/>
      <c r="C816" s="8"/>
      <c r="D816" s="8"/>
      <c r="E816" s="8"/>
      <c r="F816" s="8"/>
    </row>
    <row r="817" spans="1:6" ht="15" customHeight="1" x14ac:dyDescent="0.2">
      <c r="A817" s="38"/>
      <c r="B817" s="38"/>
      <c r="C817" s="8"/>
      <c r="D817" s="8"/>
      <c r="E817" s="8"/>
      <c r="F817" s="8"/>
    </row>
    <row r="818" spans="1:6" ht="15" customHeight="1" x14ac:dyDescent="0.2">
      <c r="A818" s="38"/>
      <c r="B818" s="38"/>
      <c r="C818" s="8"/>
      <c r="D818" s="8"/>
      <c r="E818" s="8"/>
      <c r="F818" s="8"/>
    </row>
    <row r="819" spans="1:6" ht="15" customHeight="1" x14ac:dyDescent="0.2">
      <c r="A819" s="38"/>
      <c r="B819" s="38"/>
      <c r="C819" s="8"/>
      <c r="D819" s="8"/>
      <c r="E819" s="8"/>
      <c r="F819" s="8"/>
    </row>
    <row r="820" spans="1:6" ht="15" customHeight="1" x14ac:dyDescent="0.2">
      <c r="A820" s="38"/>
      <c r="B820" s="38"/>
      <c r="C820" s="8"/>
      <c r="D820" s="8"/>
      <c r="E820" s="8"/>
      <c r="F820" s="8"/>
    </row>
    <row r="821" spans="1:6" ht="15" customHeight="1" x14ac:dyDescent="0.2">
      <c r="A821" s="38"/>
      <c r="B821" s="38"/>
      <c r="C821" s="8"/>
      <c r="D821" s="8"/>
      <c r="E821" s="8"/>
      <c r="F821" s="8"/>
    </row>
    <row r="822" spans="1:6" ht="15" customHeight="1" x14ac:dyDescent="0.2">
      <c r="A822" s="38"/>
      <c r="B822" s="38"/>
      <c r="C822" s="8"/>
      <c r="D822" s="8"/>
      <c r="E822" s="8"/>
      <c r="F822" s="8"/>
    </row>
    <row r="823" spans="1:6" ht="15" customHeight="1" x14ac:dyDescent="0.2">
      <c r="A823" s="38"/>
      <c r="B823" s="38"/>
      <c r="C823" s="8"/>
      <c r="D823" s="8"/>
      <c r="E823" s="8"/>
      <c r="F823" s="8"/>
    </row>
    <row r="824" spans="1:6" ht="15" customHeight="1" x14ac:dyDescent="0.2">
      <c r="A824" s="38"/>
      <c r="B824" s="38"/>
      <c r="C824" s="8"/>
      <c r="D824" s="8"/>
      <c r="E824" s="8"/>
      <c r="F824" s="8"/>
    </row>
    <row r="825" spans="1:6" ht="15" customHeight="1" x14ac:dyDescent="0.2">
      <c r="A825" s="38"/>
      <c r="B825" s="38"/>
      <c r="C825" s="8"/>
      <c r="D825" s="8"/>
      <c r="E825" s="8"/>
      <c r="F825" s="8"/>
    </row>
    <row r="826" spans="1:6" ht="15" customHeight="1" x14ac:dyDescent="0.2">
      <c r="A826" s="38"/>
      <c r="B826" s="38"/>
      <c r="C826" s="8"/>
      <c r="D826" s="8"/>
      <c r="E826" s="8"/>
      <c r="F826" s="8"/>
    </row>
    <row r="827" spans="1:6" ht="15" customHeight="1" x14ac:dyDescent="0.2">
      <c r="A827" s="38"/>
      <c r="B827" s="38"/>
      <c r="C827" s="8"/>
      <c r="D827" s="8"/>
      <c r="E827" s="8"/>
      <c r="F827" s="8"/>
    </row>
    <row r="828" spans="1:6" ht="15" customHeight="1" x14ac:dyDescent="0.2">
      <c r="A828" s="38"/>
      <c r="B828" s="38"/>
      <c r="C828" s="8"/>
      <c r="D828" s="8"/>
      <c r="E828" s="8"/>
      <c r="F828" s="8"/>
    </row>
    <row r="829" spans="1:6" ht="15" customHeight="1" x14ac:dyDescent="0.2">
      <c r="A829" s="38"/>
      <c r="B829" s="38"/>
      <c r="C829" s="8"/>
      <c r="D829" s="8"/>
      <c r="E829" s="8"/>
      <c r="F829" s="8"/>
    </row>
    <row r="830" spans="1:6" ht="15" customHeight="1" x14ac:dyDescent="0.2">
      <c r="A830" s="38"/>
      <c r="B830" s="38"/>
      <c r="C830" s="8"/>
      <c r="D830" s="8"/>
      <c r="E830" s="8"/>
      <c r="F830" s="8"/>
    </row>
    <row r="831" spans="1:6" ht="15" customHeight="1" x14ac:dyDescent="0.2">
      <c r="A831" s="38"/>
      <c r="B831" s="38"/>
      <c r="C831" s="8"/>
      <c r="D831" s="8"/>
      <c r="E831" s="8"/>
      <c r="F831" s="8"/>
    </row>
    <row r="832" spans="1:6" ht="15" customHeight="1" x14ac:dyDescent="0.2">
      <c r="A832" s="38"/>
      <c r="B832" s="38"/>
      <c r="C832" s="8"/>
      <c r="D832" s="8"/>
      <c r="E832" s="8"/>
      <c r="F832" s="8"/>
    </row>
    <row r="833" spans="1:6" ht="15" customHeight="1" x14ac:dyDescent="0.2">
      <c r="A833" s="38"/>
      <c r="B833" s="38"/>
      <c r="C833" s="8"/>
      <c r="D833" s="8"/>
      <c r="E833" s="8"/>
      <c r="F833" s="8"/>
    </row>
    <row r="834" spans="1:6" ht="15" customHeight="1" x14ac:dyDescent="0.2">
      <c r="A834" s="38"/>
      <c r="B834" s="38"/>
      <c r="C834" s="8"/>
      <c r="D834" s="8"/>
      <c r="E834" s="8"/>
      <c r="F834" s="8"/>
    </row>
    <row r="835" spans="1:6" ht="15" customHeight="1" x14ac:dyDescent="0.2">
      <c r="A835" s="38"/>
      <c r="B835" s="38"/>
      <c r="C835" s="8"/>
      <c r="D835" s="8"/>
      <c r="E835" s="8"/>
      <c r="F835" s="8"/>
    </row>
    <row r="836" spans="1:6" ht="15" customHeight="1" x14ac:dyDescent="0.2">
      <c r="A836" s="38"/>
      <c r="B836" s="38"/>
      <c r="C836" s="8"/>
      <c r="D836" s="8"/>
      <c r="E836" s="8"/>
      <c r="F836" s="8"/>
    </row>
    <row r="837" spans="1:6" ht="15" customHeight="1" x14ac:dyDescent="0.2">
      <c r="A837" s="38"/>
      <c r="B837" s="38"/>
      <c r="C837" s="8"/>
      <c r="D837" s="8"/>
      <c r="E837" s="8"/>
      <c r="F837" s="8"/>
    </row>
    <row r="838" spans="1:6" ht="15" customHeight="1" x14ac:dyDescent="0.2">
      <c r="A838" s="38"/>
      <c r="B838" s="38"/>
      <c r="C838" s="8"/>
      <c r="D838" s="8"/>
      <c r="E838" s="8"/>
      <c r="F838" s="8"/>
    </row>
    <row r="839" spans="1:6" ht="15" customHeight="1" x14ac:dyDescent="0.2">
      <c r="A839" s="38"/>
      <c r="B839" s="38"/>
      <c r="C839" s="8"/>
      <c r="D839" s="8"/>
      <c r="E839" s="8"/>
      <c r="F839" s="8"/>
    </row>
    <row r="840" spans="1:6" ht="15" customHeight="1" x14ac:dyDescent="0.2">
      <c r="A840" s="38"/>
      <c r="B840" s="38"/>
      <c r="C840" s="8"/>
      <c r="D840" s="8"/>
      <c r="E840" s="8"/>
      <c r="F840" s="8"/>
    </row>
    <row r="841" spans="1:6" ht="15" customHeight="1" x14ac:dyDescent="0.2">
      <c r="A841" s="38"/>
      <c r="B841" s="38"/>
      <c r="C841" s="8"/>
      <c r="D841" s="8"/>
      <c r="E841" s="8"/>
      <c r="F841" s="8"/>
    </row>
    <row r="842" spans="1:6" ht="15" customHeight="1" x14ac:dyDescent="0.2">
      <c r="A842" s="38"/>
      <c r="B842" s="38"/>
      <c r="C842" s="8"/>
      <c r="D842" s="8"/>
      <c r="E842" s="8"/>
      <c r="F842" s="8"/>
    </row>
    <row r="843" spans="1:6" ht="15" customHeight="1" x14ac:dyDescent="0.2">
      <c r="A843" s="38"/>
      <c r="B843" s="38"/>
      <c r="C843" s="8"/>
      <c r="D843" s="8"/>
      <c r="E843" s="8"/>
      <c r="F843" s="8"/>
    </row>
    <row r="844" spans="1:6" ht="15" customHeight="1" x14ac:dyDescent="0.2">
      <c r="A844" s="38"/>
      <c r="B844" s="38"/>
      <c r="C844" s="8"/>
      <c r="D844" s="8"/>
      <c r="E844" s="8"/>
      <c r="F844" s="8"/>
    </row>
    <row r="845" spans="1:6" ht="15" customHeight="1" x14ac:dyDescent="0.2">
      <c r="A845" s="38"/>
      <c r="B845" s="38"/>
      <c r="C845" s="8"/>
      <c r="D845" s="8"/>
      <c r="E845" s="8"/>
      <c r="F845" s="8"/>
    </row>
    <row r="846" spans="1:6" ht="15" customHeight="1" x14ac:dyDescent="0.2">
      <c r="A846" s="38"/>
      <c r="B846" s="38"/>
      <c r="C846" s="8"/>
      <c r="D846" s="8"/>
      <c r="E846" s="8"/>
      <c r="F846" s="8"/>
    </row>
    <row r="847" spans="1:6" ht="15" customHeight="1" x14ac:dyDescent="0.2">
      <c r="A847" s="38"/>
      <c r="B847" s="38"/>
      <c r="C847" s="8"/>
      <c r="D847" s="8"/>
      <c r="E847" s="8"/>
      <c r="F847" s="8"/>
    </row>
    <row r="848" spans="1:6" ht="15" customHeight="1" x14ac:dyDescent="0.2">
      <c r="A848" s="38"/>
      <c r="B848" s="38"/>
      <c r="C848" s="8"/>
      <c r="D848" s="8"/>
      <c r="E848" s="8"/>
      <c r="F848" s="8"/>
    </row>
    <row r="849" spans="1:6" ht="15" customHeight="1" x14ac:dyDescent="0.2">
      <c r="A849" s="38"/>
      <c r="B849" s="38"/>
      <c r="C849" s="8"/>
      <c r="D849" s="8"/>
      <c r="E849" s="8"/>
      <c r="F849" s="8"/>
    </row>
    <row r="850" spans="1:6" ht="15" customHeight="1" x14ac:dyDescent="0.2">
      <c r="A850" s="38"/>
      <c r="B850" s="38"/>
      <c r="C850" s="8"/>
      <c r="D850" s="8"/>
      <c r="E850" s="8"/>
      <c r="F850" s="8"/>
    </row>
    <row r="851" spans="1:6" ht="15" customHeight="1" x14ac:dyDescent="0.2">
      <c r="A851" s="38"/>
      <c r="B851" s="38"/>
      <c r="C851" s="8"/>
      <c r="D851" s="8"/>
      <c r="E851" s="8"/>
      <c r="F851" s="8"/>
    </row>
    <row r="852" spans="1:6" ht="15" customHeight="1" x14ac:dyDescent="0.2">
      <c r="A852" s="38"/>
      <c r="B852" s="38"/>
      <c r="C852" s="8"/>
      <c r="D852" s="8"/>
      <c r="E852" s="8"/>
      <c r="F852" s="8"/>
    </row>
    <row r="853" spans="1:6" ht="15" customHeight="1" x14ac:dyDescent="0.2">
      <c r="A853" s="38"/>
      <c r="B853" s="38"/>
      <c r="C853" s="8"/>
      <c r="D853" s="8"/>
      <c r="E853" s="8"/>
      <c r="F853" s="8"/>
    </row>
    <row r="854" spans="1:6" ht="15" customHeight="1" x14ac:dyDescent="0.2">
      <c r="A854" s="38"/>
      <c r="B854" s="38"/>
      <c r="C854" s="8"/>
      <c r="D854" s="8"/>
      <c r="E854" s="8"/>
      <c r="F854" s="8"/>
    </row>
    <row r="855" spans="1:6" ht="15" customHeight="1" x14ac:dyDescent="0.2">
      <c r="A855" s="38"/>
      <c r="B855" s="38"/>
      <c r="C855" s="8"/>
      <c r="D855" s="8"/>
      <c r="E855" s="8"/>
      <c r="F855" s="8"/>
    </row>
    <row r="856" spans="1:6" ht="15" customHeight="1" x14ac:dyDescent="0.2">
      <c r="A856" s="38"/>
      <c r="B856" s="38"/>
      <c r="C856" s="8"/>
      <c r="D856" s="8"/>
      <c r="E856" s="8"/>
      <c r="F856" s="8"/>
    </row>
    <row r="857" spans="1:6" ht="15" customHeight="1" x14ac:dyDescent="0.2">
      <c r="A857" s="38"/>
      <c r="B857" s="38"/>
      <c r="C857" s="8"/>
      <c r="D857" s="8"/>
      <c r="E857" s="8"/>
      <c r="F857" s="8"/>
    </row>
    <row r="858" spans="1:6" ht="15" customHeight="1" x14ac:dyDescent="0.2">
      <c r="A858" s="38"/>
      <c r="B858" s="38"/>
      <c r="C858" s="8"/>
      <c r="D858" s="8"/>
      <c r="E858" s="8"/>
      <c r="F858" s="8"/>
    </row>
    <row r="859" spans="1:6" ht="15" customHeight="1" x14ac:dyDescent="0.2">
      <c r="A859" s="38"/>
      <c r="B859" s="38"/>
      <c r="C859" s="8"/>
      <c r="D859" s="8"/>
      <c r="E859" s="8"/>
      <c r="F859" s="8"/>
    </row>
    <row r="860" spans="1:6" ht="15" customHeight="1" x14ac:dyDescent="0.2">
      <c r="A860" s="38"/>
      <c r="B860" s="38"/>
      <c r="C860" s="8"/>
      <c r="D860" s="8"/>
      <c r="E860" s="8"/>
      <c r="F860" s="8"/>
    </row>
    <row r="861" spans="1:6" ht="15" customHeight="1" x14ac:dyDescent="0.2">
      <c r="A861" s="38"/>
      <c r="B861" s="38"/>
      <c r="C861" s="8"/>
      <c r="D861" s="8"/>
      <c r="E861" s="8"/>
      <c r="F861" s="8"/>
    </row>
    <row r="862" spans="1:6" ht="15" customHeight="1" x14ac:dyDescent="0.2">
      <c r="A862" s="38"/>
      <c r="B862" s="38"/>
      <c r="C862" s="8"/>
      <c r="D862" s="8"/>
      <c r="E862" s="8"/>
      <c r="F862" s="8"/>
    </row>
    <row r="863" spans="1:6" ht="15" customHeight="1" x14ac:dyDescent="0.2">
      <c r="A863" s="38"/>
      <c r="B863" s="38"/>
      <c r="C863" s="8"/>
      <c r="D863" s="8"/>
      <c r="E863" s="8"/>
      <c r="F863" s="8"/>
    </row>
    <row r="864" spans="1:6" ht="15" customHeight="1" x14ac:dyDescent="0.2">
      <c r="A864" s="38"/>
      <c r="B864" s="38"/>
      <c r="C864" s="8"/>
      <c r="D864" s="8"/>
      <c r="E864" s="8"/>
      <c r="F864" s="8"/>
    </row>
    <row r="865" spans="1:6" ht="15" customHeight="1" x14ac:dyDescent="0.2">
      <c r="A865" s="38"/>
      <c r="B865" s="38"/>
      <c r="C865" s="8"/>
      <c r="D865" s="8"/>
      <c r="E865" s="8"/>
      <c r="F865" s="8"/>
    </row>
    <row r="866" spans="1:6" ht="15" customHeight="1" x14ac:dyDescent="0.2">
      <c r="A866" s="38"/>
      <c r="B866" s="38"/>
      <c r="C866" s="8"/>
      <c r="D866" s="8"/>
      <c r="E866" s="8"/>
      <c r="F866" s="8"/>
    </row>
    <row r="867" spans="1:6" ht="15" customHeight="1" x14ac:dyDescent="0.2">
      <c r="A867" s="38"/>
      <c r="B867" s="38"/>
      <c r="C867" s="8"/>
      <c r="D867" s="8"/>
      <c r="E867" s="8"/>
      <c r="F867" s="8"/>
    </row>
    <row r="868" spans="1:6" ht="15" customHeight="1" x14ac:dyDescent="0.2">
      <c r="A868" s="38"/>
      <c r="B868" s="38"/>
      <c r="C868" s="8"/>
      <c r="D868" s="8"/>
      <c r="E868" s="8"/>
      <c r="F868" s="8"/>
    </row>
    <row r="869" spans="1:6" ht="15" customHeight="1" x14ac:dyDescent="0.2">
      <c r="A869" s="38"/>
      <c r="B869" s="38"/>
      <c r="C869" s="8"/>
      <c r="D869" s="8"/>
      <c r="E869" s="8"/>
      <c r="F869" s="8"/>
    </row>
    <row r="870" spans="1:6" ht="15" customHeight="1" x14ac:dyDescent="0.2">
      <c r="A870" s="38"/>
      <c r="B870" s="38"/>
      <c r="C870" s="8"/>
      <c r="D870" s="8"/>
      <c r="E870" s="8"/>
      <c r="F870" s="8"/>
    </row>
    <row r="871" spans="1:6" ht="15" customHeight="1" x14ac:dyDescent="0.2">
      <c r="A871" s="38"/>
      <c r="B871" s="38"/>
      <c r="C871" s="8"/>
      <c r="D871" s="8"/>
      <c r="E871" s="8"/>
      <c r="F871" s="8"/>
    </row>
    <row r="872" spans="1:6" ht="15" customHeight="1" x14ac:dyDescent="0.2">
      <c r="A872" s="38"/>
      <c r="B872" s="38"/>
      <c r="C872" s="8"/>
      <c r="D872" s="8"/>
      <c r="E872" s="8"/>
      <c r="F872" s="8"/>
    </row>
    <row r="873" spans="1:6" ht="15" customHeight="1" x14ac:dyDescent="0.2">
      <c r="A873" s="38"/>
      <c r="B873" s="38"/>
      <c r="C873" s="8"/>
      <c r="D873" s="8"/>
      <c r="E873" s="8"/>
      <c r="F873" s="8"/>
    </row>
    <row r="874" spans="1:6" ht="15" customHeight="1" x14ac:dyDescent="0.2">
      <c r="A874" s="38"/>
      <c r="B874" s="38"/>
      <c r="C874" s="8"/>
      <c r="D874" s="8"/>
      <c r="E874" s="8"/>
      <c r="F874" s="8"/>
    </row>
    <row r="875" spans="1:6" ht="15" customHeight="1" x14ac:dyDescent="0.2">
      <c r="A875" s="38"/>
      <c r="B875" s="38"/>
      <c r="C875" s="8"/>
      <c r="D875" s="8"/>
      <c r="E875" s="8"/>
      <c r="F875" s="8"/>
    </row>
    <row r="876" spans="1:6" ht="15" customHeight="1" x14ac:dyDescent="0.2">
      <c r="A876" s="38"/>
      <c r="B876" s="38"/>
      <c r="C876" s="8"/>
      <c r="D876" s="8"/>
      <c r="E876" s="8"/>
      <c r="F876" s="8"/>
    </row>
    <row r="877" spans="1:6" ht="15" customHeight="1" x14ac:dyDescent="0.2">
      <c r="A877" s="38"/>
      <c r="B877" s="38"/>
      <c r="C877" s="8"/>
      <c r="D877" s="8"/>
      <c r="E877" s="8"/>
      <c r="F877" s="8"/>
    </row>
    <row r="878" spans="1:6" ht="15" customHeight="1" x14ac:dyDescent="0.2">
      <c r="A878" s="38"/>
      <c r="B878" s="38"/>
      <c r="C878" s="8"/>
      <c r="D878" s="8"/>
      <c r="E878" s="8"/>
      <c r="F878" s="8"/>
    </row>
    <row r="879" spans="1:6" ht="15" customHeight="1" x14ac:dyDescent="0.2">
      <c r="A879" s="38"/>
      <c r="B879" s="38"/>
      <c r="C879" s="8"/>
      <c r="D879" s="8"/>
      <c r="E879" s="8"/>
      <c r="F879" s="8"/>
    </row>
    <row r="880" spans="1:6" ht="15" customHeight="1" x14ac:dyDescent="0.2">
      <c r="A880" s="38"/>
      <c r="B880" s="38"/>
      <c r="C880" s="8"/>
      <c r="D880" s="8"/>
      <c r="E880" s="8"/>
      <c r="F880" s="8"/>
    </row>
    <row r="881" spans="1:6" ht="15" customHeight="1" x14ac:dyDescent="0.2">
      <c r="A881" s="38"/>
      <c r="B881" s="38"/>
      <c r="C881" s="8"/>
      <c r="D881" s="8"/>
      <c r="E881" s="8"/>
      <c r="F881" s="8"/>
    </row>
    <row r="882" spans="1:6" ht="15" customHeight="1" x14ac:dyDescent="0.2">
      <c r="A882" s="38"/>
      <c r="B882" s="38"/>
      <c r="C882" s="8"/>
      <c r="D882" s="8"/>
      <c r="E882" s="8"/>
      <c r="F882" s="8"/>
    </row>
    <row r="883" spans="1:6" ht="15" customHeight="1" x14ac:dyDescent="0.2">
      <c r="A883" s="38"/>
      <c r="B883" s="38"/>
      <c r="C883" s="8"/>
      <c r="D883" s="8"/>
      <c r="E883" s="8"/>
      <c r="F883" s="8"/>
    </row>
    <row r="884" spans="1:6" ht="15" customHeight="1" x14ac:dyDescent="0.2">
      <c r="A884" s="38"/>
      <c r="B884" s="38"/>
      <c r="C884" s="8"/>
      <c r="D884" s="8"/>
      <c r="E884" s="8"/>
      <c r="F884" s="8"/>
    </row>
    <row r="885" spans="1:6" ht="15" customHeight="1" x14ac:dyDescent="0.2">
      <c r="A885" s="38"/>
      <c r="B885" s="38"/>
      <c r="C885" s="8"/>
      <c r="D885" s="8"/>
      <c r="E885" s="8"/>
      <c r="F885" s="8"/>
    </row>
    <row r="886" spans="1:6" ht="15" customHeight="1" x14ac:dyDescent="0.2">
      <c r="A886" s="38"/>
      <c r="B886" s="38"/>
      <c r="C886" s="8"/>
      <c r="D886" s="8"/>
      <c r="E886" s="8"/>
      <c r="F886" s="8"/>
    </row>
    <row r="887" spans="1:6" ht="15" customHeight="1" x14ac:dyDescent="0.2">
      <c r="A887" s="38"/>
      <c r="B887" s="38"/>
      <c r="C887" s="8"/>
      <c r="D887" s="8"/>
      <c r="E887" s="8"/>
      <c r="F887" s="8"/>
    </row>
    <row r="888" spans="1:6" ht="15" customHeight="1" x14ac:dyDescent="0.2">
      <c r="A888" s="38"/>
      <c r="B888" s="38"/>
      <c r="C888" s="8"/>
      <c r="D888" s="8"/>
      <c r="E888" s="8"/>
      <c r="F888" s="8"/>
    </row>
    <row r="889" spans="1:6" ht="15" customHeight="1" x14ac:dyDescent="0.2">
      <c r="A889" s="38"/>
      <c r="B889" s="38"/>
      <c r="C889" s="8"/>
      <c r="D889" s="8"/>
      <c r="E889" s="8"/>
      <c r="F889" s="8"/>
    </row>
    <row r="890" spans="1:6" ht="15" customHeight="1" x14ac:dyDescent="0.2">
      <c r="A890" s="38"/>
      <c r="B890" s="38"/>
      <c r="C890" s="8"/>
      <c r="D890" s="8"/>
      <c r="E890" s="8"/>
      <c r="F890" s="8"/>
    </row>
    <row r="891" spans="1:6" ht="15" customHeight="1" x14ac:dyDescent="0.2">
      <c r="A891" s="38"/>
      <c r="B891" s="38"/>
      <c r="C891" s="8"/>
      <c r="D891" s="8"/>
      <c r="E891" s="8"/>
      <c r="F891" s="8"/>
    </row>
    <row r="892" spans="1:6" ht="15" customHeight="1" x14ac:dyDescent="0.2">
      <c r="A892" s="38"/>
      <c r="B892" s="38"/>
      <c r="C892" s="8"/>
      <c r="D892" s="8"/>
      <c r="E892" s="8"/>
      <c r="F892" s="8"/>
    </row>
    <row r="893" spans="1:6" ht="15" customHeight="1" x14ac:dyDescent="0.2">
      <c r="A893" s="38"/>
      <c r="B893" s="38"/>
      <c r="C893" s="8"/>
      <c r="D893" s="8"/>
      <c r="E893" s="8"/>
      <c r="F893" s="8"/>
    </row>
    <row r="894" spans="1:6" ht="15" customHeight="1" x14ac:dyDescent="0.2">
      <c r="A894" s="38"/>
      <c r="B894" s="38"/>
      <c r="C894" s="8"/>
      <c r="D894" s="8"/>
      <c r="E894" s="8"/>
      <c r="F894" s="8"/>
    </row>
    <row r="895" spans="1:6" ht="15" customHeight="1" x14ac:dyDescent="0.2">
      <c r="A895" s="38"/>
      <c r="B895" s="38"/>
      <c r="C895" s="8"/>
      <c r="D895" s="8"/>
      <c r="E895" s="8"/>
      <c r="F895" s="8"/>
    </row>
    <row r="896" spans="1:6" ht="15" customHeight="1" x14ac:dyDescent="0.2">
      <c r="A896" s="38"/>
      <c r="B896" s="38"/>
      <c r="C896" s="8"/>
      <c r="D896" s="8"/>
      <c r="E896" s="8"/>
      <c r="F896" s="8"/>
    </row>
    <row r="897" spans="1:6" ht="15" customHeight="1" x14ac:dyDescent="0.2">
      <c r="A897" s="38"/>
      <c r="B897" s="38"/>
      <c r="C897" s="8"/>
      <c r="D897" s="8"/>
      <c r="E897" s="8"/>
      <c r="F897" s="8"/>
    </row>
    <row r="898" spans="1:6" ht="15" customHeight="1" x14ac:dyDescent="0.2">
      <c r="A898" s="38"/>
      <c r="B898" s="38"/>
      <c r="C898" s="8"/>
      <c r="D898" s="8"/>
      <c r="E898" s="8"/>
      <c r="F898" s="8"/>
    </row>
    <row r="899" spans="1:6" ht="15" customHeight="1" x14ac:dyDescent="0.2">
      <c r="A899" s="38"/>
      <c r="B899" s="38"/>
      <c r="C899" s="8"/>
      <c r="D899" s="8"/>
      <c r="E899" s="8"/>
      <c r="F899" s="8"/>
    </row>
    <row r="900" spans="1:6" ht="15" customHeight="1" x14ac:dyDescent="0.2">
      <c r="A900" s="38"/>
      <c r="B900" s="38"/>
      <c r="C900" s="8"/>
      <c r="D900" s="8"/>
      <c r="E900" s="8"/>
      <c r="F900" s="8"/>
    </row>
    <row r="901" spans="1:6" ht="15" customHeight="1" x14ac:dyDescent="0.2">
      <c r="A901" s="38"/>
      <c r="B901" s="38"/>
      <c r="C901" s="8"/>
      <c r="D901" s="8"/>
      <c r="E901" s="8"/>
      <c r="F901" s="8"/>
    </row>
    <row r="902" spans="1:6" ht="15" customHeight="1" x14ac:dyDescent="0.2">
      <c r="A902" s="38"/>
      <c r="B902" s="38"/>
      <c r="C902" s="8"/>
      <c r="D902" s="8"/>
      <c r="E902" s="8"/>
      <c r="F902" s="8"/>
    </row>
    <row r="903" spans="1:6" ht="15" customHeight="1" x14ac:dyDescent="0.2">
      <c r="A903" s="38"/>
      <c r="B903" s="38"/>
      <c r="C903" s="8"/>
      <c r="D903" s="8"/>
      <c r="E903" s="8"/>
      <c r="F903" s="8"/>
    </row>
    <row r="904" spans="1:6" ht="15" customHeight="1" x14ac:dyDescent="0.2">
      <c r="A904" s="38"/>
      <c r="B904" s="38"/>
      <c r="C904" s="8"/>
      <c r="D904" s="8"/>
      <c r="E904" s="8"/>
      <c r="F904" s="8"/>
    </row>
    <row r="905" spans="1:6" ht="15" customHeight="1" x14ac:dyDescent="0.2">
      <c r="A905" s="38"/>
      <c r="B905" s="38"/>
      <c r="C905" s="8"/>
      <c r="D905" s="8"/>
      <c r="E905" s="8"/>
      <c r="F905" s="8"/>
    </row>
    <row r="906" spans="1:6" ht="15" customHeight="1" x14ac:dyDescent="0.2">
      <c r="A906" s="38"/>
      <c r="B906" s="38"/>
      <c r="C906" s="8"/>
      <c r="D906" s="8"/>
      <c r="E906" s="8"/>
      <c r="F906" s="8"/>
    </row>
    <row r="907" spans="1:6" ht="15" customHeight="1" x14ac:dyDescent="0.2">
      <c r="A907" s="38"/>
      <c r="B907" s="38"/>
      <c r="C907" s="8"/>
      <c r="D907" s="8"/>
      <c r="E907" s="8"/>
      <c r="F907" s="8"/>
    </row>
    <row r="908" spans="1:6" ht="15" customHeight="1" x14ac:dyDescent="0.2">
      <c r="A908" s="38"/>
      <c r="B908" s="38"/>
      <c r="C908" s="8"/>
      <c r="D908" s="8"/>
      <c r="E908" s="8"/>
      <c r="F908" s="8"/>
    </row>
    <row r="909" spans="1:6" ht="15" customHeight="1" x14ac:dyDescent="0.2">
      <c r="A909" s="38"/>
      <c r="B909" s="38"/>
      <c r="C909" s="8"/>
      <c r="D909" s="8"/>
      <c r="E909" s="8"/>
      <c r="F909" s="8"/>
    </row>
    <row r="910" spans="1:6" ht="15" customHeight="1" x14ac:dyDescent="0.2">
      <c r="A910" s="38"/>
      <c r="B910" s="38"/>
      <c r="C910" s="8"/>
      <c r="D910" s="8"/>
      <c r="E910" s="8"/>
      <c r="F910" s="8"/>
    </row>
    <row r="911" spans="1:6" ht="15" customHeight="1" x14ac:dyDescent="0.2">
      <c r="A911" s="38"/>
      <c r="B911" s="38"/>
      <c r="C911" s="8"/>
      <c r="D911" s="8"/>
      <c r="E911" s="8"/>
      <c r="F911" s="8"/>
    </row>
    <row r="912" spans="1:6" ht="15" customHeight="1" x14ac:dyDescent="0.2">
      <c r="A912" s="38"/>
      <c r="B912" s="38"/>
      <c r="C912" s="8"/>
      <c r="D912" s="8"/>
      <c r="E912" s="8"/>
      <c r="F912" s="8"/>
    </row>
    <row r="913" spans="1:6" ht="15" customHeight="1" x14ac:dyDescent="0.2">
      <c r="A913" s="38"/>
      <c r="B913" s="38"/>
      <c r="C913" s="8"/>
      <c r="D913" s="8"/>
      <c r="E913" s="8"/>
      <c r="F913" s="8"/>
    </row>
    <row r="914" spans="1:6" ht="15" customHeight="1" x14ac:dyDescent="0.2">
      <c r="A914" s="38"/>
      <c r="B914" s="38"/>
      <c r="C914" s="8"/>
      <c r="D914" s="8"/>
      <c r="E914" s="8"/>
      <c r="F914" s="8"/>
    </row>
    <row r="915" spans="1:6" ht="15" customHeight="1" x14ac:dyDescent="0.2">
      <c r="A915" s="38"/>
      <c r="B915" s="38"/>
      <c r="C915" s="8"/>
      <c r="D915" s="8"/>
      <c r="E915" s="8"/>
      <c r="F915" s="8"/>
    </row>
    <row r="916" spans="1:6" ht="15" customHeight="1" x14ac:dyDescent="0.2">
      <c r="A916" s="38"/>
      <c r="B916" s="38"/>
      <c r="C916" s="8"/>
      <c r="D916" s="8"/>
      <c r="E916" s="8"/>
      <c r="F916" s="8"/>
    </row>
    <row r="917" spans="1:6" ht="15" customHeight="1" x14ac:dyDescent="0.2">
      <c r="A917" s="38"/>
      <c r="B917" s="38"/>
      <c r="C917" s="8"/>
      <c r="D917" s="8"/>
      <c r="E917" s="8"/>
      <c r="F917" s="8"/>
    </row>
    <row r="918" spans="1:6" ht="15" customHeight="1" x14ac:dyDescent="0.2">
      <c r="A918" s="38"/>
      <c r="B918" s="38"/>
      <c r="C918" s="8"/>
      <c r="D918" s="8"/>
      <c r="E918" s="8"/>
      <c r="F918" s="8"/>
    </row>
    <row r="919" spans="1:6" ht="15" customHeight="1" x14ac:dyDescent="0.2">
      <c r="A919" s="38"/>
      <c r="B919" s="38"/>
      <c r="C919" s="8"/>
      <c r="D919" s="8"/>
      <c r="E919" s="8"/>
      <c r="F919" s="8"/>
    </row>
    <row r="920" spans="1:6" ht="15" customHeight="1" x14ac:dyDescent="0.2">
      <c r="A920" s="38"/>
      <c r="B920" s="38"/>
      <c r="C920" s="8"/>
      <c r="D920" s="8"/>
      <c r="E920" s="8"/>
      <c r="F920" s="8"/>
    </row>
    <row r="921" spans="1:6" ht="15" customHeight="1" x14ac:dyDescent="0.2">
      <c r="A921" s="38"/>
      <c r="B921" s="38"/>
      <c r="C921" s="8"/>
      <c r="D921" s="8"/>
      <c r="E921" s="8"/>
      <c r="F921" s="8"/>
    </row>
    <row r="922" spans="1:6" ht="15" customHeight="1" x14ac:dyDescent="0.2">
      <c r="A922" s="38"/>
      <c r="B922" s="38"/>
      <c r="C922" s="8"/>
      <c r="D922" s="8"/>
      <c r="E922" s="8"/>
      <c r="F922" s="8"/>
    </row>
    <row r="923" spans="1:6" ht="15" customHeight="1" x14ac:dyDescent="0.2">
      <c r="A923" s="38"/>
      <c r="B923" s="38"/>
      <c r="C923" s="8"/>
      <c r="D923" s="8"/>
      <c r="E923" s="8"/>
      <c r="F923" s="8"/>
    </row>
    <row r="924" spans="1:6" ht="15" customHeight="1" x14ac:dyDescent="0.2">
      <c r="A924" s="38"/>
      <c r="B924" s="38"/>
      <c r="C924" s="8"/>
      <c r="D924" s="8"/>
      <c r="E924" s="8"/>
      <c r="F924" s="8"/>
    </row>
    <row r="925" spans="1:6" ht="15" customHeight="1" x14ac:dyDescent="0.2">
      <c r="A925" s="38"/>
      <c r="B925" s="38"/>
      <c r="C925" s="8"/>
      <c r="D925" s="8"/>
      <c r="E925" s="8"/>
      <c r="F925" s="8"/>
    </row>
    <row r="926" spans="1:6" ht="15" customHeight="1" x14ac:dyDescent="0.2">
      <c r="A926" s="38"/>
      <c r="B926" s="38"/>
      <c r="C926" s="8"/>
      <c r="D926" s="8"/>
      <c r="E926" s="8"/>
      <c r="F926" s="8"/>
    </row>
    <row r="927" spans="1:6" ht="15" customHeight="1" x14ac:dyDescent="0.2">
      <c r="A927" s="38"/>
      <c r="B927" s="38"/>
      <c r="C927" s="8"/>
      <c r="D927" s="8"/>
      <c r="E927" s="8"/>
      <c r="F927" s="8"/>
    </row>
    <row r="928" spans="1:6" ht="15" customHeight="1" x14ac:dyDescent="0.2">
      <c r="A928" s="38"/>
      <c r="B928" s="38"/>
      <c r="C928" s="8"/>
      <c r="D928" s="8"/>
      <c r="E928" s="8"/>
      <c r="F928" s="8"/>
    </row>
    <row r="929" spans="1:6" ht="15" customHeight="1" x14ac:dyDescent="0.2">
      <c r="A929" s="38"/>
      <c r="B929" s="38"/>
      <c r="C929" s="8"/>
      <c r="D929" s="8"/>
      <c r="E929" s="8"/>
      <c r="F929" s="8"/>
    </row>
    <row r="930" spans="1:6" ht="15" customHeight="1" x14ac:dyDescent="0.2">
      <c r="A930" s="38"/>
      <c r="B930" s="38"/>
      <c r="C930" s="8"/>
      <c r="D930" s="8"/>
      <c r="E930" s="8"/>
      <c r="F930" s="8"/>
    </row>
    <row r="931" spans="1:6" ht="15" customHeight="1" x14ac:dyDescent="0.2">
      <c r="A931" s="38"/>
      <c r="B931" s="38"/>
      <c r="C931" s="8"/>
      <c r="D931" s="8"/>
      <c r="E931" s="8"/>
      <c r="F931" s="8"/>
    </row>
    <row r="932" spans="1:6" ht="15" customHeight="1" x14ac:dyDescent="0.2">
      <c r="A932" s="38"/>
      <c r="B932" s="38"/>
      <c r="C932" s="8"/>
      <c r="D932" s="8"/>
      <c r="E932" s="8"/>
      <c r="F932" s="8"/>
    </row>
    <row r="933" spans="1:6" ht="15" customHeight="1" x14ac:dyDescent="0.2">
      <c r="A933" s="38"/>
      <c r="B933" s="38"/>
      <c r="C933" s="8"/>
      <c r="D933" s="8"/>
      <c r="E933" s="8"/>
      <c r="F933" s="8"/>
    </row>
    <row r="934" spans="1:6" ht="15" customHeight="1" x14ac:dyDescent="0.2">
      <c r="A934" s="38"/>
      <c r="B934" s="38"/>
      <c r="C934" s="8"/>
      <c r="D934" s="8"/>
      <c r="E934" s="8"/>
      <c r="F934" s="8"/>
    </row>
    <row r="935" spans="1:6" ht="15" customHeight="1" x14ac:dyDescent="0.2">
      <c r="A935" s="38"/>
      <c r="B935" s="38"/>
      <c r="C935" s="8"/>
      <c r="D935" s="8"/>
      <c r="E935" s="8"/>
      <c r="F935" s="8"/>
    </row>
    <row r="936" spans="1:6" ht="15" customHeight="1" x14ac:dyDescent="0.2">
      <c r="A936" s="38"/>
      <c r="B936" s="38"/>
      <c r="C936" s="8"/>
      <c r="D936" s="8"/>
      <c r="E936" s="8"/>
      <c r="F936" s="8"/>
    </row>
    <row r="937" spans="1:6" ht="15" customHeight="1" x14ac:dyDescent="0.2">
      <c r="A937" s="38"/>
      <c r="B937" s="38"/>
      <c r="C937" s="8"/>
      <c r="D937" s="8"/>
      <c r="E937" s="8"/>
      <c r="F937" s="8"/>
    </row>
    <row r="938" spans="1:6" ht="15" customHeight="1" x14ac:dyDescent="0.2">
      <c r="A938" s="38"/>
      <c r="B938" s="38"/>
      <c r="C938" s="8"/>
      <c r="D938" s="8"/>
      <c r="E938" s="8"/>
      <c r="F938" s="8"/>
    </row>
    <row r="939" spans="1:6" ht="15" customHeight="1" x14ac:dyDescent="0.2">
      <c r="A939" s="38"/>
      <c r="B939" s="38"/>
      <c r="C939" s="8"/>
      <c r="D939" s="8"/>
      <c r="E939" s="8"/>
      <c r="F939" s="8"/>
    </row>
    <row r="940" spans="1:6" ht="15" customHeight="1" x14ac:dyDescent="0.2">
      <c r="A940" s="38"/>
      <c r="B940" s="38"/>
      <c r="C940" s="8"/>
      <c r="D940" s="8"/>
      <c r="E940" s="8"/>
      <c r="F940" s="8"/>
    </row>
    <row r="941" spans="1:6" ht="15" customHeight="1" x14ac:dyDescent="0.2">
      <c r="A941" s="38"/>
      <c r="B941" s="38"/>
      <c r="C941" s="8"/>
      <c r="D941" s="8"/>
      <c r="E941" s="8"/>
      <c r="F941" s="8"/>
    </row>
    <row r="942" spans="1:6" ht="15" customHeight="1" x14ac:dyDescent="0.2">
      <c r="A942" s="38"/>
      <c r="B942" s="38"/>
      <c r="C942" s="8"/>
      <c r="D942" s="8"/>
      <c r="E942" s="8"/>
      <c r="F942" s="8"/>
    </row>
    <row r="943" spans="1:6" ht="15" customHeight="1" x14ac:dyDescent="0.2">
      <c r="A943" s="38"/>
      <c r="B943" s="38"/>
      <c r="C943" s="8"/>
      <c r="D943" s="8"/>
      <c r="E943" s="8"/>
      <c r="F943" s="8"/>
    </row>
    <row r="944" spans="1:6" ht="15" customHeight="1" x14ac:dyDescent="0.2">
      <c r="A944" s="38"/>
      <c r="B944" s="38"/>
      <c r="C944" s="8"/>
      <c r="D944" s="8"/>
      <c r="E944" s="8"/>
      <c r="F944" s="8"/>
    </row>
    <row r="945" spans="1:6" ht="15" customHeight="1" x14ac:dyDescent="0.2">
      <c r="A945" s="38"/>
      <c r="B945" s="38"/>
      <c r="C945" s="8"/>
      <c r="D945" s="8"/>
      <c r="E945" s="8"/>
      <c r="F945" s="8"/>
    </row>
    <row r="946" spans="1:6" ht="15" customHeight="1" x14ac:dyDescent="0.2">
      <c r="A946" s="38"/>
      <c r="B946" s="38"/>
      <c r="C946" s="8"/>
      <c r="D946" s="8"/>
      <c r="E946" s="8"/>
      <c r="F946" s="8"/>
    </row>
    <row r="947" spans="1:6" ht="15" customHeight="1" x14ac:dyDescent="0.2">
      <c r="A947" s="38"/>
      <c r="B947" s="38"/>
      <c r="C947" s="8"/>
      <c r="D947" s="8"/>
      <c r="E947" s="8"/>
      <c r="F947" s="8"/>
    </row>
    <row r="948" spans="1:6" ht="15" customHeight="1" x14ac:dyDescent="0.2">
      <c r="A948" s="38"/>
      <c r="B948" s="38"/>
      <c r="C948" s="8"/>
      <c r="D948" s="8"/>
      <c r="E948" s="8"/>
      <c r="F948" s="8"/>
    </row>
    <row r="949" spans="1:6" ht="15" customHeight="1" x14ac:dyDescent="0.2">
      <c r="A949" s="38"/>
      <c r="B949" s="38"/>
      <c r="C949" s="8"/>
      <c r="D949" s="8"/>
      <c r="E949" s="8"/>
      <c r="F949" s="8"/>
    </row>
    <row r="950" spans="1:6" ht="15" customHeight="1" x14ac:dyDescent="0.2">
      <c r="A950" s="38"/>
      <c r="B950" s="38"/>
      <c r="C950" s="8"/>
      <c r="D950" s="8"/>
      <c r="E950" s="8"/>
      <c r="F950" s="8"/>
    </row>
    <row r="951" spans="1:6" ht="15" customHeight="1" x14ac:dyDescent="0.2">
      <c r="A951" s="38"/>
      <c r="B951" s="38"/>
      <c r="C951" s="8"/>
      <c r="D951" s="8"/>
      <c r="E951" s="8"/>
      <c r="F951" s="8"/>
    </row>
    <row r="952" spans="1:6" ht="15" customHeight="1" x14ac:dyDescent="0.2">
      <c r="A952" s="38"/>
      <c r="B952" s="38"/>
      <c r="C952" s="8"/>
      <c r="D952" s="8"/>
      <c r="E952" s="8"/>
      <c r="F952" s="8"/>
    </row>
    <row r="953" spans="1:6" ht="15" customHeight="1" x14ac:dyDescent="0.2">
      <c r="A953" s="38"/>
      <c r="B953" s="38"/>
      <c r="C953" s="8"/>
      <c r="D953" s="8"/>
      <c r="E953" s="8"/>
      <c r="F953" s="8"/>
    </row>
    <row r="954" spans="1:6" ht="15" customHeight="1" x14ac:dyDescent="0.2">
      <c r="A954" s="38"/>
      <c r="B954" s="38"/>
      <c r="C954" s="8"/>
      <c r="D954" s="8"/>
      <c r="E954" s="8"/>
      <c r="F954" s="8"/>
    </row>
    <row r="955" spans="1:6" ht="15" customHeight="1" x14ac:dyDescent="0.2">
      <c r="A955" s="38"/>
      <c r="B955" s="38"/>
      <c r="C955" s="8"/>
      <c r="D955" s="8"/>
      <c r="E955" s="8"/>
      <c r="F955" s="8"/>
    </row>
    <row r="956" spans="1:6" ht="15" customHeight="1" x14ac:dyDescent="0.2">
      <c r="A956" s="38"/>
      <c r="B956" s="38"/>
      <c r="C956" s="8"/>
      <c r="D956" s="8"/>
      <c r="E956" s="8"/>
      <c r="F956" s="8"/>
    </row>
    <row r="957" spans="1:6" ht="15" customHeight="1" x14ac:dyDescent="0.2">
      <c r="A957" s="38"/>
      <c r="B957" s="38"/>
      <c r="C957" s="8"/>
      <c r="D957" s="8"/>
      <c r="E957" s="8"/>
      <c r="F957" s="8"/>
    </row>
    <row r="958" spans="1:6" ht="15" customHeight="1" x14ac:dyDescent="0.2">
      <c r="A958" s="38"/>
      <c r="B958" s="38"/>
      <c r="C958" s="8"/>
      <c r="D958" s="8"/>
      <c r="E958" s="8"/>
      <c r="F958" s="8"/>
    </row>
    <row r="959" spans="1:6" ht="15" customHeight="1" x14ac:dyDescent="0.2">
      <c r="A959" s="38"/>
      <c r="B959" s="38"/>
      <c r="C959" s="8"/>
      <c r="D959" s="8"/>
      <c r="E959" s="8"/>
      <c r="F959" s="8"/>
    </row>
    <row r="960" spans="1:6" ht="15" customHeight="1" x14ac:dyDescent="0.2">
      <c r="A960" s="38"/>
      <c r="B960" s="38"/>
      <c r="C960" s="8"/>
      <c r="D960" s="8"/>
      <c r="E960" s="8"/>
      <c r="F960" s="8"/>
    </row>
    <row r="961" spans="1:6" ht="15" customHeight="1" x14ac:dyDescent="0.2">
      <c r="A961" s="38"/>
      <c r="B961" s="38"/>
      <c r="C961" s="8"/>
      <c r="D961" s="8"/>
      <c r="E961" s="8"/>
      <c r="F961" s="8"/>
    </row>
    <row r="962" spans="1:6" ht="15" customHeight="1" x14ac:dyDescent="0.2">
      <c r="A962" s="38"/>
      <c r="B962" s="38"/>
      <c r="C962" s="8"/>
      <c r="D962" s="8"/>
      <c r="E962" s="8"/>
      <c r="F962" s="8"/>
    </row>
    <row r="963" spans="1:6" ht="15" customHeight="1" x14ac:dyDescent="0.2">
      <c r="A963" s="38"/>
      <c r="B963" s="38"/>
      <c r="C963" s="8"/>
      <c r="D963" s="8"/>
      <c r="E963" s="8"/>
      <c r="F963" s="8"/>
    </row>
    <row r="964" spans="1:6" ht="15" customHeight="1" x14ac:dyDescent="0.2">
      <c r="A964" s="38"/>
      <c r="B964" s="38"/>
      <c r="C964" s="8"/>
      <c r="D964" s="8"/>
      <c r="E964" s="8"/>
      <c r="F964" s="8"/>
    </row>
    <row r="965" spans="1:6" ht="15" customHeight="1" x14ac:dyDescent="0.2">
      <c r="A965" s="38"/>
      <c r="B965" s="38"/>
      <c r="C965" s="8"/>
      <c r="D965" s="8"/>
      <c r="E965" s="8"/>
      <c r="F965" s="8"/>
    </row>
    <row r="966" spans="1:6" ht="15" customHeight="1" x14ac:dyDescent="0.2">
      <c r="A966" s="38"/>
      <c r="B966" s="38"/>
      <c r="C966" s="8"/>
      <c r="D966" s="8"/>
      <c r="E966" s="8"/>
      <c r="F966" s="8"/>
    </row>
    <row r="967" spans="1:6" ht="15" customHeight="1" x14ac:dyDescent="0.2">
      <c r="A967" s="38"/>
      <c r="B967" s="38"/>
      <c r="C967" s="8"/>
      <c r="D967" s="8"/>
      <c r="E967" s="8"/>
      <c r="F967" s="8"/>
    </row>
    <row r="968" spans="1:6" ht="15" customHeight="1" x14ac:dyDescent="0.2">
      <c r="A968" s="38"/>
      <c r="B968" s="38"/>
      <c r="C968" s="8"/>
      <c r="D968" s="8"/>
      <c r="E968" s="8"/>
      <c r="F968" s="8"/>
    </row>
    <row r="969" spans="1:6" ht="15" customHeight="1" x14ac:dyDescent="0.2">
      <c r="A969" s="38"/>
      <c r="B969" s="38"/>
      <c r="C969" s="8"/>
      <c r="D969" s="8"/>
      <c r="E969" s="8"/>
      <c r="F969" s="8"/>
    </row>
    <row r="970" spans="1:6" ht="15" customHeight="1" x14ac:dyDescent="0.2">
      <c r="A970" s="38"/>
      <c r="B970" s="38"/>
      <c r="C970" s="8"/>
      <c r="D970" s="8"/>
      <c r="E970" s="8"/>
      <c r="F970" s="8"/>
    </row>
    <row r="971" spans="1:6" ht="15" customHeight="1" x14ac:dyDescent="0.2">
      <c r="A971" s="38"/>
      <c r="B971" s="38"/>
      <c r="C971" s="8"/>
      <c r="D971" s="8"/>
      <c r="E971" s="8"/>
      <c r="F971" s="8"/>
    </row>
    <row r="972" spans="1:6" ht="15" customHeight="1" x14ac:dyDescent="0.2">
      <c r="A972" s="38"/>
      <c r="B972" s="38"/>
      <c r="C972" s="8"/>
      <c r="D972" s="8"/>
      <c r="E972" s="8"/>
      <c r="F972" s="8"/>
    </row>
    <row r="973" spans="1:6" ht="15" customHeight="1" x14ac:dyDescent="0.2">
      <c r="A973" s="38"/>
      <c r="B973" s="38"/>
      <c r="C973" s="8"/>
      <c r="D973" s="8"/>
      <c r="E973" s="8"/>
      <c r="F973" s="8"/>
    </row>
    <row r="974" spans="1:6" ht="15" customHeight="1" x14ac:dyDescent="0.2">
      <c r="A974" s="38"/>
      <c r="B974" s="38"/>
      <c r="C974" s="8"/>
      <c r="D974" s="8"/>
      <c r="E974" s="8"/>
      <c r="F974" s="8"/>
    </row>
    <row r="975" spans="1:6" ht="15" customHeight="1" x14ac:dyDescent="0.2">
      <c r="A975" s="38"/>
      <c r="B975" s="38"/>
      <c r="C975" s="8"/>
      <c r="D975" s="8"/>
      <c r="E975" s="8"/>
      <c r="F975" s="8"/>
    </row>
    <row r="976" spans="1:6" ht="15" customHeight="1" x14ac:dyDescent="0.2">
      <c r="A976" s="38"/>
      <c r="B976" s="38"/>
      <c r="C976" s="8"/>
      <c r="D976" s="8"/>
      <c r="E976" s="8"/>
      <c r="F976" s="8"/>
    </row>
    <row r="977" spans="1:6" ht="15" customHeight="1" x14ac:dyDescent="0.2">
      <c r="A977" s="38"/>
      <c r="B977" s="38"/>
      <c r="C977" s="8"/>
      <c r="D977" s="8"/>
      <c r="E977" s="8"/>
      <c r="F977" s="8"/>
    </row>
    <row r="978" spans="1:6" ht="15" customHeight="1" x14ac:dyDescent="0.2">
      <c r="A978" s="38"/>
      <c r="B978" s="38"/>
      <c r="C978" s="8"/>
      <c r="D978" s="8"/>
      <c r="E978" s="8"/>
      <c r="F978" s="8"/>
    </row>
    <row r="979" spans="1:6" ht="15" customHeight="1" x14ac:dyDescent="0.2">
      <c r="A979" s="38"/>
      <c r="B979" s="38"/>
      <c r="C979" s="8"/>
      <c r="D979" s="8"/>
      <c r="E979" s="8"/>
      <c r="F979" s="8"/>
    </row>
    <row r="980" spans="1:6" ht="15" customHeight="1" x14ac:dyDescent="0.2">
      <c r="A980" s="38"/>
      <c r="B980" s="38"/>
      <c r="C980" s="8"/>
      <c r="D980" s="8"/>
      <c r="E980" s="8"/>
      <c r="F980" s="8"/>
    </row>
    <row r="981" spans="1:6" ht="15" customHeight="1" x14ac:dyDescent="0.2">
      <c r="A981" s="38"/>
      <c r="B981" s="38"/>
      <c r="C981" s="8"/>
      <c r="D981" s="8"/>
      <c r="E981" s="8"/>
      <c r="F981" s="8"/>
    </row>
    <row r="982" spans="1:6" ht="15" customHeight="1" x14ac:dyDescent="0.2">
      <c r="A982" s="38"/>
      <c r="B982" s="38"/>
      <c r="C982" s="8"/>
      <c r="D982" s="8"/>
      <c r="E982" s="8"/>
      <c r="F982" s="8"/>
    </row>
    <row r="983" spans="1:6" ht="15" customHeight="1" x14ac:dyDescent="0.2">
      <c r="A983" s="38"/>
      <c r="B983" s="38"/>
      <c r="C983" s="8"/>
      <c r="D983" s="8"/>
      <c r="E983" s="8"/>
      <c r="F983" s="8"/>
    </row>
    <row r="984" spans="1:6" ht="15" customHeight="1" x14ac:dyDescent="0.2">
      <c r="A984" s="38"/>
      <c r="B984" s="38"/>
      <c r="C984" s="8"/>
      <c r="D984" s="8"/>
      <c r="E984" s="8"/>
      <c r="F984" s="8"/>
    </row>
    <row r="985" spans="1:6" ht="15" customHeight="1" x14ac:dyDescent="0.2">
      <c r="A985" s="38"/>
      <c r="B985" s="38"/>
      <c r="C985" s="8"/>
      <c r="D985" s="8"/>
      <c r="E985" s="8"/>
      <c r="F985" s="8"/>
    </row>
    <row r="986" spans="1:6" ht="15" customHeight="1" x14ac:dyDescent="0.2">
      <c r="A986" s="38"/>
      <c r="B986" s="38"/>
      <c r="C986" s="8"/>
      <c r="D986" s="8"/>
      <c r="E986" s="8"/>
      <c r="F986" s="8"/>
    </row>
    <row r="987" spans="1:6" ht="15" customHeight="1" x14ac:dyDescent="0.2">
      <c r="A987" s="38"/>
      <c r="B987" s="38"/>
      <c r="C987" s="8"/>
      <c r="D987" s="8"/>
      <c r="E987" s="8"/>
      <c r="F987" s="8"/>
    </row>
    <row r="988" spans="1:6" ht="15" customHeight="1" x14ac:dyDescent="0.2">
      <c r="A988" s="38"/>
      <c r="B988" s="38"/>
      <c r="C988" s="8"/>
      <c r="D988" s="8"/>
      <c r="E988" s="8"/>
      <c r="F988" s="8"/>
    </row>
    <row r="989" spans="1:6" ht="15" customHeight="1" x14ac:dyDescent="0.2">
      <c r="A989" s="38"/>
      <c r="B989" s="38"/>
      <c r="C989" s="8"/>
      <c r="D989" s="8"/>
      <c r="E989" s="8"/>
      <c r="F989" s="8"/>
    </row>
    <row r="990" spans="1:6" ht="15" customHeight="1" x14ac:dyDescent="0.2">
      <c r="A990" s="38"/>
      <c r="B990" s="38"/>
      <c r="C990" s="8"/>
      <c r="D990" s="8"/>
      <c r="E990" s="8"/>
      <c r="F990" s="8"/>
    </row>
    <row r="991" spans="1:6" ht="15" customHeight="1" x14ac:dyDescent="0.2">
      <c r="A991" s="38"/>
      <c r="B991" s="38"/>
      <c r="C991" s="8"/>
      <c r="D991" s="8"/>
      <c r="E991" s="8"/>
      <c r="F991" s="8"/>
    </row>
    <row r="992" spans="1:6" ht="15" customHeight="1" x14ac:dyDescent="0.2">
      <c r="A992" s="38"/>
      <c r="B992" s="38"/>
      <c r="C992" s="8"/>
      <c r="D992" s="8"/>
      <c r="E992" s="8"/>
      <c r="F992" s="8"/>
    </row>
    <row r="993" spans="1:6" ht="15" customHeight="1" x14ac:dyDescent="0.2">
      <c r="A993" s="38"/>
      <c r="B993" s="38"/>
      <c r="C993" s="8"/>
      <c r="D993" s="8"/>
      <c r="E993" s="8"/>
      <c r="F993" s="8"/>
    </row>
    <row r="994" spans="1:6" ht="15" customHeight="1" x14ac:dyDescent="0.2">
      <c r="A994" s="38"/>
      <c r="B994" s="38"/>
      <c r="C994" s="8"/>
      <c r="D994" s="8"/>
      <c r="E994" s="8"/>
      <c r="F994" s="8"/>
    </row>
    <row r="995" spans="1:6" ht="15" customHeight="1" x14ac:dyDescent="0.2">
      <c r="A995" s="38"/>
      <c r="B995" s="38"/>
      <c r="C995" s="8"/>
      <c r="D995" s="8"/>
      <c r="E995" s="8"/>
      <c r="F995" s="8"/>
    </row>
    <row r="996" spans="1:6" ht="15" customHeight="1" x14ac:dyDescent="0.2">
      <c r="A996" s="38"/>
      <c r="B996" s="38"/>
      <c r="C996" s="8"/>
      <c r="D996" s="8"/>
      <c r="E996" s="8"/>
      <c r="F996" s="8"/>
    </row>
    <row r="997" spans="1:6" ht="15" customHeight="1" x14ac:dyDescent="0.2">
      <c r="A997" s="38"/>
      <c r="B997" s="38"/>
      <c r="C997" s="8"/>
      <c r="D997" s="8"/>
      <c r="E997" s="8"/>
      <c r="F997" s="8"/>
    </row>
    <row r="998" spans="1:6" ht="15" customHeight="1" x14ac:dyDescent="0.2">
      <c r="A998" s="38"/>
      <c r="B998" s="38"/>
      <c r="C998" s="8"/>
      <c r="D998" s="8"/>
      <c r="E998" s="8"/>
      <c r="F998" s="8"/>
    </row>
    <row r="999" spans="1:6" ht="15" customHeight="1" x14ac:dyDescent="0.2">
      <c r="A999" s="38"/>
      <c r="B999" s="38"/>
      <c r="C999" s="8"/>
      <c r="D999" s="8"/>
      <c r="E999" s="8"/>
      <c r="F999" s="8"/>
    </row>
    <row r="1000" spans="1:6" ht="15" customHeight="1" x14ac:dyDescent="0.2">
      <c r="A1000" s="38"/>
      <c r="B1000" s="38"/>
      <c r="C1000" s="8"/>
      <c r="D1000" s="8"/>
      <c r="E1000" s="8"/>
      <c r="F1000" s="8"/>
    </row>
    <row r="1001" spans="1:6" ht="15" customHeight="1" x14ac:dyDescent="0.2">
      <c r="A1001" s="38"/>
      <c r="B1001" s="38"/>
      <c r="C1001" s="8"/>
      <c r="D1001" s="8"/>
      <c r="E1001" s="8"/>
      <c r="F1001" s="8"/>
    </row>
    <row r="1002" spans="1:6" ht="15" customHeight="1" x14ac:dyDescent="0.2">
      <c r="A1002" s="38"/>
      <c r="B1002" s="38"/>
      <c r="C1002" s="8"/>
      <c r="D1002" s="8"/>
      <c r="E1002" s="8"/>
      <c r="F1002" s="8"/>
    </row>
    <row r="1003" spans="1:6" ht="15" customHeight="1" x14ac:dyDescent="0.2">
      <c r="A1003" s="38"/>
      <c r="B1003" s="38"/>
      <c r="C1003" s="8"/>
      <c r="D1003" s="8"/>
      <c r="E1003" s="8"/>
      <c r="F1003" s="8"/>
    </row>
    <row r="1004" spans="1:6" ht="15" customHeight="1" x14ac:dyDescent="0.2">
      <c r="A1004" s="38"/>
      <c r="B1004" s="38"/>
      <c r="C1004" s="8"/>
      <c r="D1004" s="8"/>
      <c r="E1004" s="8"/>
      <c r="F1004" s="8"/>
    </row>
    <row r="1005" spans="1:6" ht="15" customHeight="1" x14ac:dyDescent="0.2">
      <c r="A1005" s="38"/>
      <c r="B1005" s="38"/>
      <c r="C1005" s="8"/>
      <c r="D1005" s="8"/>
      <c r="E1005" s="8"/>
      <c r="F1005" s="8"/>
    </row>
    <row r="1006" spans="1:6" ht="15" customHeight="1" x14ac:dyDescent="0.2">
      <c r="A1006" s="38"/>
      <c r="B1006" s="38"/>
      <c r="C1006" s="8"/>
      <c r="D1006" s="8"/>
      <c r="E1006" s="8"/>
      <c r="F1006" s="8"/>
    </row>
    <row r="1007" spans="1:6" ht="15" customHeight="1" x14ac:dyDescent="0.2">
      <c r="A1007" s="38"/>
      <c r="B1007" s="38"/>
      <c r="C1007" s="8"/>
      <c r="D1007" s="8"/>
      <c r="E1007" s="8"/>
      <c r="F1007" s="8"/>
    </row>
    <row r="1008" spans="1:6" ht="15" customHeight="1" x14ac:dyDescent="0.2">
      <c r="A1008" s="38"/>
      <c r="B1008" s="38"/>
      <c r="C1008" s="8"/>
      <c r="D1008" s="8"/>
      <c r="E1008" s="8"/>
      <c r="F1008" s="8"/>
    </row>
    <row r="1009" spans="1:6" ht="15" customHeight="1" x14ac:dyDescent="0.2">
      <c r="A1009" s="38"/>
      <c r="B1009" s="38"/>
      <c r="C1009" s="8"/>
      <c r="D1009" s="8"/>
      <c r="E1009" s="8"/>
      <c r="F1009" s="8"/>
    </row>
    <row r="1010" spans="1:6" ht="15" customHeight="1" x14ac:dyDescent="0.2">
      <c r="A1010" s="38"/>
      <c r="B1010" s="38"/>
      <c r="C1010" s="8"/>
      <c r="D1010" s="8"/>
      <c r="E1010" s="8"/>
      <c r="F1010" s="8"/>
    </row>
    <row r="1011" spans="1:6" ht="15" customHeight="1" x14ac:dyDescent="0.2">
      <c r="A1011" s="38"/>
      <c r="B1011" s="38"/>
      <c r="C1011" s="8"/>
      <c r="D1011" s="8"/>
      <c r="E1011" s="8"/>
      <c r="F1011" s="8"/>
    </row>
    <row r="1012" spans="1:6" ht="15" customHeight="1" x14ac:dyDescent="0.2">
      <c r="A1012" s="38"/>
      <c r="B1012" s="38"/>
      <c r="C1012" s="8"/>
      <c r="D1012" s="8"/>
      <c r="E1012" s="8"/>
      <c r="F1012" s="8"/>
    </row>
    <row r="1013" spans="1:6" ht="15" customHeight="1" x14ac:dyDescent="0.2">
      <c r="A1013" s="38"/>
      <c r="B1013" s="38"/>
      <c r="C1013" s="8"/>
      <c r="D1013" s="8"/>
      <c r="E1013" s="8"/>
      <c r="F1013" s="8"/>
    </row>
    <row r="1014" spans="1:6" ht="15" customHeight="1" x14ac:dyDescent="0.2">
      <c r="A1014" s="38"/>
      <c r="B1014" s="38"/>
      <c r="C1014" s="8"/>
      <c r="D1014" s="8"/>
      <c r="E1014" s="8"/>
      <c r="F1014" s="8"/>
    </row>
    <row r="1015" spans="1:6" ht="15" customHeight="1" x14ac:dyDescent="0.2">
      <c r="A1015" s="38"/>
      <c r="B1015" s="38"/>
      <c r="C1015" s="8"/>
      <c r="D1015" s="8"/>
      <c r="E1015" s="8"/>
      <c r="F1015" s="8"/>
    </row>
    <row r="1016" spans="1:6" ht="15" customHeight="1" x14ac:dyDescent="0.2">
      <c r="A1016" s="38"/>
      <c r="B1016" s="38"/>
      <c r="C1016" s="8"/>
      <c r="D1016" s="8"/>
      <c r="E1016" s="8"/>
      <c r="F1016" s="8"/>
    </row>
    <row r="1017" spans="1:6" ht="15" customHeight="1" x14ac:dyDescent="0.2">
      <c r="A1017" s="38"/>
      <c r="B1017" s="38"/>
      <c r="C1017" s="8"/>
      <c r="D1017" s="8"/>
      <c r="E1017" s="8"/>
      <c r="F1017" s="8"/>
    </row>
    <row r="1018" spans="1:6" ht="15" customHeight="1" x14ac:dyDescent="0.2">
      <c r="A1018" s="38"/>
      <c r="B1018" s="38"/>
      <c r="C1018" s="8"/>
      <c r="D1018" s="8"/>
      <c r="E1018" s="8"/>
      <c r="F1018" s="8"/>
    </row>
    <row r="1019" spans="1:6" ht="15" customHeight="1" x14ac:dyDescent="0.2">
      <c r="A1019" s="38"/>
      <c r="B1019" s="38"/>
      <c r="C1019" s="8"/>
      <c r="D1019" s="8"/>
      <c r="E1019" s="8"/>
      <c r="F1019" s="8"/>
    </row>
    <row r="1020" spans="1:6" ht="15" customHeight="1" x14ac:dyDescent="0.2">
      <c r="A1020" s="38"/>
      <c r="B1020" s="38"/>
      <c r="C1020" s="8"/>
      <c r="D1020" s="8"/>
      <c r="E1020" s="8"/>
      <c r="F1020" s="8"/>
    </row>
    <row r="1021" spans="1:6" ht="15" customHeight="1" x14ac:dyDescent="0.2">
      <c r="A1021" s="38"/>
      <c r="B1021" s="38"/>
      <c r="C1021" s="8"/>
      <c r="D1021" s="8"/>
      <c r="E1021" s="8"/>
      <c r="F1021" s="8"/>
    </row>
    <row r="1022" spans="1:6" ht="15" customHeight="1" x14ac:dyDescent="0.2">
      <c r="A1022" s="38"/>
      <c r="B1022" s="38"/>
      <c r="C1022" s="8"/>
      <c r="D1022" s="8"/>
      <c r="E1022" s="8"/>
      <c r="F1022" s="8"/>
    </row>
    <row r="1023" spans="1:6" ht="15" customHeight="1" x14ac:dyDescent="0.2">
      <c r="A1023" s="38"/>
      <c r="B1023" s="38"/>
      <c r="C1023" s="8"/>
      <c r="D1023" s="8"/>
      <c r="E1023" s="8"/>
      <c r="F1023" s="8"/>
    </row>
    <row r="1024" spans="1:6" ht="15" customHeight="1" x14ac:dyDescent="0.2">
      <c r="A1024" s="38"/>
      <c r="B1024" s="38"/>
      <c r="C1024" s="8"/>
      <c r="D1024" s="8"/>
      <c r="E1024" s="8"/>
      <c r="F1024" s="8"/>
    </row>
    <row r="1025" spans="1:6" ht="15" customHeight="1" x14ac:dyDescent="0.2">
      <c r="A1025" s="38"/>
      <c r="B1025" s="38"/>
      <c r="C1025" s="8"/>
      <c r="D1025" s="8"/>
      <c r="E1025" s="8"/>
      <c r="F1025" s="8"/>
    </row>
    <row r="1026" spans="1:6" ht="15" customHeight="1" x14ac:dyDescent="0.2">
      <c r="A1026" s="38"/>
      <c r="B1026" s="38"/>
      <c r="C1026" s="8"/>
      <c r="D1026" s="8"/>
      <c r="E1026" s="8"/>
      <c r="F1026" s="8"/>
    </row>
    <row r="1027" spans="1:6" ht="15" customHeight="1" x14ac:dyDescent="0.2">
      <c r="A1027" s="38"/>
      <c r="B1027" s="38"/>
      <c r="C1027" s="8"/>
      <c r="D1027" s="8"/>
      <c r="E1027" s="8"/>
      <c r="F1027" s="8"/>
    </row>
    <row r="1028" spans="1:6" ht="15" customHeight="1" x14ac:dyDescent="0.2">
      <c r="A1028" s="38"/>
      <c r="B1028" s="38"/>
      <c r="C1028" s="8"/>
      <c r="D1028" s="8"/>
      <c r="E1028" s="8"/>
      <c r="F1028" s="8"/>
    </row>
    <row r="1029" spans="1:6" ht="15" customHeight="1" x14ac:dyDescent="0.2">
      <c r="A1029" s="38"/>
      <c r="B1029" s="38"/>
      <c r="C1029" s="8"/>
      <c r="D1029" s="8"/>
      <c r="E1029" s="8"/>
      <c r="F1029" s="8"/>
    </row>
    <row r="1030" spans="1:6" ht="15" customHeight="1" x14ac:dyDescent="0.2">
      <c r="A1030" s="38"/>
      <c r="B1030" s="38"/>
      <c r="C1030" s="8"/>
      <c r="D1030" s="8"/>
      <c r="E1030" s="8"/>
      <c r="F1030" s="8"/>
    </row>
    <row r="1031" spans="1:6" ht="15" customHeight="1" x14ac:dyDescent="0.2">
      <c r="A1031" s="38"/>
      <c r="B1031" s="38"/>
      <c r="C1031" s="8"/>
      <c r="D1031" s="8"/>
      <c r="E1031" s="8"/>
      <c r="F1031" s="8"/>
    </row>
    <row r="1032" spans="1:6" ht="15" customHeight="1" x14ac:dyDescent="0.2">
      <c r="A1032" s="38"/>
      <c r="B1032" s="38"/>
      <c r="C1032" s="8"/>
      <c r="D1032" s="8"/>
      <c r="E1032" s="8"/>
      <c r="F1032" s="8"/>
    </row>
    <row r="1033" spans="1:6" ht="15" customHeight="1" x14ac:dyDescent="0.2">
      <c r="A1033" s="38"/>
      <c r="B1033" s="38"/>
      <c r="C1033" s="8"/>
      <c r="D1033" s="8"/>
      <c r="E1033" s="8"/>
      <c r="F1033" s="8"/>
    </row>
    <row r="1034" spans="1:6" ht="15" customHeight="1" x14ac:dyDescent="0.2">
      <c r="A1034" s="38"/>
      <c r="B1034" s="38"/>
      <c r="C1034" s="8"/>
      <c r="D1034" s="8"/>
      <c r="E1034" s="8"/>
      <c r="F1034" s="8"/>
    </row>
    <row r="1035" spans="1:6" ht="15" customHeight="1" x14ac:dyDescent="0.2">
      <c r="A1035" s="38"/>
      <c r="B1035" s="38"/>
      <c r="C1035" s="8"/>
      <c r="D1035" s="8"/>
      <c r="E1035" s="8"/>
      <c r="F1035" s="8"/>
    </row>
    <row r="1036" spans="1:6" ht="15" customHeight="1" x14ac:dyDescent="0.2">
      <c r="A1036" s="38"/>
      <c r="B1036" s="38"/>
      <c r="C1036" s="8"/>
      <c r="D1036" s="8"/>
      <c r="E1036" s="8"/>
      <c r="F1036" s="8"/>
    </row>
    <row r="1037" spans="1:6" ht="15" customHeight="1" x14ac:dyDescent="0.2">
      <c r="A1037" s="38"/>
      <c r="B1037" s="38"/>
      <c r="C1037" s="8"/>
      <c r="D1037" s="8"/>
      <c r="E1037" s="8"/>
      <c r="F1037" s="8"/>
    </row>
    <row r="1038" spans="1:6" ht="15" customHeight="1" x14ac:dyDescent="0.2">
      <c r="A1038" s="38"/>
      <c r="B1038" s="38"/>
      <c r="C1038" s="8"/>
      <c r="D1038" s="8"/>
      <c r="E1038" s="8"/>
      <c r="F1038" s="8"/>
    </row>
    <row r="1039" spans="1:6" ht="15" customHeight="1" x14ac:dyDescent="0.2">
      <c r="A1039" s="38"/>
      <c r="B1039" s="38"/>
      <c r="C1039" s="8"/>
      <c r="D1039" s="8"/>
      <c r="E1039" s="8"/>
      <c r="F1039" s="8"/>
    </row>
    <row r="1040" spans="1:6" ht="15" customHeight="1" x14ac:dyDescent="0.2">
      <c r="A1040" s="38"/>
      <c r="B1040" s="38"/>
      <c r="C1040" s="8"/>
      <c r="D1040" s="8"/>
      <c r="E1040" s="8"/>
      <c r="F1040" s="8"/>
    </row>
    <row r="1041" spans="1:6" ht="15" customHeight="1" x14ac:dyDescent="0.2">
      <c r="A1041" s="38"/>
      <c r="B1041" s="38"/>
      <c r="C1041" s="8"/>
      <c r="D1041" s="8"/>
      <c r="E1041" s="8"/>
      <c r="F1041" s="8"/>
    </row>
    <row r="1042" spans="1:6" ht="15" customHeight="1" x14ac:dyDescent="0.2">
      <c r="A1042" s="38"/>
      <c r="B1042" s="38"/>
      <c r="C1042" s="8"/>
      <c r="D1042" s="8"/>
      <c r="E1042" s="8"/>
      <c r="F1042" s="8"/>
    </row>
    <row r="1043" spans="1:6" ht="15" customHeight="1" x14ac:dyDescent="0.2">
      <c r="A1043" s="38"/>
      <c r="B1043" s="38"/>
      <c r="C1043" s="8"/>
      <c r="D1043" s="8"/>
      <c r="E1043" s="8"/>
      <c r="F1043" s="8"/>
    </row>
    <row r="1044" spans="1:6" ht="15" customHeight="1" x14ac:dyDescent="0.2">
      <c r="A1044" s="38"/>
      <c r="B1044" s="38"/>
      <c r="C1044" s="8"/>
      <c r="D1044" s="8"/>
      <c r="E1044" s="8"/>
      <c r="F1044" s="8"/>
    </row>
    <row r="1045" spans="1:6" ht="15" customHeight="1" x14ac:dyDescent="0.2">
      <c r="A1045" s="38"/>
      <c r="B1045" s="38"/>
      <c r="C1045" s="8"/>
      <c r="D1045" s="8"/>
      <c r="E1045" s="8"/>
      <c r="F1045" s="8"/>
    </row>
    <row r="1046" spans="1:6" ht="15" customHeight="1" x14ac:dyDescent="0.2">
      <c r="A1046" s="38"/>
      <c r="B1046" s="38"/>
      <c r="C1046" s="8"/>
      <c r="D1046" s="8"/>
      <c r="E1046" s="8"/>
      <c r="F1046" s="8"/>
    </row>
    <row r="1047" spans="1:6" ht="15" customHeight="1" x14ac:dyDescent="0.2">
      <c r="A1047" s="38"/>
      <c r="B1047" s="38"/>
      <c r="C1047" s="8"/>
      <c r="D1047" s="8"/>
      <c r="E1047" s="8"/>
      <c r="F1047" s="8"/>
    </row>
    <row r="1048" spans="1:6" ht="15" customHeight="1" x14ac:dyDescent="0.2">
      <c r="A1048" s="38"/>
      <c r="B1048" s="38"/>
      <c r="C1048" s="8"/>
      <c r="D1048" s="8"/>
      <c r="E1048" s="8"/>
      <c r="F1048" s="8"/>
    </row>
    <row r="1049" spans="1:6" ht="15" customHeight="1" x14ac:dyDescent="0.2">
      <c r="A1049" s="38"/>
      <c r="B1049" s="38"/>
      <c r="C1049" s="8"/>
      <c r="D1049" s="8"/>
      <c r="E1049" s="8"/>
      <c r="F1049" s="8"/>
    </row>
    <row r="1050" spans="1:6" ht="15" customHeight="1" x14ac:dyDescent="0.2">
      <c r="A1050" s="38"/>
      <c r="B1050" s="38"/>
      <c r="C1050" s="8"/>
      <c r="D1050" s="8"/>
      <c r="E1050" s="8"/>
      <c r="F1050" s="8"/>
    </row>
    <row r="1051" spans="1:6" ht="15" customHeight="1" x14ac:dyDescent="0.2">
      <c r="A1051" s="38"/>
      <c r="B1051" s="38"/>
      <c r="C1051" s="8"/>
      <c r="D1051" s="8"/>
      <c r="E1051" s="8"/>
      <c r="F1051" s="8"/>
    </row>
    <row r="1052" spans="1:6" ht="15" customHeight="1" x14ac:dyDescent="0.2">
      <c r="A1052" s="38"/>
      <c r="B1052" s="38"/>
      <c r="C1052" s="8"/>
      <c r="D1052" s="8"/>
      <c r="E1052" s="8"/>
      <c r="F1052" s="8"/>
    </row>
    <row r="1053" spans="1:6" ht="15" customHeight="1" x14ac:dyDescent="0.2">
      <c r="A1053" s="38"/>
      <c r="B1053" s="38"/>
      <c r="C1053" s="8"/>
      <c r="D1053" s="8"/>
      <c r="E1053" s="8"/>
      <c r="F1053" s="8"/>
    </row>
    <row r="1054" spans="1:6" ht="15" customHeight="1" x14ac:dyDescent="0.2">
      <c r="A1054" s="38"/>
      <c r="B1054" s="38"/>
      <c r="C1054" s="8"/>
      <c r="D1054" s="8"/>
      <c r="E1054" s="8"/>
      <c r="F1054" s="8"/>
    </row>
    <row r="1055" spans="1:6" ht="15" customHeight="1" x14ac:dyDescent="0.2">
      <c r="A1055" s="38"/>
      <c r="B1055" s="38"/>
      <c r="C1055" s="8"/>
      <c r="D1055" s="8"/>
      <c r="E1055" s="8"/>
      <c r="F1055" s="8"/>
    </row>
    <row r="1056" spans="1:6" ht="15" customHeight="1" x14ac:dyDescent="0.2">
      <c r="A1056" s="38"/>
      <c r="B1056" s="38"/>
      <c r="C1056" s="8"/>
      <c r="D1056" s="8"/>
      <c r="E1056" s="8"/>
      <c r="F1056" s="8"/>
    </row>
    <row r="1057" spans="1:6" ht="15" customHeight="1" x14ac:dyDescent="0.2">
      <c r="A1057" s="38"/>
      <c r="B1057" s="38"/>
      <c r="C1057" s="8"/>
      <c r="D1057" s="8"/>
      <c r="E1057" s="8"/>
      <c r="F1057" s="8"/>
    </row>
    <row r="1058" spans="1:6" ht="15" customHeight="1" x14ac:dyDescent="0.2">
      <c r="A1058" s="38"/>
      <c r="B1058" s="38"/>
      <c r="C1058" s="8"/>
      <c r="D1058" s="8"/>
      <c r="E1058" s="8"/>
      <c r="F1058" s="8"/>
    </row>
    <row r="1059" spans="1:6" ht="15" customHeight="1" x14ac:dyDescent="0.2">
      <c r="A1059" s="38"/>
      <c r="B1059" s="38"/>
      <c r="C1059" s="8"/>
      <c r="D1059" s="8"/>
      <c r="E1059" s="8"/>
      <c r="F1059" s="8"/>
    </row>
    <row r="1060" spans="1:6" ht="15" customHeight="1" x14ac:dyDescent="0.2">
      <c r="A1060" s="38"/>
      <c r="B1060" s="38"/>
      <c r="C1060" s="8"/>
      <c r="D1060" s="8"/>
      <c r="E1060" s="8"/>
      <c r="F1060" s="8"/>
    </row>
    <row r="1061" spans="1:6" ht="15" customHeight="1" x14ac:dyDescent="0.2">
      <c r="A1061" s="38"/>
      <c r="B1061" s="38"/>
      <c r="C1061" s="8"/>
      <c r="D1061" s="8"/>
      <c r="E1061" s="8"/>
      <c r="F1061" s="8"/>
    </row>
    <row r="1062" spans="1:6" ht="15" customHeight="1" x14ac:dyDescent="0.2">
      <c r="A1062" s="38"/>
      <c r="B1062" s="38"/>
      <c r="C1062" s="8"/>
      <c r="D1062" s="8"/>
      <c r="E1062" s="8"/>
      <c r="F1062" s="8"/>
    </row>
    <row r="1063" spans="1:6" ht="15" customHeight="1" x14ac:dyDescent="0.2">
      <c r="A1063" s="38"/>
      <c r="B1063" s="38"/>
      <c r="C1063" s="8"/>
      <c r="D1063" s="8"/>
      <c r="E1063" s="8"/>
      <c r="F1063" s="8"/>
    </row>
    <row r="1064" spans="1:6" ht="15" customHeight="1" x14ac:dyDescent="0.2">
      <c r="A1064" s="38"/>
      <c r="B1064" s="38"/>
      <c r="C1064" s="8"/>
      <c r="D1064" s="8"/>
      <c r="E1064" s="8"/>
      <c r="F1064" s="8"/>
    </row>
    <row r="1065" spans="1:6" ht="15" customHeight="1" x14ac:dyDescent="0.2">
      <c r="A1065" s="38"/>
      <c r="B1065" s="38"/>
      <c r="C1065" s="8"/>
      <c r="D1065" s="8"/>
      <c r="E1065" s="8"/>
      <c r="F1065" s="8"/>
    </row>
    <row r="1066" spans="1:6" ht="15" customHeight="1" x14ac:dyDescent="0.2">
      <c r="A1066" s="38"/>
      <c r="B1066" s="38"/>
      <c r="C1066" s="8"/>
      <c r="D1066" s="8"/>
      <c r="E1066" s="8"/>
      <c r="F1066" s="8"/>
    </row>
    <row r="1067" spans="1:6" ht="15" customHeight="1" x14ac:dyDescent="0.2">
      <c r="A1067" s="38"/>
      <c r="B1067" s="38"/>
      <c r="C1067" s="8"/>
      <c r="D1067" s="8"/>
      <c r="E1067" s="8"/>
      <c r="F1067" s="8"/>
    </row>
    <row r="1068" spans="1:6" ht="15" customHeight="1" x14ac:dyDescent="0.2">
      <c r="A1068" s="38"/>
      <c r="B1068" s="38"/>
      <c r="C1068" s="8"/>
      <c r="D1068" s="8"/>
      <c r="E1068" s="8"/>
      <c r="F1068" s="8"/>
    </row>
    <row r="1069" spans="1:6" ht="15" customHeight="1" x14ac:dyDescent="0.2">
      <c r="A1069" s="38"/>
      <c r="B1069" s="38"/>
      <c r="C1069" s="8"/>
      <c r="D1069" s="8"/>
      <c r="E1069" s="8"/>
      <c r="F1069" s="8"/>
    </row>
    <row r="1070" spans="1:6" ht="15" customHeight="1" x14ac:dyDescent="0.2">
      <c r="A1070" s="38"/>
      <c r="B1070" s="38"/>
      <c r="C1070" s="8"/>
      <c r="D1070" s="8"/>
      <c r="E1070" s="8"/>
      <c r="F1070" s="8"/>
    </row>
    <row r="1071" spans="1:6" ht="15" customHeight="1" x14ac:dyDescent="0.2">
      <c r="A1071" s="38"/>
      <c r="B1071" s="38"/>
      <c r="C1071" s="8"/>
      <c r="D1071" s="8"/>
      <c r="E1071" s="8"/>
      <c r="F1071" s="8"/>
    </row>
    <row r="1072" spans="1:6" ht="15" customHeight="1" x14ac:dyDescent="0.2">
      <c r="A1072" s="38"/>
      <c r="B1072" s="38"/>
      <c r="C1072" s="8"/>
      <c r="D1072" s="8"/>
      <c r="E1072" s="8"/>
      <c r="F1072" s="8"/>
    </row>
    <row r="1073" spans="1:6" ht="15" customHeight="1" x14ac:dyDescent="0.2">
      <c r="A1073" s="38"/>
      <c r="B1073" s="38"/>
      <c r="C1073" s="8"/>
      <c r="D1073" s="8"/>
      <c r="E1073" s="8"/>
      <c r="F1073" s="8"/>
    </row>
    <row r="1074" spans="1:6" ht="15" customHeight="1" x14ac:dyDescent="0.2">
      <c r="A1074" s="38"/>
      <c r="B1074" s="38"/>
      <c r="C1074" s="8"/>
      <c r="D1074" s="8"/>
      <c r="E1074" s="8"/>
      <c r="F1074" s="8"/>
    </row>
    <row r="1075" spans="1:6" ht="15" customHeight="1" x14ac:dyDescent="0.2">
      <c r="A1075" s="38"/>
      <c r="B1075" s="38"/>
      <c r="C1075" s="8"/>
      <c r="D1075" s="8"/>
      <c r="E1075" s="8"/>
      <c r="F1075" s="8"/>
    </row>
    <row r="1076" spans="1:6" ht="15" customHeight="1" x14ac:dyDescent="0.2">
      <c r="A1076" s="38"/>
      <c r="B1076" s="38"/>
      <c r="C1076" s="8"/>
      <c r="D1076" s="8"/>
      <c r="E1076" s="8"/>
      <c r="F1076" s="8"/>
    </row>
    <row r="1077" spans="1:6" ht="15" customHeight="1" x14ac:dyDescent="0.2">
      <c r="A1077" s="38"/>
      <c r="B1077" s="38"/>
      <c r="C1077" s="8"/>
      <c r="D1077" s="8"/>
      <c r="E1077" s="8"/>
      <c r="F1077" s="8"/>
    </row>
    <row r="1078" spans="1:6" ht="15" customHeight="1" x14ac:dyDescent="0.2">
      <c r="A1078" s="38"/>
      <c r="B1078" s="38"/>
      <c r="C1078" s="8"/>
      <c r="D1078" s="8"/>
      <c r="E1078" s="8"/>
      <c r="F1078" s="8"/>
    </row>
    <row r="1079" spans="1:6" ht="15" customHeight="1" x14ac:dyDescent="0.2">
      <c r="A1079" s="38"/>
      <c r="B1079" s="38"/>
      <c r="C1079" s="8"/>
      <c r="D1079" s="8"/>
      <c r="E1079" s="8"/>
      <c r="F1079" s="8"/>
    </row>
    <row r="1080" spans="1:6" ht="15" customHeight="1" x14ac:dyDescent="0.2">
      <c r="A1080" s="38"/>
      <c r="B1080" s="38"/>
      <c r="C1080" s="8"/>
      <c r="D1080" s="8"/>
      <c r="E1080" s="8"/>
      <c r="F1080" s="8"/>
    </row>
    <row r="1081" spans="1:6" ht="15" customHeight="1" x14ac:dyDescent="0.2">
      <c r="A1081" s="38"/>
      <c r="B1081" s="38"/>
      <c r="C1081" s="8"/>
      <c r="D1081" s="8"/>
      <c r="E1081" s="8"/>
      <c r="F1081" s="8"/>
    </row>
    <row r="1082" spans="1:6" ht="15" customHeight="1" x14ac:dyDescent="0.2">
      <c r="A1082" s="38"/>
      <c r="B1082" s="38"/>
      <c r="C1082" s="8"/>
      <c r="D1082" s="8"/>
      <c r="E1082" s="8"/>
      <c r="F1082" s="8"/>
    </row>
    <row r="1083" spans="1:6" ht="15" customHeight="1" x14ac:dyDescent="0.2">
      <c r="A1083" s="38"/>
      <c r="B1083" s="38"/>
      <c r="C1083" s="8"/>
      <c r="D1083" s="8"/>
      <c r="E1083" s="8"/>
      <c r="F1083" s="8"/>
    </row>
    <row r="1084" spans="1:6" ht="15" customHeight="1" x14ac:dyDescent="0.2">
      <c r="A1084" s="38"/>
      <c r="B1084" s="38"/>
      <c r="C1084" s="8"/>
      <c r="D1084" s="8"/>
      <c r="E1084" s="8"/>
      <c r="F1084" s="8"/>
    </row>
    <row r="1085" spans="1:6" ht="15" customHeight="1" x14ac:dyDescent="0.2">
      <c r="A1085" s="38"/>
      <c r="B1085" s="38"/>
      <c r="C1085" s="8"/>
      <c r="D1085" s="8"/>
      <c r="E1085" s="8"/>
      <c r="F1085" s="8"/>
    </row>
    <row r="1086" spans="1:6" ht="15" customHeight="1" x14ac:dyDescent="0.2">
      <c r="A1086" s="38"/>
      <c r="B1086" s="38"/>
      <c r="C1086" s="8"/>
      <c r="D1086" s="8"/>
      <c r="E1086" s="8"/>
      <c r="F1086" s="8"/>
    </row>
    <row r="1087" spans="1:6" ht="15" customHeight="1" x14ac:dyDescent="0.2">
      <c r="A1087" s="38"/>
      <c r="B1087" s="38"/>
      <c r="C1087" s="8"/>
      <c r="D1087" s="8"/>
      <c r="E1087" s="8"/>
      <c r="F1087" s="8"/>
    </row>
    <row r="1088" spans="1:6" ht="15" customHeight="1" x14ac:dyDescent="0.2">
      <c r="A1088" s="38"/>
      <c r="B1088" s="38"/>
      <c r="C1088" s="8"/>
      <c r="D1088" s="8"/>
      <c r="E1088" s="8"/>
      <c r="F1088" s="8"/>
    </row>
    <row r="1089" spans="1:6" ht="15" customHeight="1" x14ac:dyDescent="0.2">
      <c r="A1089" s="38"/>
      <c r="B1089" s="38"/>
      <c r="C1089" s="8"/>
      <c r="D1089" s="8"/>
      <c r="E1089" s="8"/>
      <c r="F1089" s="8"/>
    </row>
    <row r="1090" spans="1:6" ht="15" customHeight="1" x14ac:dyDescent="0.2">
      <c r="A1090" s="38"/>
      <c r="B1090" s="38"/>
      <c r="C1090" s="8"/>
      <c r="D1090" s="8"/>
      <c r="E1090" s="8"/>
      <c r="F1090" s="8"/>
    </row>
    <row r="1091" spans="1:6" ht="15" customHeight="1" x14ac:dyDescent="0.2">
      <c r="A1091" s="38"/>
      <c r="B1091" s="38"/>
      <c r="C1091" s="8"/>
      <c r="D1091" s="8"/>
      <c r="E1091" s="8"/>
      <c r="F1091" s="8"/>
    </row>
    <row r="1092" spans="1:6" ht="15" customHeight="1" x14ac:dyDescent="0.2">
      <c r="A1092" s="38"/>
      <c r="B1092" s="38"/>
      <c r="C1092" s="8"/>
      <c r="D1092" s="8"/>
      <c r="E1092" s="8"/>
      <c r="F1092" s="8"/>
    </row>
    <row r="1093" spans="1:6" ht="15" customHeight="1" x14ac:dyDescent="0.2">
      <c r="A1093" s="38"/>
      <c r="B1093" s="38"/>
      <c r="C1093" s="8"/>
      <c r="D1093" s="8"/>
      <c r="E1093" s="8"/>
      <c r="F1093" s="8"/>
    </row>
    <row r="1094" spans="1:6" ht="15" customHeight="1" x14ac:dyDescent="0.2">
      <c r="A1094" s="38"/>
      <c r="B1094" s="38"/>
      <c r="C1094" s="8"/>
      <c r="D1094" s="8"/>
      <c r="E1094" s="8"/>
      <c r="F1094" s="8"/>
    </row>
    <row r="1095" spans="1:6" ht="15" customHeight="1" x14ac:dyDescent="0.2">
      <c r="A1095" s="38"/>
      <c r="B1095" s="38"/>
      <c r="C1095" s="8"/>
      <c r="D1095" s="8"/>
      <c r="E1095" s="8"/>
      <c r="F1095" s="8"/>
    </row>
    <row r="1096" spans="1:6" ht="15" customHeight="1" x14ac:dyDescent="0.2">
      <c r="A1096" s="38"/>
      <c r="B1096" s="38"/>
      <c r="C1096" s="8"/>
      <c r="D1096" s="8"/>
      <c r="E1096" s="8"/>
      <c r="F1096" s="8"/>
    </row>
    <row r="1097" spans="1:6" ht="15" customHeight="1" x14ac:dyDescent="0.2">
      <c r="A1097" s="38"/>
      <c r="B1097" s="38"/>
      <c r="C1097" s="8"/>
      <c r="D1097" s="8"/>
      <c r="E1097" s="8"/>
      <c r="F1097" s="8"/>
    </row>
    <row r="1098" spans="1:6" ht="15" customHeight="1" x14ac:dyDescent="0.2">
      <c r="A1098" s="38"/>
      <c r="B1098" s="38"/>
      <c r="C1098" s="8"/>
      <c r="D1098" s="8"/>
      <c r="E1098" s="8"/>
      <c r="F1098" s="8"/>
    </row>
    <row r="1099" spans="1:6" ht="15" customHeight="1" x14ac:dyDescent="0.2">
      <c r="A1099" s="38"/>
      <c r="B1099" s="38"/>
      <c r="C1099" s="8"/>
      <c r="D1099" s="8"/>
      <c r="E1099" s="8"/>
      <c r="F1099" s="8"/>
    </row>
    <row r="1100" spans="1:6" ht="15" customHeight="1" x14ac:dyDescent="0.2">
      <c r="A1100" s="38"/>
      <c r="B1100" s="38"/>
      <c r="C1100" s="8"/>
      <c r="D1100" s="8"/>
      <c r="E1100" s="8"/>
      <c r="F1100" s="8"/>
    </row>
    <row r="1101" spans="1:6" ht="15" customHeight="1" x14ac:dyDescent="0.2">
      <c r="A1101" s="38"/>
      <c r="B1101" s="38"/>
      <c r="C1101" s="8"/>
      <c r="D1101" s="8"/>
      <c r="E1101" s="8"/>
      <c r="F1101" s="8"/>
    </row>
    <row r="1102" spans="1:6" ht="15" customHeight="1" x14ac:dyDescent="0.2">
      <c r="A1102" s="38"/>
      <c r="B1102" s="38"/>
      <c r="C1102" s="8"/>
      <c r="D1102" s="8"/>
      <c r="E1102" s="8"/>
      <c r="F1102" s="8"/>
    </row>
    <row r="1103" spans="1:6" ht="15" customHeight="1" x14ac:dyDescent="0.2">
      <c r="A1103" s="38"/>
      <c r="B1103" s="38"/>
      <c r="C1103" s="8"/>
      <c r="D1103" s="8"/>
      <c r="E1103" s="8"/>
      <c r="F1103" s="8"/>
    </row>
    <row r="1104" spans="1:6" ht="15" customHeight="1" x14ac:dyDescent="0.2">
      <c r="A1104" s="38"/>
      <c r="B1104" s="38"/>
      <c r="C1104" s="8"/>
      <c r="D1104" s="8"/>
      <c r="E1104" s="8"/>
      <c r="F1104" s="8"/>
    </row>
    <row r="1105" spans="1:6" ht="15" customHeight="1" x14ac:dyDescent="0.2">
      <c r="A1105" s="38"/>
      <c r="B1105" s="38"/>
      <c r="C1105" s="8"/>
      <c r="D1105" s="8"/>
      <c r="E1105" s="8"/>
      <c r="F1105" s="8"/>
    </row>
    <row r="1106" spans="1:6" ht="15" customHeight="1" x14ac:dyDescent="0.2">
      <c r="A1106" s="38"/>
      <c r="B1106" s="38"/>
      <c r="C1106" s="8"/>
      <c r="D1106" s="8"/>
      <c r="E1106" s="8"/>
      <c r="F1106" s="8"/>
    </row>
    <row r="1107" spans="1:6" ht="15" customHeight="1" x14ac:dyDescent="0.2">
      <c r="A1107" s="38"/>
      <c r="B1107" s="38"/>
      <c r="C1107" s="8"/>
      <c r="D1107" s="8"/>
      <c r="E1107" s="8"/>
      <c r="F1107" s="8"/>
    </row>
    <row r="1108" spans="1:6" ht="15" customHeight="1" x14ac:dyDescent="0.2">
      <c r="A1108" s="38"/>
      <c r="B1108" s="38"/>
      <c r="C1108" s="8"/>
      <c r="D1108" s="8"/>
      <c r="E1108" s="8"/>
      <c r="F1108" s="8"/>
    </row>
    <row r="1109" spans="1:6" ht="15" customHeight="1" x14ac:dyDescent="0.2">
      <c r="A1109" s="38"/>
      <c r="B1109" s="38"/>
      <c r="C1109" s="8"/>
      <c r="D1109" s="8"/>
      <c r="E1109" s="8"/>
      <c r="F1109" s="8"/>
    </row>
    <row r="1110" spans="1:6" ht="15" customHeight="1" x14ac:dyDescent="0.2">
      <c r="A1110" s="38"/>
      <c r="B1110" s="38"/>
      <c r="C1110" s="8"/>
      <c r="D1110" s="8"/>
      <c r="E1110" s="8"/>
      <c r="F1110" s="8"/>
    </row>
    <row r="1111" spans="1:6" ht="15" customHeight="1" x14ac:dyDescent="0.2">
      <c r="A1111" s="38"/>
      <c r="B1111" s="38"/>
      <c r="C1111" s="8"/>
      <c r="D1111" s="8"/>
      <c r="E1111" s="8"/>
      <c r="F1111" s="8"/>
    </row>
    <row r="1112" spans="1:6" ht="15" customHeight="1" x14ac:dyDescent="0.2">
      <c r="A1112" s="38"/>
      <c r="B1112" s="38"/>
      <c r="C1112" s="8"/>
      <c r="D1112" s="8"/>
      <c r="E1112" s="8"/>
      <c r="F1112" s="8"/>
    </row>
    <row r="1113" spans="1:6" ht="15" customHeight="1" x14ac:dyDescent="0.2">
      <c r="A1113" s="38"/>
      <c r="B1113" s="38"/>
      <c r="C1113" s="8"/>
      <c r="D1113" s="8"/>
      <c r="E1113" s="8"/>
      <c r="F1113" s="8"/>
    </row>
    <row r="1114" spans="1:6" ht="15" customHeight="1" x14ac:dyDescent="0.2">
      <c r="A1114" s="38"/>
      <c r="B1114" s="38"/>
      <c r="C1114" s="8"/>
      <c r="D1114" s="8"/>
      <c r="E1114" s="8"/>
      <c r="F1114" s="8"/>
    </row>
    <row r="1115" spans="1:6" ht="15" customHeight="1" x14ac:dyDescent="0.2">
      <c r="A1115" s="38"/>
      <c r="B1115" s="38"/>
      <c r="C1115" s="8"/>
      <c r="D1115" s="8"/>
      <c r="E1115" s="8"/>
      <c r="F1115" s="8"/>
    </row>
    <row r="1116" spans="1:6" ht="15" customHeight="1" x14ac:dyDescent="0.2">
      <c r="A1116" s="38"/>
      <c r="B1116" s="38"/>
      <c r="C1116" s="8"/>
      <c r="D1116" s="8"/>
      <c r="E1116" s="8"/>
      <c r="F1116" s="8"/>
    </row>
    <row r="1117" spans="1:6" ht="15" customHeight="1" x14ac:dyDescent="0.2">
      <c r="A1117" s="38"/>
      <c r="B1117" s="38"/>
      <c r="C1117" s="8"/>
      <c r="D1117" s="8"/>
      <c r="E1117" s="8"/>
      <c r="F1117" s="8"/>
    </row>
    <row r="1118" spans="1:6" ht="15" customHeight="1" x14ac:dyDescent="0.2">
      <c r="A1118" s="38"/>
      <c r="B1118" s="38"/>
      <c r="C1118" s="8"/>
      <c r="D1118" s="8"/>
      <c r="E1118" s="8"/>
      <c r="F1118" s="8"/>
    </row>
    <row r="1119" spans="1:6" ht="15" customHeight="1" x14ac:dyDescent="0.2">
      <c r="A1119" s="38"/>
      <c r="B1119" s="38"/>
      <c r="C1119" s="8"/>
      <c r="D1119" s="8"/>
      <c r="E1119" s="8"/>
      <c r="F1119" s="8"/>
    </row>
    <row r="1120" spans="1:6" ht="15" customHeight="1" x14ac:dyDescent="0.2">
      <c r="A1120" s="38"/>
      <c r="B1120" s="38"/>
      <c r="C1120" s="8"/>
      <c r="D1120" s="8"/>
      <c r="E1120" s="8"/>
      <c r="F1120" s="8"/>
    </row>
    <row r="1121" spans="1:6" ht="15" customHeight="1" x14ac:dyDescent="0.2">
      <c r="A1121" s="38"/>
      <c r="B1121" s="38"/>
      <c r="C1121" s="8"/>
      <c r="D1121" s="8"/>
      <c r="E1121" s="8"/>
      <c r="F1121" s="8"/>
    </row>
    <row r="1122" spans="1:6" ht="15" customHeight="1" x14ac:dyDescent="0.2">
      <c r="A1122" s="38"/>
      <c r="B1122" s="38"/>
      <c r="C1122" s="8"/>
      <c r="D1122" s="8"/>
      <c r="E1122" s="8"/>
      <c r="F1122" s="8"/>
    </row>
    <row r="1123" spans="1:6" ht="15" customHeight="1" x14ac:dyDescent="0.2">
      <c r="A1123" s="38"/>
      <c r="B1123" s="38"/>
      <c r="C1123" s="8"/>
      <c r="D1123" s="8"/>
      <c r="E1123" s="8"/>
      <c r="F1123" s="8"/>
    </row>
    <row r="1124" spans="1:6" ht="15" customHeight="1" x14ac:dyDescent="0.2">
      <c r="A1124" s="38"/>
      <c r="B1124" s="38"/>
      <c r="C1124" s="8"/>
      <c r="D1124" s="8"/>
      <c r="E1124" s="8"/>
      <c r="F1124" s="8"/>
    </row>
    <row r="1125" spans="1:6" ht="15" customHeight="1" x14ac:dyDescent="0.2">
      <c r="A1125" s="38"/>
      <c r="B1125" s="38"/>
      <c r="C1125" s="8"/>
      <c r="D1125" s="8"/>
      <c r="E1125" s="8"/>
      <c r="F1125" s="8"/>
    </row>
    <row r="1126" spans="1:6" ht="15" customHeight="1" x14ac:dyDescent="0.2">
      <c r="A1126" s="38"/>
      <c r="B1126" s="38"/>
      <c r="C1126" s="8"/>
      <c r="D1126" s="8"/>
      <c r="E1126" s="8"/>
      <c r="F1126" s="8"/>
    </row>
    <row r="1127" spans="1:6" ht="15" customHeight="1" x14ac:dyDescent="0.2">
      <c r="A1127" s="38"/>
      <c r="B1127" s="38"/>
      <c r="C1127" s="8"/>
      <c r="D1127" s="8"/>
      <c r="E1127" s="8"/>
      <c r="F1127" s="8"/>
    </row>
    <row r="1128" spans="1:6" ht="15" customHeight="1" x14ac:dyDescent="0.2">
      <c r="A1128" s="38"/>
      <c r="B1128" s="38"/>
      <c r="C1128" s="8"/>
      <c r="D1128" s="8"/>
      <c r="E1128" s="8"/>
      <c r="F1128" s="8"/>
    </row>
    <row r="1129" spans="1:6" ht="15" customHeight="1" x14ac:dyDescent="0.2">
      <c r="A1129" s="38"/>
      <c r="B1129" s="38"/>
      <c r="C1129" s="8"/>
      <c r="D1129" s="8"/>
      <c r="E1129" s="8"/>
      <c r="F1129" s="8"/>
    </row>
    <row r="1130" spans="1:6" ht="15" customHeight="1" x14ac:dyDescent="0.2">
      <c r="A1130" s="38"/>
      <c r="B1130" s="38"/>
      <c r="C1130" s="8"/>
      <c r="D1130" s="8"/>
      <c r="E1130" s="8"/>
      <c r="F1130" s="8"/>
    </row>
    <row r="1131" spans="1:6" ht="15" customHeight="1" x14ac:dyDescent="0.2">
      <c r="A1131" s="38"/>
      <c r="B1131" s="38"/>
      <c r="C1131" s="8"/>
      <c r="D1131" s="8"/>
      <c r="E1131" s="8"/>
      <c r="F1131" s="8"/>
    </row>
    <row r="1132" spans="1:6" ht="15" customHeight="1" x14ac:dyDescent="0.2">
      <c r="A1132" s="38"/>
      <c r="B1132" s="38"/>
      <c r="C1132" s="8"/>
      <c r="D1132" s="8"/>
      <c r="E1132" s="8"/>
      <c r="F1132" s="8"/>
    </row>
    <row r="1133" spans="1:6" ht="15" customHeight="1" x14ac:dyDescent="0.2">
      <c r="A1133" s="38"/>
      <c r="B1133" s="38"/>
      <c r="C1133" s="8"/>
      <c r="D1133" s="8"/>
      <c r="E1133" s="8"/>
      <c r="F1133" s="8"/>
    </row>
    <row r="1134" spans="1:6" ht="15" customHeight="1" x14ac:dyDescent="0.2">
      <c r="A1134" s="38"/>
      <c r="B1134" s="38"/>
      <c r="C1134" s="8"/>
      <c r="D1134" s="8"/>
      <c r="E1134" s="8"/>
      <c r="F1134" s="8"/>
    </row>
    <row r="1135" spans="1:6" ht="15" customHeight="1" x14ac:dyDescent="0.2">
      <c r="A1135" s="38"/>
      <c r="B1135" s="38"/>
      <c r="C1135" s="8"/>
      <c r="D1135" s="8"/>
      <c r="E1135" s="8"/>
      <c r="F1135" s="8"/>
    </row>
    <row r="1136" spans="1:6" ht="15" customHeight="1" x14ac:dyDescent="0.2">
      <c r="A1136" s="38"/>
      <c r="B1136" s="38"/>
      <c r="C1136" s="8"/>
      <c r="D1136" s="8"/>
      <c r="E1136" s="8"/>
      <c r="F1136" s="8"/>
    </row>
    <row r="1137" spans="1:6" ht="15" customHeight="1" x14ac:dyDescent="0.2">
      <c r="A1137" s="38"/>
      <c r="B1137" s="38"/>
      <c r="C1137" s="8"/>
      <c r="D1137" s="8"/>
      <c r="E1137" s="8"/>
      <c r="F1137" s="8"/>
    </row>
    <row r="1138" spans="1:6" ht="15" customHeight="1" x14ac:dyDescent="0.2">
      <c r="A1138" s="38"/>
      <c r="B1138" s="38"/>
      <c r="C1138" s="8"/>
      <c r="D1138" s="8"/>
      <c r="E1138" s="8"/>
      <c r="F1138" s="8"/>
    </row>
    <row r="1139" spans="1:6" ht="15" customHeight="1" x14ac:dyDescent="0.2">
      <c r="A1139" s="38"/>
      <c r="B1139" s="38"/>
      <c r="C1139" s="8"/>
      <c r="D1139" s="8"/>
      <c r="E1139" s="8"/>
      <c r="F1139" s="8"/>
    </row>
    <row r="1140" spans="1:6" ht="15" customHeight="1" x14ac:dyDescent="0.2">
      <c r="A1140" s="38"/>
      <c r="B1140" s="38"/>
      <c r="C1140" s="8"/>
      <c r="D1140" s="8"/>
      <c r="E1140" s="8"/>
      <c r="F1140" s="8"/>
    </row>
    <row r="1141" spans="1:6" ht="15" customHeight="1" x14ac:dyDescent="0.2">
      <c r="A1141" s="38"/>
      <c r="B1141" s="38"/>
      <c r="C1141" s="8"/>
      <c r="D1141" s="8"/>
      <c r="E1141" s="8"/>
      <c r="F1141" s="8"/>
    </row>
    <row r="1142" spans="1:6" ht="15" customHeight="1" x14ac:dyDescent="0.2">
      <c r="A1142" s="38"/>
      <c r="B1142" s="38"/>
      <c r="C1142" s="8"/>
      <c r="D1142" s="8"/>
      <c r="E1142" s="8"/>
      <c r="F1142" s="8"/>
    </row>
    <row r="1143" spans="1:6" ht="15" customHeight="1" x14ac:dyDescent="0.2">
      <c r="A1143" s="38"/>
      <c r="B1143" s="38"/>
      <c r="C1143" s="8"/>
      <c r="D1143" s="8"/>
      <c r="E1143" s="8"/>
      <c r="F1143" s="8"/>
    </row>
    <row r="1144" spans="1:6" ht="15" customHeight="1" x14ac:dyDescent="0.2">
      <c r="A1144" s="38"/>
      <c r="B1144" s="38"/>
      <c r="C1144" s="8"/>
      <c r="D1144" s="8"/>
      <c r="E1144" s="8"/>
      <c r="F1144" s="8"/>
    </row>
    <row r="1145" spans="1:6" ht="15" customHeight="1" x14ac:dyDescent="0.2">
      <c r="A1145" s="38"/>
      <c r="B1145" s="38"/>
      <c r="C1145" s="8"/>
      <c r="D1145" s="8"/>
      <c r="E1145" s="8"/>
      <c r="F1145" s="8"/>
    </row>
    <row r="1146" spans="1:6" ht="15" customHeight="1" x14ac:dyDescent="0.2">
      <c r="A1146" s="38"/>
      <c r="B1146" s="38"/>
      <c r="C1146" s="8"/>
      <c r="D1146" s="8"/>
      <c r="E1146" s="8"/>
      <c r="F1146" s="8"/>
    </row>
    <row r="1147" spans="1:6" ht="15" customHeight="1" x14ac:dyDescent="0.2">
      <c r="A1147" s="38"/>
      <c r="B1147" s="38"/>
      <c r="C1147" s="8"/>
      <c r="D1147" s="8"/>
      <c r="E1147" s="8"/>
      <c r="F1147" s="8"/>
    </row>
    <row r="1148" spans="1:6" ht="15" customHeight="1" x14ac:dyDescent="0.2">
      <c r="A1148" s="38"/>
      <c r="B1148" s="38"/>
      <c r="C1148" s="8"/>
      <c r="D1148" s="8"/>
      <c r="E1148" s="8"/>
      <c r="F1148" s="8"/>
    </row>
    <row r="1149" spans="1:6" ht="15" customHeight="1" x14ac:dyDescent="0.2">
      <c r="A1149" s="38"/>
      <c r="B1149" s="38"/>
      <c r="C1149" s="8"/>
      <c r="D1149" s="8"/>
      <c r="E1149" s="8"/>
      <c r="F1149" s="8"/>
    </row>
    <row r="1150" spans="1:6" ht="15" customHeight="1" x14ac:dyDescent="0.2">
      <c r="A1150" s="38"/>
      <c r="B1150" s="38"/>
      <c r="C1150" s="8"/>
      <c r="D1150" s="8"/>
      <c r="E1150" s="8"/>
      <c r="F1150" s="8"/>
    </row>
    <row r="1151" spans="1:6" ht="15" customHeight="1" x14ac:dyDescent="0.2">
      <c r="A1151" s="38"/>
      <c r="B1151" s="38"/>
      <c r="C1151" s="8"/>
      <c r="D1151" s="8"/>
      <c r="E1151" s="8"/>
      <c r="F1151" s="8"/>
    </row>
    <row r="1152" spans="1:6" ht="15" customHeight="1" x14ac:dyDescent="0.2">
      <c r="A1152" s="38"/>
      <c r="B1152" s="38"/>
      <c r="C1152" s="8"/>
      <c r="D1152" s="8"/>
      <c r="E1152" s="8"/>
      <c r="F1152" s="8"/>
    </row>
    <row r="1153" spans="1:6" ht="15" customHeight="1" x14ac:dyDescent="0.2">
      <c r="A1153" s="38"/>
      <c r="B1153" s="38"/>
      <c r="C1153" s="8"/>
      <c r="D1153" s="8"/>
      <c r="E1153" s="8"/>
      <c r="F1153" s="8"/>
    </row>
    <row r="1154" spans="1:6" ht="15" customHeight="1" x14ac:dyDescent="0.2">
      <c r="A1154" s="38"/>
      <c r="B1154" s="38"/>
      <c r="C1154" s="8"/>
      <c r="D1154" s="8"/>
      <c r="E1154" s="8"/>
      <c r="F1154" s="8"/>
    </row>
    <row r="1155" spans="1:6" ht="15" customHeight="1" x14ac:dyDescent="0.2">
      <c r="A1155" s="38"/>
      <c r="B1155" s="38"/>
      <c r="C1155" s="8"/>
      <c r="D1155" s="8"/>
      <c r="E1155" s="8"/>
      <c r="F1155" s="8"/>
    </row>
    <row r="1156" spans="1:6" ht="15" customHeight="1" x14ac:dyDescent="0.2">
      <c r="A1156" s="38"/>
      <c r="B1156" s="38"/>
      <c r="C1156" s="8"/>
      <c r="D1156" s="8"/>
      <c r="E1156" s="8"/>
      <c r="F1156" s="8"/>
    </row>
    <row r="1157" spans="1:6" ht="15" customHeight="1" x14ac:dyDescent="0.2">
      <c r="A1157" s="38"/>
      <c r="B1157" s="38"/>
      <c r="C1157" s="8"/>
      <c r="D1157" s="8"/>
      <c r="E1157" s="8"/>
      <c r="F1157" s="8"/>
    </row>
    <row r="1158" spans="1:6" ht="15" customHeight="1" x14ac:dyDescent="0.2">
      <c r="A1158" s="38"/>
      <c r="B1158" s="38"/>
      <c r="C1158" s="8"/>
      <c r="D1158" s="8"/>
      <c r="E1158" s="8"/>
      <c r="F1158" s="8"/>
    </row>
    <row r="1159" spans="1:6" ht="15" customHeight="1" x14ac:dyDescent="0.2">
      <c r="A1159" s="38"/>
      <c r="B1159" s="38"/>
      <c r="C1159" s="8"/>
      <c r="D1159" s="8"/>
      <c r="E1159" s="8"/>
      <c r="F1159" s="8"/>
    </row>
    <row r="1160" spans="1:6" ht="15" customHeight="1" x14ac:dyDescent="0.2">
      <c r="A1160" s="38"/>
      <c r="B1160" s="38"/>
      <c r="C1160" s="8"/>
      <c r="D1160" s="8"/>
      <c r="E1160" s="8"/>
      <c r="F1160" s="8"/>
    </row>
    <row r="1161" spans="1:6" ht="15" customHeight="1" x14ac:dyDescent="0.2">
      <c r="A1161" s="38"/>
      <c r="B1161" s="38"/>
      <c r="C1161" s="8"/>
      <c r="D1161" s="8"/>
      <c r="E1161" s="8"/>
      <c r="F1161" s="8"/>
    </row>
    <row r="1162" spans="1:6" ht="15" customHeight="1" x14ac:dyDescent="0.2">
      <c r="A1162" s="38"/>
      <c r="B1162" s="38"/>
      <c r="C1162" s="8"/>
      <c r="D1162" s="8"/>
      <c r="E1162" s="8"/>
      <c r="F1162" s="8"/>
    </row>
    <row r="1163" spans="1:6" ht="15" customHeight="1" x14ac:dyDescent="0.2">
      <c r="A1163" s="38"/>
      <c r="B1163" s="38"/>
      <c r="C1163" s="8"/>
      <c r="D1163" s="8"/>
      <c r="E1163" s="8"/>
      <c r="F1163" s="8"/>
    </row>
    <row r="1164" spans="1:6" ht="15" customHeight="1" x14ac:dyDescent="0.2">
      <c r="A1164" s="38"/>
      <c r="B1164" s="38"/>
      <c r="C1164" s="8"/>
      <c r="D1164" s="8"/>
      <c r="E1164" s="8"/>
      <c r="F1164" s="8"/>
    </row>
    <row r="1165" spans="1:6" ht="15" customHeight="1" x14ac:dyDescent="0.2">
      <c r="A1165" s="38"/>
      <c r="B1165" s="38"/>
      <c r="C1165" s="8"/>
      <c r="D1165" s="8"/>
      <c r="E1165" s="8"/>
      <c r="F1165" s="8"/>
    </row>
    <row r="1166" spans="1:6" ht="15" customHeight="1" x14ac:dyDescent="0.2">
      <c r="A1166" s="38"/>
      <c r="B1166" s="38"/>
      <c r="C1166" s="8"/>
      <c r="D1166" s="8"/>
      <c r="E1166" s="8"/>
      <c r="F1166" s="8"/>
    </row>
    <row r="1167" spans="1:6" ht="15" customHeight="1" x14ac:dyDescent="0.2">
      <c r="A1167" s="38"/>
      <c r="B1167" s="38"/>
      <c r="C1167" s="8"/>
      <c r="D1167" s="8"/>
      <c r="E1167" s="8"/>
      <c r="F1167" s="8"/>
    </row>
    <row r="1168" spans="1:6" ht="15" customHeight="1" x14ac:dyDescent="0.2">
      <c r="A1168" s="38"/>
      <c r="B1168" s="38"/>
      <c r="C1168" s="8"/>
      <c r="D1168" s="8"/>
      <c r="E1168" s="8"/>
      <c r="F1168" s="8"/>
    </row>
    <row r="1169" spans="1:6" ht="15" customHeight="1" x14ac:dyDescent="0.2">
      <c r="A1169" s="38"/>
      <c r="B1169" s="38"/>
      <c r="C1169" s="8"/>
      <c r="D1169" s="8"/>
      <c r="E1169" s="8"/>
      <c r="F1169" s="8"/>
    </row>
    <row r="1170" spans="1:6" ht="15" customHeight="1" x14ac:dyDescent="0.2">
      <c r="A1170" s="38"/>
      <c r="B1170" s="38"/>
      <c r="C1170" s="8"/>
      <c r="D1170" s="8"/>
      <c r="E1170" s="8"/>
      <c r="F1170" s="8"/>
    </row>
    <row r="1171" spans="1:6" ht="15" customHeight="1" x14ac:dyDescent="0.2">
      <c r="A1171" s="38"/>
      <c r="B1171" s="38"/>
      <c r="C1171" s="8"/>
      <c r="D1171" s="8"/>
      <c r="E1171" s="8"/>
      <c r="F1171" s="8"/>
    </row>
    <row r="1172" spans="1:6" ht="15" customHeight="1" x14ac:dyDescent="0.2">
      <c r="A1172" s="38"/>
      <c r="B1172" s="38"/>
      <c r="C1172" s="8"/>
      <c r="D1172" s="8"/>
      <c r="E1172" s="8"/>
      <c r="F1172" s="8"/>
    </row>
    <row r="1173" spans="1:6" ht="15" customHeight="1" x14ac:dyDescent="0.2">
      <c r="A1173" s="38"/>
      <c r="B1173" s="38"/>
      <c r="C1173" s="8"/>
      <c r="D1173" s="8"/>
      <c r="E1173" s="8"/>
      <c r="F1173" s="8"/>
    </row>
    <row r="1174" spans="1:6" ht="15" customHeight="1" x14ac:dyDescent="0.2">
      <c r="A1174" s="38"/>
      <c r="B1174" s="38"/>
      <c r="C1174" s="8"/>
      <c r="D1174" s="8"/>
      <c r="E1174" s="8"/>
      <c r="F1174" s="8"/>
    </row>
    <row r="1175" spans="1:6" ht="15" customHeight="1" x14ac:dyDescent="0.2">
      <c r="A1175" s="38"/>
      <c r="B1175" s="38"/>
      <c r="C1175" s="8"/>
      <c r="D1175" s="8"/>
      <c r="E1175" s="8"/>
      <c r="F1175" s="8"/>
    </row>
    <row r="1176" spans="1:6" ht="15" customHeight="1" x14ac:dyDescent="0.2">
      <c r="A1176" s="38"/>
      <c r="B1176" s="38"/>
      <c r="C1176" s="8"/>
      <c r="D1176" s="8"/>
      <c r="E1176" s="8"/>
      <c r="F1176" s="8"/>
    </row>
    <row r="1177" spans="1:6" ht="15" customHeight="1" x14ac:dyDescent="0.2">
      <c r="A1177" s="38"/>
      <c r="B1177" s="38"/>
      <c r="C1177" s="8"/>
      <c r="D1177" s="8"/>
      <c r="E1177" s="8"/>
      <c r="F1177" s="8"/>
    </row>
    <row r="1178" spans="1:6" ht="15" customHeight="1" x14ac:dyDescent="0.2">
      <c r="A1178" s="38"/>
      <c r="B1178" s="38"/>
      <c r="C1178" s="8"/>
      <c r="D1178" s="8"/>
      <c r="E1178" s="8"/>
      <c r="F1178" s="8"/>
    </row>
    <row r="1179" spans="1:6" ht="15" customHeight="1" x14ac:dyDescent="0.2">
      <c r="A1179" s="38"/>
      <c r="B1179" s="38"/>
      <c r="C1179" s="8"/>
      <c r="D1179" s="8"/>
      <c r="E1179" s="8"/>
      <c r="F1179" s="8"/>
    </row>
    <row r="1180" spans="1:6" ht="15" customHeight="1" x14ac:dyDescent="0.2">
      <c r="A1180" s="38"/>
      <c r="B1180" s="38"/>
      <c r="C1180" s="8"/>
      <c r="D1180" s="8"/>
      <c r="E1180" s="8"/>
      <c r="F1180" s="8"/>
    </row>
    <row r="1181" spans="1:6" ht="15" customHeight="1" x14ac:dyDescent="0.2">
      <c r="A1181" s="38"/>
      <c r="B1181" s="38"/>
      <c r="C1181" s="8"/>
      <c r="D1181" s="8"/>
      <c r="E1181" s="8"/>
      <c r="F1181" s="8"/>
    </row>
    <row r="1182" spans="1:6" ht="15" customHeight="1" x14ac:dyDescent="0.2">
      <c r="A1182" s="38"/>
      <c r="B1182" s="38"/>
      <c r="C1182" s="8"/>
      <c r="D1182" s="8"/>
      <c r="E1182" s="8"/>
      <c r="F1182" s="8"/>
    </row>
    <row r="1183" spans="1:6" ht="15" customHeight="1" x14ac:dyDescent="0.2">
      <c r="A1183" s="38"/>
      <c r="B1183" s="38"/>
      <c r="C1183" s="8"/>
      <c r="D1183" s="8"/>
      <c r="E1183" s="8"/>
      <c r="F1183" s="8"/>
    </row>
    <row r="1184" spans="1:6" ht="15" customHeight="1" x14ac:dyDescent="0.2">
      <c r="A1184" s="38"/>
      <c r="B1184" s="38"/>
      <c r="C1184" s="8"/>
      <c r="D1184" s="8"/>
      <c r="E1184" s="8"/>
      <c r="F1184" s="8"/>
    </row>
    <row r="1185" spans="1:6" ht="15" customHeight="1" x14ac:dyDescent="0.2">
      <c r="A1185" s="38"/>
      <c r="B1185" s="38"/>
      <c r="C1185" s="8"/>
      <c r="D1185" s="8"/>
      <c r="E1185" s="8"/>
      <c r="F1185" s="8"/>
    </row>
    <row r="1186" spans="1:6" ht="15" customHeight="1" x14ac:dyDescent="0.2">
      <c r="A1186" s="38"/>
      <c r="B1186" s="38"/>
      <c r="C1186" s="8"/>
      <c r="D1186" s="8"/>
      <c r="E1186" s="8"/>
      <c r="F1186" s="8"/>
    </row>
    <row r="1187" spans="1:6" ht="15" customHeight="1" x14ac:dyDescent="0.2">
      <c r="A1187" s="38"/>
      <c r="B1187" s="38"/>
      <c r="C1187" s="8"/>
      <c r="D1187" s="8"/>
      <c r="E1187" s="8"/>
      <c r="F1187" s="8"/>
    </row>
    <row r="1188" spans="1:6" ht="15" customHeight="1" x14ac:dyDescent="0.2">
      <c r="A1188" s="38"/>
      <c r="B1188" s="38"/>
      <c r="C1188" s="8"/>
      <c r="D1188" s="8"/>
      <c r="E1188" s="8"/>
      <c r="F1188" s="8"/>
    </row>
    <row r="1189" spans="1:6" ht="15" customHeight="1" x14ac:dyDescent="0.2">
      <c r="A1189" s="38"/>
      <c r="B1189" s="38"/>
      <c r="C1189" s="8"/>
      <c r="D1189" s="8"/>
      <c r="E1189" s="8"/>
      <c r="F1189" s="8"/>
    </row>
    <row r="1190" spans="1:6" ht="15" customHeight="1" x14ac:dyDescent="0.2">
      <c r="A1190" s="38"/>
      <c r="B1190" s="38"/>
      <c r="C1190" s="8"/>
      <c r="D1190" s="8"/>
      <c r="E1190" s="8"/>
      <c r="F1190" s="8"/>
    </row>
    <row r="1191" spans="1:6" ht="15" customHeight="1" x14ac:dyDescent="0.2">
      <c r="A1191" s="38"/>
      <c r="B1191" s="38"/>
      <c r="C1191" s="8"/>
      <c r="D1191" s="8"/>
      <c r="E1191" s="8"/>
      <c r="F1191" s="8"/>
    </row>
    <row r="1192" spans="1:6" ht="15" customHeight="1" x14ac:dyDescent="0.2">
      <c r="A1192" s="38"/>
      <c r="B1192" s="38"/>
      <c r="C1192" s="8"/>
      <c r="D1192" s="8"/>
      <c r="E1192" s="8"/>
      <c r="F1192" s="8"/>
    </row>
    <row r="1193" spans="1:6" ht="15" customHeight="1" x14ac:dyDescent="0.2">
      <c r="A1193" s="38"/>
      <c r="B1193" s="38"/>
      <c r="C1193" s="8"/>
      <c r="D1193" s="8"/>
      <c r="E1193" s="8"/>
      <c r="F1193" s="8"/>
    </row>
    <row r="1194" spans="1:6" ht="15" customHeight="1" x14ac:dyDescent="0.2">
      <c r="A1194" s="38"/>
      <c r="B1194" s="38"/>
      <c r="C1194" s="8"/>
      <c r="D1194" s="8"/>
      <c r="E1194" s="8"/>
      <c r="F1194" s="8"/>
    </row>
    <row r="1195" spans="1:6" ht="15" customHeight="1" x14ac:dyDescent="0.2">
      <c r="A1195" s="38"/>
      <c r="B1195" s="38"/>
      <c r="C1195" s="8"/>
      <c r="D1195" s="8"/>
      <c r="E1195" s="8"/>
      <c r="F1195" s="8"/>
    </row>
    <row r="1196" spans="1:6" ht="15" customHeight="1" x14ac:dyDescent="0.2">
      <c r="A1196" s="38"/>
      <c r="B1196" s="38"/>
      <c r="C1196" s="8"/>
      <c r="D1196" s="8"/>
      <c r="E1196" s="8"/>
      <c r="F1196" s="8"/>
    </row>
    <row r="1197" spans="1:6" ht="15" customHeight="1" x14ac:dyDescent="0.2">
      <c r="A1197" s="38"/>
      <c r="B1197" s="38"/>
      <c r="C1197" s="8"/>
      <c r="D1197" s="8"/>
      <c r="E1197" s="8"/>
      <c r="F1197" s="8"/>
    </row>
    <row r="1198" spans="1:6" ht="15" customHeight="1" x14ac:dyDescent="0.2">
      <c r="A1198" s="38"/>
      <c r="B1198" s="38"/>
      <c r="C1198" s="8"/>
      <c r="D1198" s="8"/>
      <c r="E1198" s="8"/>
      <c r="F1198" s="8"/>
    </row>
    <row r="1199" spans="1:6" ht="15" customHeight="1" x14ac:dyDescent="0.2">
      <c r="A1199" s="38"/>
      <c r="B1199" s="38"/>
      <c r="C1199" s="8"/>
      <c r="D1199" s="8"/>
      <c r="E1199" s="8"/>
      <c r="F1199" s="8"/>
    </row>
    <row r="1200" spans="1:6" ht="15" customHeight="1" x14ac:dyDescent="0.2">
      <c r="A1200" s="38"/>
      <c r="B1200" s="38"/>
      <c r="C1200" s="8"/>
      <c r="D1200" s="8"/>
      <c r="E1200" s="8"/>
      <c r="F1200" s="8"/>
    </row>
    <row r="1201" spans="1:6" ht="15" customHeight="1" x14ac:dyDescent="0.2">
      <c r="A1201" s="38"/>
      <c r="B1201" s="38"/>
      <c r="C1201" s="8"/>
      <c r="D1201" s="8"/>
      <c r="E1201" s="8"/>
      <c r="F1201" s="8"/>
    </row>
    <row r="1202" spans="1:6" ht="15" customHeight="1" x14ac:dyDescent="0.2">
      <c r="A1202" s="38"/>
      <c r="B1202" s="38"/>
      <c r="C1202" s="8"/>
      <c r="D1202" s="8"/>
      <c r="E1202" s="8"/>
      <c r="F1202" s="8"/>
    </row>
    <row r="1203" spans="1:6" ht="15" customHeight="1" x14ac:dyDescent="0.2">
      <c r="A1203" s="38"/>
      <c r="B1203" s="38"/>
      <c r="C1203" s="8"/>
      <c r="D1203" s="8"/>
      <c r="E1203" s="8"/>
      <c r="F1203" s="8"/>
    </row>
    <row r="1204" spans="1:6" ht="15" customHeight="1" x14ac:dyDescent="0.2">
      <c r="A1204" s="38"/>
      <c r="B1204" s="38"/>
      <c r="C1204" s="8"/>
      <c r="D1204" s="8"/>
      <c r="E1204" s="8"/>
      <c r="F1204" s="8"/>
    </row>
    <row r="1205" spans="1:6" ht="15" customHeight="1" x14ac:dyDescent="0.2">
      <c r="A1205" s="38"/>
      <c r="B1205" s="38"/>
      <c r="C1205" s="8"/>
      <c r="D1205" s="8"/>
      <c r="E1205" s="8"/>
      <c r="F1205" s="8"/>
    </row>
    <row r="1206" spans="1:6" ht="15" customHeight="1" x14ac:dyDescent="0.2">
      <c r="A1206" s="38"/>
      <c r="B1206" s="38"/>
      <c r="C1206" s="8"/>
      <c r="D1206" s="8"/>
      <c r="E1206" s="8"/>
      <c r="F1206" s="8"/>
    </row>
    <row r="1207" spans="1:6" ht="15" customHeight="1" x14ac:dyDescent="0.2">
      <c r="A1207" s="38"/>
      <c r="B1207" s="38"/>
      <c r="C1207" s="8"/>
      <c r="D1207" s="8"/>
      <c r="E1207" s="8"/>
      <c r="F1207" s="8"/>
    </row>
    <row r="1208" spans="1:6" ht="15" customHeight="1" x14ac:dyDescent="0.2">
      <c r="A1208" s="38"/>
      <c r="B1208" s="38"/>
      <c r="C1208" s="8"/>
      <c r="D1208" s="8"/>
      <c r="E1208" s="8"/>
      <c r="F1208" s="8"/>
    </row>
    <row r="1209" spans="1:6" ht="15" customHeight="1" x14ac:dyDescent="0.2">
      <c r="A1209" s="38"/>
      <c r="B1209" s="38"/>
      <c r="C1209" s="8"/>
      <c r="D1209" s="8"/>
      <c r="E1209" s="8"/>
      <c r="F1209" s="8"/>
    </row>
    <row r="1210" spans="1:6" ht="15" customHeight="1" x14ac:dyDescent="0.2">
      <c r="A1210" s="38"/>
      <c r="B1210" s="38"/>
      <c r="C1210" s="8"/>
      <c r="D1210" s="8"/>
      <c r="E1210" s="8"/>
      <c r="F1210" s="8"/>
    </row>
    <row r="1211" spans="1:6" ht="15" customHeight="1" x14ac:dyDescent="0.2">
      <c r="A1211" s="38"/>
      <c r="B1211" s="38"/>
      <c r="C1211" s="8"/>
      <c r="D1211" s="8"/>
      <c r="E1211" s="8"/>
      <c r="F1211" s="8"/>
    </row>
    <row r="1212" spans="1:6" ht="15" customHeight="1" x14ac:dyDescent="0.2">
      <c r="A1212" s="38"/>
      <c r="B1212" s="38"/>
      <c r="C1212" s="8"/>
      <c r="D1212" s="8"/>
      <c r="E1212" s="8"/>
      <c r="F1212" s="8"/>
    </row>
    <row r="1213" spans="1:6" ht="15" customHeight="1" x14ac:dyDescent="0.2">
      <c r="A1213" s="38"/>
      <c r="B1213" s="38"/>
      <c r="C1213" s="8"/>
      <c r="D1213" s="8"/>
      <c r="E1213" s="8"/>
      <c r="F1213" s="8"/>
    </row>
    <row r="1214" spans="1:6" ht="15" customHeight="1" x14ac:dyDescent="0.2">
      <c r="A1214" s="38"/>
      <c r="B1214" s="38"/>
      <c r="C1214" s="8"/>
      <c r="D1214" s="8"/>
      <c r="E1214" s="8"/>
      <c r="F1214" s="8"/>
    </row>
    <row r="1215" spans="1:6" ht="15" customHeight="1" x14ac:dyDescent="0.2">
      <c r="A1215" s="38"/>
      <c r="B1215" s="38"/>
      <c r="C1215" s="8"/>
      <c r="D1215" s="8"/>
      <c r="E1215" s="8"/>
      <c r="F1215" s="8"/>
    </row>
    <row r="1216" spans="1:6" ht="15" customHeight="1" x14ac:dyDescent="0.2">
      <c r="A1216" s="38"/>
      <c r="B1216" s="38"/>
      <c r="C1216" s="8"/>
      <c r="D1216" s="8"/>
      <c r="E1216" s="8"/>
      <c r="F1216" s="8"/>
    </row>
    <row r="1217" spans="1:6" ht="15" customHeight="1" x14ac:dyDescent="0.2">
      <c r="A1217" s="38"/>
      <c r="B1217" s="38"/>
      <c r="C1217" s="8"/>
      <c r="D1217" s="8"/>
      <c r="E1217" s="8"/>
      <c r="F1217" s="8"/>
    </row>
    <row r="1218" spans="1:6" ht="15" customHeight="1" x14ac:dyDescent="0.2">
      <c r="A1218" s="38"/>
      <c r="B1218" s="38"/>
      <c r="C1218" s="8"/>
      <c r="D1218" s="8"/>
      <c r="E1218" s="8"/>
      <c r="F1218" s="8"/>
    </row>
    <row r="1219" spans="1:6" ht="15" customHeight="1" x14ac:dyDescent="0.2">
      <c r="A1219" s="38"/>
      <c r="B1219" s="38"/>
      <c r="C1219" s="8"/>
      <c r="D1219" s="8"/>
      <c r="E1219" s="8"/>
      <c r="F1219" s="8"/>
    </row>
    <row r="1220" spans="1:6" ht="15" customHeight="1" x14ac:dyDescent="0.2">
      <c r="A1220" s="38"/>
      <c r="B1220" s="38"/>
      <c r="C1220" s="8"/>
      <c r="D1220" s="8"/>
      <c r="E1220" s="8"/>
      <c r="F1220" s="8"/>
    </row>
    <row r="1221" spans="1:6" ht="15" customHeight="1" x14ac:dyDescent="0.2">
      <c r="A1221" s="38"/>
      <c r="B1221" s="38"/>
      <c r="C1221" s="8"/>
      <c r="D1221" s="8"/>
      <c r="E1221" s="8"/>
      <c r="F1221" s="8"/>
    </row>
    <row r="1222" spans="1:6" ht="15" customHeight="1" x14ac:dyDescent="0.2">
      <c r="A1222" s="38"/>
      <c r="B1222" s="38"/>
      <c r="C1222" s="8"/>
      <c r="D1222" s="8"/>
      <c r="E1222" s="8"/>
      <c r="F1222" s="8"/>
    </row>
    <row r="1223" spans="1:6" ht="15" customHeight="1" x14ac:dyDescent="0.2">
      <c r="A1223" s="38"/>
      <c r="B1223" s="38"/>
      <c r="C1223" s="8"/>
      <c r="D1223" s="8"/>
      <c r="E1223" s="8"/>
      <c r="F1223" s="8"/>
    </row>
    <row r="1224" spans="1:6" ht="15" customHeight="1" x14ac:dyDescent="0.2">
      <c r="A1224" s="38"/>
      <c r="B1224" s="38"/>
      <c r="C1224" s="8"/>
      <c r="D1224" s="8"/>
      <c r="E1224" s="8"/>
      <c r="F1224" s="8"/>
    </row>
    <row r="1225" spans="1:6" ht="15" customHeight="1" x14ac:dyDescent="0.2">
      <c r="A1225" s="38"/>
      <c r="B1225" s="38"/>
      <c r="C1225" s="8"/>
      <c r="D1225" s="8"/>
      <c r="E1225" s="8"/>
      <c r="F1225" s="8"/>
    </row>
    <row r="1226" spans="1:6" ht="15" customHeight="1" x14ac:dyDescent="0.2">
      <c r="A1226" s="38"/>
      <c r="B1226" s="38"/>
      <c r="C1226" s="8"/>
      <c r="D1226" s="8"/>
      <c r="E1226" s="8"/>
      <c r="F1226" s="8"/>
    </row>
    <row r="1227" spans="1:6" ht="15" customHeight="1" x14ac:dyDescent="0.2">
      <c r="A1227" s="38"/>
      <c r="B1227" s="38"/>
      <c r="C1227" s="8"/>
      <c r="D1227" s="8"/>
      <c r="E1227" s="8"/>
      <c r="F1227" s="8"/>
    </row>
    <row r="1228" spans="1:6" ht="15" customHeight="1" x14ac:dyDescent="0.2">
      <c r="A1228" s="38"/>
      <c r="B1228" s="38"/>
      <c r="C1228" s="8"/>
      <c r="D1228" s="8"/>
      <c r="E1228" s="8"/>
      <c r="F1228" s="8"/>
    </row>
    <row r="1229" spans="1:6" ht="15" customHeight="1" x14ac:dyDescent="0.2">
      <c r="A1229" s="38"/>
      <c r="B1229" s="38"/>
      <c r="C1229" s="8"/>
      <c r="D1229" s="8"/>
      <c r="E1229" s="8"/>
      <c r="F1229" s="8"/>
    </row>
    <row r="1230" spans="1:6" ht="15" customHeight="1" x14ac:dyDescent="0.2">
      <c r="A1230" s="38"/>
      <c r="B1230" s="38"/>
      <c r="C1230" s="8"/>
      <c r="D1230" s="8"/>
      <c r="E1230" s="8"/>
      <c r="F1230" s="8"/>
    </row>
    <row r="1231" spans="1:6" ht="15" customHeight="1" x14ac:dyDescent="0.2">
      <c r="A1231" s="38"/>
      <c r="B1231" s="38"/>
      <c r="C1231" s="8"/>
      <c r="D1231" s="8"/>
      <c r="E1231" s="8"/>
      <c r="F1231" s="8"/>
    </row>
    <row r="1232" spans="1:6" ht="15" customHeight="1" x14ac:dyDescent="0.2">
      <c r="A1232" s="38"/>
      <c r="B1232" s="38"/>
      <c r="C1232" s="8"/>
      <c r="D1232" s="8"/>
      <c r="E1232" s="8"/>
      <c r="F1232" s="8"/>
    </row>
    <row r="1233" spans="1:6" ht="15" customHeight="1" x14ac:dyDescent="0.2">
      <c r="A1233" s="38"/>
      <c r="B1233" s="38"/>
      <c r="C1233" s="8"/>
      <c r="D1233" s="8"/>
      <c r="E1233" s="8"/>
      <c r="F1233" s="8"/>
    </row>
    <row r="1234" spans="1:6" ht="15" customHeight="1" x14ac:dyDescent="0.2">
      <c r="A1234" s="38"/>
      <c r="B1234" s="38"/>
      <c r="C1234" s="8"/>
      <c r="D1234" s="8"/>
      <c r="E1234" s="8"/>
      <c r="F1234" s="8"/>
    </row>
    <row r="1235" spans="1:6" ht="15" customHeight="1" x14ac:dyDescent="0.2">
      <c r="A1235" s="38"/>
      <c r="B1235" s="38"/>
      <c r="C1235" s="8"/>
      <c r="D1235" s="8"/>
      <c r="E1235" s="8"/>
      <c r="F1235" s="8"/>
    </row>
    <row r="1236" spans="1:6" ht="15" customHeight="1" x14ac:dyDescent="0.2">
      <c r="A1236" s="38"/>
      <c r="B1236" s="38"/>
      <c r="C1236" s="8"/>
      <c r="D1236" s="8"/>
      <c r="E1236" s="8"/>
      <c r="F1236" s="8"/>
    </row>
    <row r="1237" spans="1:6" ht="15" customHeight="1" x14ac:dyDescent="0.2">
      <c r="A1237" s="38"/>
      <c r="B1237" s="38"/>
      <c r="C1237" s="8"/>
      <c r="D1237" s="8"/>
      <c r="E1237" s="8"/>
      <c r="F1237" s="8"/>
    </row>
    <row r="1238" spans="1:6" ht="15" customHeight="1" x14ac:dyDescent="0.2">
      <c r="A1238" s="38"/>
      <c r="B1238" s="38"/>
      <c r="C1238" s="8"/>
      <c r="D1238" s="8"/>
      <c r="E1238" s="8"/>
      <c r="F1238" s="8"/>
    </row>
    <row r="1239" spans="1:6" ht="15" customHeight="1" x14ac:dyDescent="0.2">
      <c r="A1239" s="38"/>
      <c r="B1239" s="38"/>
      <c r="C1239" s="8"/>
      <c r="D1239" s="8"/>
      <c r="E1239" s="8"/>
      <c r="F1239" s="8"/>
    </row>
    <row r="1240" spans="1:6" ht="15" customHeight="1" x14ac:dyDescent="0.2">
      <c r="A1240" s="38"/>
      <c r="B1240" s="38"/>
      <c r="C1240" s="8"/>
      <c r="D1240" s="8"/>
      <c r="E1240" s="8"/>
      <c r="F1240" s="8"/>
    </row>
    <row r="1241" spans="1:6" ht="15" customHeight="1" x14ac:dyDescent="0.2">
      <c r="A1241" s="38"/>
      <c r="B1241" s="38"/>
      <c r="C1241" s="8"/>
      <c r="D1241" s="8"/>
      <c r="E1241" s="8"/>
      <c r="F1241" s="8"/>
    </row>
    <row r="1242" spans="1:6" ht="15" customHeight="1" x14ac:dyDescent="0.2">
      <c r="A1242" s="38"/>
      <c r="B1242" s="38"/>
      <c r="C1242" s="8"/>
      <c r="D1242" s="8"/>
      <c r="E1242" s="8"/>
      <c r="F1242" s="8"/>
    </row>
    <row r="1243" spans="1:6" ht="15" customHeight="1" x14ac:dyDescent="0.2">
      <c r="A1243" s="38"/>
      <c r="B1243" s="38"/>
      <c r="C1243" s="8"/>
      <c r="D1243" s="8"/>
      <c r="E1243" s="8"/>
      <c r="F1243" s="8"/>
    </row>
    <row r="1244" spans="1:6" ht="15" customHeight="1" x14ac:dyDescent="0.2">
      <c r="A1244" s="38"/>
      <c r="B1244" s="38"/>
      <c r="C1244" s="8"/>
      <c r="D1244" s="8"/>
      <c r="E1244" s="8"/>
      <c r="F1244" s="8"/>
    </row>
    <row r="1245" spans="1:6" ht="15" customHeight="1" x14ac:dyDescent="0.2">
      <c r="A1245" s="38"/>
      <c r="B1245" s="38"/>
      <c r="C1245" s="8"/>
      <c r="D1245" s="8"/>
      <c r="E1245" s="8"/>
      <c r="F1245" s="8"/>
    </row>
    <row r="1246" spans="1:6" ht="15" customHeight="1" x14ac:dyDescent="0.2">
      <c r="A1246" s="38"/>
      <c r="B1246" s="38"/>
      <c r="C1246" s="8"/>
      <c r="D1246" s="8"/>
      <c r="E1246" s="8"/>
      <c r="F1246" s="8"/>
    </row>
    <row r="1247" spans="1:6" ht="15" customHeight="1" x14ac:dyDescent="0.2">
      <c r="A1247" s="38"/>
      <c r="B1247" s="38"/>
      <c r="C1247" s="8"/>
      <c r="D1247" s="8"/>
      <c r="E1247" s="8"/>
      <c r="F1247" s="8"/>
    </row>
    <row r="1248" spans="1:6" ht="15" customHeight="1" x14ac:dyDescent="0.2">
      <c r="A1248" s="38"/>
      <c r="B1248" s="38"/>
      <c r="C1248" s="8"/>
      <c r="D1248" s="8"/>
      <c r="E1248" s="8"/>
      <c r="F1248" s="8"/>
    </row>
    <row r="1249" spans="1:6" ht="15" customHeight="1" x14ac:dyDescent="0.2">
      <c r="A1249" s="38"/>
      <c r="B1249" s="38"/>
      <c r="C1249" s="8"/>
      <c r="D1249" s="8"/>
      <c r="E1249" s="8"/>
      <c r="F1249" s="8"/>
    </row>
    <row r="1250" spans="1:6" ht="15" customHeight="1" x14ac:dyDescent="0.2">
      <c r="A1250" s="38"/>
      <c r="B1250" s="38"/>
      <c r="C1250" s="8"/>
      <c r="D1250" s="8"/>
      <c r="E1250" s="8"/>
      <c r="F1250" s="8"/>
    </row>
    <row r="1251" spans="1:6" ht="15" customHeight="1" x14ac:dyDescent="0.2">
      <c r="A1251" s="38"/>
      <c r="B1251" s="38"/>
      <c r="C1251" s="8"/>
      <c r="D1251" s="8"/>
      <c r="E1251" s="8"/>
      <c r="F1251" s="8"/>
    </row>
    <row r="1252" spans="1:6" ht="15" customHeight="1" x14ac:dyDescent="0.2">
      <c r="A1252" s="38"/>
      <c r="B1252" s="38"/>
      <c r="C1252" s="8"/>
      <c r="D1252" s="8"/>
      <c r="E1252" s="8"/>
      <c r="F1252" s="8"/>
    </row>
    <row r="1253" spans="1:6" ht="15" customHeight="1" x14ac:dyDescent="0.2">
      <c r="A1253" s="38"/>
      <c r="B1253" s="38"/>
      <c r="C1253" s="8"/>
      <c r="D1253" s="8"/>
      <c r="E1253" s="8"/>
      <c r="F1253" s="8"/>
    </row>
    <row r="1254" spans="1:6" ht="15" customHeight="1" x14ac:dyDescent="0.2">
      <c r="A1254" s="38"/>
      <c r="B1254" s="38"/>
      <c r="C1254" s="8"/>
      <c r="D1254" s="8"/>
      <c r="E1254" s="8"/>
      <c r="F1254" s="8"/>
    </row>
    <row r="1255" spans="1:6" ht="15" customHeight="1" x14ac:dyDescent="0.2">
      <c r="A1255" s="38"/>
      <c r="B1255" s="38"/>
      <c r="C1255" s="8"/>
      <c r="D1255" s="8"/>
      <c r="E1255" s="8"/>
      <c r="F1255" s="8"/>
    </row>
    <row r="1256" spans="1:6" ht="15" customHeight="1" x14ac:dyDescent="0.2">
      <c r="A1256" s="38"/>
      <c r="B1256" s="38"/>
      <c r="C1256" s="8"/>
      <c r="D1256" s="8"/>
      <c r="E1256" s="8"/>
      <c r="F1256" s="8"/>
    </row>
    <row r="1257" spans="1:6" ht="15" customHeight="1" x14ac:dyDescent="0.2">
      <c r="A1257" s="38"/>
      <c r="B1257" s="38"/>
      <c r="C1257" s="8"/>
      <c r="D1257" s="8"/>
      <c r="E1257" s="8"/>
      <c r="F1257" s="8"/>
    </row>
    <row r="1258" spans="1:6" ht="15" customHeight="1" x14ac:dyDescent="0.2">
      <c r="A1258" s="38"/>
      <c r="B1258" s="38"/>
      <c r="C1258" s="8"/>
      <c r="D1258" s="8"/>
      <c r="E1258" s="8"/>
      <c r="F1258" s="8"/>
    </row>
    <row r="1259" spans="1:6" ht="15" customHeight="1" x14ac:dyDescent="0.2">
      <c r="A1259" s="38"/>
      <c r="B1259" s="38"/>
      <c r="C1259" s="8"/>
      <c r="D1259" s="8"/>
      <c r="E1259" s="8"/>
      <c r="F1259" s="8"/>
    </row>
    <row r="1260" spans="1:6" ht="15" customHeight="1" x14ac:dyDescent="0.2">
      <c r="A1260" s="38"/>
      <c r="B1260" s="38"/>
      <c r="C1260" s="8"/>
      <c r="D1260" s="8"/>
      <c r="E1260" s="8"/>
      <c r="F1260" s="8"/>
    </row>
    <row r="1261" spans="1:6" ht="15" customHeight="1" x14ac:dyDescent="0.2">
      <c r="A1261" s="38"/>
      <c r="B1261" s="38"/>
      <c r="C1261" s="8"/>
      <c r="D1261" s="8"/>
      <c r="E1261" s="8"/>
      <c r="F1261" s="8"/>
    </row>
    <row r="1262" spans="1:6" ht="15" customHeight="1" x14ac:dyDescent="0.2">
      <c r="A1262" s="38"/>
      <c r="B1262" s="38"/>
      <c r="C1262" s="8"/>
      <c r="D1262" s="8"/>
      <c r="E1262" s="8"/>
      <c r="F1262" s="8"/>
    </row>
    <row r="1263" spans="1:6" ht="15" customHeight="1" x14ac:dyDescent="0.2">
      <c r="A1263" s="38"/>
      <c r="B1263" s="38"/>
      <c r="C1263" s="8"/>
      <c r="D1263" s="8"/>
      <c r="E1263" s="8"/>
      <c r="F1263" s="8"/>
    </row>
    <row r="1264" spans="1:6" ht="15" customHeight="1" x14ac:dyDescent="0.2">
      <c r="A1264" s="38"/>
      <c r="B1264" s="38"/>
      <c r="C1264" s="8"/>
      <c r="D1264" s="8"/>
      <c r="E1264" s="8"/>
      <c r="F1264" s="8"/>
    </row>
    <row r="1265" spans="1:6" ht="15" customHeight="1" x14ac:dyDescent="0.2">
      <c r="A1265" s="38"/>
      <c r="B1265" s="38"/>
      <c r="C1265" s="8"/>
      <c r="D1265" s="8"/>
      <c r="E1265" s="8"/>
      <c r="F1265" s="8"/>
    </row>
    <row r="1266" spans="1:6" ht="15" customHeight="1" x14ac:dyDescent="0.2">
      <c r="A1266" s="38"/>
      <c r="B1266" s="38"/>
      <c r="C1266" s="8"/>
      <c r="D1266" s="8"/>
      <c r="E1266" s="8"/>
      <c r="F1266" s="8"/>
    </row>
    <row r="1267" spans="1:6" ht="15" customHeight="1" x14ac:dyDescent="0.2">
      <c r="A1267" s="38"/>
      <c r="B1267" s="38"/>
      <c r="C1267" s="8"/>
      <c r="D1267" s="8"/>
      <c r="E1267" s="8"/>
      <c r="F1267" s="8"/>
    </row>
    <row r="1268" spans="1:6" ht="15" customHeight="1" x14ac:dyDescent="0.2">
      <c r="A1268" s="38"/>
      <c r="B1268" s="38"/>
      <c r="C1268" s="8"/>
      <c r="D1268" s="8"/>
      <c r="E1268" s="8"/>
      <c r="F1268" s="8"/>
    </row>
    <row r="1269" spans="1:6" ht="15" customHeight="1" x14ac:dyDescent="0.2">
      <c r="A1269" s="38"/>
      <c r="B1269" s="38"/>
      <c r="C1269" s="8"/>
      <c r="D1269" s="8"/>
      <c r="E1269" s="8"/>
      <c r="F1269" s="8"/>
    </row>
    <row r="1270" spans="1:6" ht="15" customHeight="1" x14ac:dyDescent="0.2">
      <c r="A1270" s="38"/>
      <c r="B1270" s="38"/>
      <c r="C1270" s="8"/>
      <c r="D1270" s="8"/>
      <c r="E1270" s="8"/>
      <c r="F1270" s="8"/>
    </row>
    <row r="1271" spans="1:6" ht="15" customHeight="1" x14ac:dyDescent="0.2">
      <c r="A1271" s="38"/>
      <c r="B1271" s="38"/>
      <c r="C1271" s="8"/>
      <c r="D1271" s="8"/>
      <c r="E1271" s="8"/>
      <c r="F1271" s="8"/>
    </row>
    <row r="1272" spans="1:6" ht="15" customHeight="1" x14ac:dyDescent="0.2">
      <c r="A1272" s="38"/>
      <c r="B1272" s="38"/>
      <c r="C1272" s="8"/>
      <c r="D1272" s="8"/>
      <c r="E1272" s="8"/>
      <c r="F1272" s="8"/>
    </row>
    <row r="1273" spans="1:6" ht="15" customHeight="1" x14ac:dyDescent="0.2">
      <c r="A1273" s="38"/>
      <c r="B1273" s="38"/>
      <c r="C1273" s="8"/>
      <c r="D1273" s="8"/>
      <c r="E1273" s="8"/>
      <c r="F1273" s="8"/>
    </row>
    <row r="1274" spans="1:6" ht="15" customHeight="1" x14ac:dyDescent="0.2">
      <c r="A1274" s="38"/>
      <c r="B1274" s="38"/>
      <c r="C1274" s="8"/>
      <c r="D1274" s="8"/>
      <c r="E1274" s="8"/>
      <c r="F1274" s="8"/>
    </row>
    <row r="1275" spans="1:6" ht="15" customHeight="1" x14ac:dyDescent="0.2">
      <c r="A1275" s="38"/>
      <c r="B1275" s="38"/>
      <c r="C1275" s="8"/>
      <c r="D1275" s="8"/>
      <c r="E1275" s="8"/>
      <c r="F1275" s="8"/>
    </row>
    <row r="1276" spans="1:6" ht="15" customHeight="1" x14ac:dyDescent="0.2">
      <c r="A1276" s="38"/>
      <c r="B1276" s="38"/>
      <c r="C1276" s="8"/>
      <c r="D1276" s="8"/>
      <c r="E1276" s="8"/>
      <c r="F1276" s="8"/>
    </row>
    <row r="1277" spans="1:6" ht="15" customHeight="1" x14ac:dyDescent="0.2">
      <c r="A1277" s="38"/>
      <c r="B1277" s="38"/>
      <c r="C1277" s="8"/>
      <c r="D1277" s="8"/>
      <c r="E1277" s="8"/>
      <c r="F1277" s="8"/>
    </row>
    <row r="1278" spans="1:6" ht="15" customHeight="1" x14ac:dyDescent="0.2">
      <c r="A1278" s="38"/>
      <c r="B1278" s="38"/>
      <c r="C1278" s="8"/>
      <c r="D1278" s="8"/>
      <c r="E1278" s="8"/>
      <c r="F1278" s="8"/>
    </row>
    <row r="1279" spans="1:6" ht="15" customHeight="1" x14ac:dyDescent="0.2">
      <c r="A1279" s="38"/>
      <c r="B1279" s="38"/>
      <c r="C1279" s="8"/>
      <c r="D1279" s="8"/>
      <c r="E1279" s="8"/>
      <c r="F1279" s="8"/>
    </row>
    <row r="1280" spans="1:6" ht="15" customHeight="1" x14ac:dyDescent="0.2">
      <c r="A1280" s="38"/>
      <c r="B1280" s="38"/>
      <c r="C1280" s="8"/>
      <c r="D1280" s="8"/>
      <c r="E1280" s="8"/>
      <c r="F1280" s="8"/>
    </row>
    <row r="1281" spans="1:6" ht="15" customHeight="1" x14ac:dyDescent="0.2">
      <c r="A1281" s="38"/>
      <c r="B1281" s="38"/>
      <c r="C1281" s="8"/>
      <c r="D1281" s="8"/>
      <c r="E1281" s="8"/>
      <c r="F1281" s="8"/>
    </row>
    <row r="1282" spans="1:6" ht="15" customHeight="1" x14ac:dyDescent="0.2">
      <c r="A1282" s="38"/>
      <c r="B1282" s="38"/>
      <c r="C1282" s="8"/>
      <c r="D1282" s="8"/>
      <c r="E1282" s="8"/>
      <c r="F1282" s="8"/>
    </row>
    <row r="1283" spans="1:6" ht="15" customHeight="1" x14ac:dyDescent="0.2">
      <c r="A1283" s="38"/>
      <c r="B1283" s="38"/>
      <c r="C1283" s="8"/>
      <c r="D1283" s="8"/>
      <c r="E1283" s="8"/>
      <c r="F1283" s="8"/>
    </row>
    <row r="1284" spans="1:6" ht="15" customHeight="1" x14ac:dyDescent="0.2">
      <c r="A1284" s="38"/>
      <c r="B1284" s="38"/>
      <c r="C1284" s="8"/>
      <c r="D1284" s="8"/>
      <c r="E1284" s="8"/>
      <c r="F1284" s="8"/>
    </row>
    <row r="1285" spans="1:6" ht="15" customHeight="1" x14ac:dyDescent="0.2">
      <c r="A1285" s="38"/>
      <c r="B1285" s="38"/>
      <c r="C1285" s="8"/>
      <c r="D1285" s="8"/>
      <c r="E1285" s="8"/>
      <c r="F1285" s="8"/>
    </row>
    <row r="1286" spans="1:6" ht="15" customHeight="1" x14ac:dyDescent="0.2">
      <c r="A1286" s="38"/>
      <c r="B1286" s="38"/>
      <c r="C1286" s="8"/>
      <c r="D1286" s="8"/>
      <c r="E1286" s="8"/>
      <c r="F1286" s="8"/>
    </row>
    <row r="1287" spans="1:6" ht="15" customHeight="1" x14ac:dyDescent="0.2">
      <c r="A1287" s="38"/>
      <c r="B1287" s="38"/>
      <c r="C1287" s="8"/>
      <c r="D1287" s="8"/>
      <c r="E1287" s="8"/>
      <c r="F1287" s="8"/>
    </row>
    <row r="1288" spans="1:6" ht="15" customHeight="1" x14ac:dyDescent="0.2">
      <c r="A1288" s="38"/>
      <c r="B1288" s="38"/>
      <c r="C1288" s="8"/>
      <c r="D1288" s="8"/>
      <c r="E1288" s="8"/>
      <c r="F1288" s="8"/>
    </row>
    <row r="1289" spans="1:6" ht="15" customHeight="1" x14ac:dyDescent="0.2">
      <c r="A1289" s="38"/>
      <c r="B1289" s="38"/>
      <c r="C1289" s="8"/>
      <c r="D1289" s="8"/>
      <c r="E1289" s="8"/>
      <c r="F1289" s="8"/>
    </row>
    <row r="1290" spans="1:6" ht="15" customHeight="1" x14ac:dyDescent="0.2">
      <c r="A1290" s="38"/>
      <c r="B1290" s="38"/>
      <c r="C1290" s="8"/>
      <c r="D1290" s="8"/>
      <c r="E1290" s="8"/>
      <c r="F1290" s="8"/>
    </row>
    <row r="1291" spans="1:6" ht="15" customHeight="1" x14ac:dyDescent="0.2">
      <c r="A1291" s="38"/>
      <c r="B1291" s="38"/>
      <c r="C1291" s="8"/>
      <c r="D1291" s="8"/>
      <c r="E1291" s="8"/>
      <c r="F1291" s="8"/>
    </row>
    <row r="1292" spans="1:6" ht="15" customHeight="1" x14ac:dyDescent="0.2">
      <c r="A1292" s="38"/>
      <c r="B1292" s="38"/>
      <c r="C1292" s="8"/>
      <c r="D1292" s="8"/>
      <c r="E1292" s="8"/>
      <c r="F1292" s="8"/>
    </row>
    <row r="1293" spans="1:6" ht="15" customHeight="1" x14ac:dyDescent="0.2">
      <c r="A1293" s="38"/>
      <c r="B1293" s="38"/>
      <c r="C1293" s="8"/>
      <c r="D1293" s="8"/>
      <c r="E1293" s="8"/>
      <c r="F1293" s="8"/>
    </row>
    <row r="1294" spans="1:6" ht="15" customHeight="1" x14ac:dyDescent="0.2">
      <c r="A1294" s="38"/>
      <c r="B1294" s="38"/>
      <c r="C1294" s="8"/>
      <c r="D1294" s="8"/>
      <c r="E1294" s="8"/>
      <c r="F1294" s="8"/>
    </row>
    <row r="1295" spans="1:6" ht="15" customHeight="1" x14ac:dyDescent="0.2">
      <c r="A1295" s="38"/>
      <c r="B1295" s="38"/>
      <c r="C1295" s="8"/>
      <c r="D1295" s="8"/>
      <c r="E1295" s="8"/>
      <c r="F1295" s="8"/>
    </row>
    <row r="1296" spans="1:6" ht="15" customHeight="1" x14ac:dyDescent="0.2">
      <c r="A1296" s="38"/>
      <c r="B1296" s="38"/>
      <c r="C1296" s="8"/>
      <c r="D1296" s="8"/>
      <c r="E1296" s="8"/>
      <c r="F1296" s="8"/>
    </row>
    <row r="1297" spans="1:6" ht="15" customHeight="1" x14ac:dyDescent="0.2">
      <c r="A1297" s="38"/>
      <c r="B1297" s="38"/>
      <c r="C1297" s="8"/>
      <c r="D1297" s="8"/>
      <c r="E1297" s="8"/>
      <c r="F1297" s="8"/>
    </row>
    <row r="1298" spans="1:6" ht="15" customHeight="1" x14ac:dyDescent="0.2">
      <c r="A1298" s="38"/>
      <c r="B1298" s="38"/>
      <c r="C1298" s="8"/>
      <c r="D1298" s="8"/>
      <c r="E1298" s="8"/>
      <c r="F1298" s="8"/>
    </row>
    <row r="1299" spans="1:6" ht="15" customHeight="1" x14ac:dyDescent="0.2">
      <c r="A1299" s="38"/>
      <c r="B1299" s="38"/>
      <c r="C1299" s="8"/>
      <c r="D1299" s="8"/>
      <c r="E1299" s="8"/>
      <c r="F1299" s="8"/>
    </row>
    <row r="1300" spans="1:6" ht="15" customHeight="1" x14ac:dyDescent="0.2">
      <c r="A1300" s="38"/>
      <c r="B1300" s="38"/>
      <c r="C1300" s="8"/>
      <c r="D1300" s="8"/>
      <c r="E1300" s="8"/>
      <c r="F1300" s="8"/>
    </row>
    <row r="1301" spans="1:6" ht="15" customHeight="1" x14ac:dyDescent="0.2">
      <c r="A1301" s="38"/>
      <c r="B1301" s="38"/>
      <c r="C1301" s="8"/>
      <c r="D1301" s="8"/>
      <c r="E1301" s="8"/>
      <c r="F1301" s="8"/>
    </row>
    <row r="1302" spans="1:6" ht="15" customHeight="1" x14ac:dyDescent="0.2">
      <c r="A1302" s="38"/>
      <c r="B1302" s="38"/>
      <c r="C1302" s="8"/>
      <c r="D1302" s="8"/>
      <c r="E1302" s="8"/>
      <c r="F1302" s="8"/>
    </row>
    <row r="1303" spans="1:6" ht="15" customHeight="1" x14ac:dyDescent="0.2">
      <c r="A1303" s="38"/>
      <c r="B1303" s="38"/>
      <c r="C1303" s="8"/>
      <c r="D1303" s="8"/>
      <c r="E1303" s="8"/>
      <c r="F1303" s="8"/>
    </row>
    <row r="1304" spans="1:6" ht="15" customHeight="1" x14ac:dyDescent="0.2">
      <c r="A1304" s="38"/>
      <c r="B1304" s="38"/>
      <c r="C1304" s="8"/>
      <c r="D1304" s="8"/>
      <c r="E1304" s="8"/>
      <c r="F1304" s="8"/>
    </row>
    <row r="1305" spans="1:6" ht="15" customHeight="1" x14ac:dyDescent="0.2">
      <c r="A1305" s="38"/>
      <c r="B1305" s="38"/>
      <c r="C1305" s="8"/>
      <c r="D1305" s="8"/>
      <c r="E1305" s="8"/>
      <c r="F1305" s="8"/>
    </row>
    <row r="1306" spans="1:6" ht="15" customHeight="1" x14ac:dyDescent="0.2">
      <c r="A1306" s="38"/>
      <c r="B1306" s="38"/>
      <c r="C1306" s="8"/>
      <c r="D1306" s="8"/>
      <c r="E1306" s="8"/>
      <c r="F1306" s="8"/>
    </row>
    <row r="1307" spans="1:6" ht="15" customHeight="1" x14ac:dyDescent="0.2">
      <c r="A1307" s="38"/>
      <c r="B1307" s="38"/>
      <c r="C1307" s="8"/>
      <c r="D1307" s="8"/>
      <c r="E1307" s="8"/>
      <c r="F1307" s="8"/>
    </row>
    <row r="1308" spans="1:6" ht="15" customHeight="1" x14ac:dyDescent="0.2">
      <c r="A1308" s="38"/>
      <c r="B1308" s="38"/>
      <c r="C1308" s="8"/>
      <c r="D1308" s="8"/>
      <c r="E1308" s="8"/>
      <c r="F1308" s="8"/>
    </row>
    <row r="1309" spans="1:6" ht="15" customHeight="1" x14ac:dyDescent="0.2">
      <c r="A1309" s="38"/>
      <c r="B1309" s="38"/>
      <c r="C1309" s="8"/>
      <c r="D1309" s="8"/>
      <c r="E1309" s="8"/>
      <c r="F1309" s="8"/>
    </row>
    <row r="1310" spans="1:6" ht="15" customHeight="1" x14ac:dyDescent="0.2">
      <c r="A1310" s="38"/>
      <c r="B1310" s="38"/>
      <c r="C1310" s="8"/>
      <c r="D1310" s="8"/>
      <c r="E1310" s="8"/>
      <c r="F1310" s="8"/>
    </row>
    <row r="1311" spans="1:6" ht="15" customHeight="1" x14ac:dyDescent="0.2">
      <c r="A1311" s="38"/>
      <c r="B1311" s="38"/>
      <c r="C1311" s="8"/>
      <c r="D1311" s="8"/>
      <c r="E1311" s="8"/>
      <c r="F1311" s="8"/>
    </row>
    <row r="1312" spans="1:6" ht="15" customHeight="1" x14ac:dyDescent="0.2">
      <c r="A1312" s="38"/>
      <c r="B1312" s="38"/>
      <c r="C1312" s="8"/>
      <c r="D1312" s="8"/>
      <c r="E1312" s="8"/>
      <c r="F1312" s="8"/>
    </row>
    <row r="1313" spans="1:6" ht="15" customHeight="1" x14ac:dyDescent="0.2">
      <c r="A1313" s="38"/>
      <c r="B1313" s="38"/>
      <c r="C1313" s="8"/>
      <c r="D1313" s="8"/>
      <c r="E1313" s="8"/>
      <c r="F1313" s="8"/>
    </row>
    <row r="1314" spans="1:6" ht="15" customHeight="1" x14ac:dyDescent="0.2">
      <c r="A1314" s="38"/>
      <c r="B1314" s="38"/>
      <c r="C1314" s="8"/>
      <c r="D1314" s="8"/>
      <c r="E1314" s="8"/>
      <c r="F1314" s="8"/>
    </row>
    <row r="1315" spans="1:6" ht="15" customHeight="1" x14ac:dyDescent="0.2">
      <c r="A1315" s="38"/>
      <c r="B1315" s="38"/>
      <c r="C1315" s="8"/>
      <c r="D1315" s="8"/>
      <c r="E1315" s="8"/>
      <c r="F1315" s="8"/>
    </row>
    <row r="1316" spans="1:6" ht="15" customHeight="1" x14ac:dyDescent="0.2">
      <c r="A1316" s="38"/>
      <c r="B1316" s="38"/>
      <c r="C1316" s="8"/>
      <c r="D1316" s="8"/>
      <c r="E1316" s="8"/>
      <c r="F1316" s="8"/>
    </row>
    <row r="1317" spans="1:6" ht="15" customHeight="1" x14ac:dyDescent="0.2">
      <c r="A1317" s="38"/>
      <c r="B1317" s="38"/>
      <c r="C1317" s="8"/>
      <c r="D1317" s="8"/>
      <c r="E1317" s="8"/>
      <c r="F1317" s="8"/>
    </row>
    <row r="1318" spans="1:6" ht="15" customHeight="1" x14ac:dyDescent="0.2">
      <c r="A1318" s="38"/>
      <c r="B1318" s="38"/>
      <c r="C1318" s="8"/>
      <c r="D1318" s="8"/>
      <c r="E1318" s="8"/>
      <c r="F1318" s="8"/>
    </row>
    <row r="1319" spans="1:6" ht="15" customHeight="1" x14ac:dyDescent="0.2">
      <c r="A1319" s="38"/>
      <c r="B1319" s="38"/>
      <c r="C1319" s="8"/>
      <c r="D1319" s="8"/>
      <c r="E1319" s="8"/>
      <c r="F1319" s="8"/>
    </row>
    <row r="1320" spans="1:6" ht="15" customHeight="1" x14ac:dyDescent="0.2">
      <c r="A1320" s="38"/>
      <c r="B1320" s="38"/>
      <c r="C1320" s="8"/>
      <c r="D1320" s="8"/>
      <c r="E1320" s="8"/>
      <c r="F1320" s="8"/>
    </row>
    <row r="1321" spans="1:6" ht="15" customHeight="1" x14ac:dyDescent="0.2">
      <c r="A1321" s="38"/>
      <c r="B1321" s="38"/>
      <c r="C1321" s="8"/>
      <c r="D1321" s="8"/>
      <c r="E1321" s="8"/>
      <c r="F1321" s="8"/>
    </row>
    <row r="1322" spans="1:6" ht="15" customHeight="1" x14ac:dyDescent="0.2">
      <c r="A1322" s="38"/>
      <c r="B1322" s="38"/>
      <c r="C1322" s="8"/>
      <c r="D1322" s="8"/>
      <c r="E1322" s="8"/>
      <c r="F1322" s="8"/>
    </row>
    <row r="1323" spans="1:6" ht="15" customHeight="1" x14ac:dyDescent="0.2">
      <c r="A1323" s="38"/>
      <c r="B1323" s="38"/>
      <c r="C1323" s="8"/>
      <c r="D1323" s="8"/>
      <c r="E1323" s="8"/>
      <c r="F1323" s="8"/>
    </row>
    <row r="1324" spans="1:6" ht="15" customHeight="1" x14ac:dyDescent="0.2">
      <c r="A1324" s="38"/>
      <c r="B1324" s="38"/>
      <c r="C1324" s="8"/>
      <c r="D1324" s="8"/>
      <c r="E1324" s="8"/>
      <c r="F1324" s="8"/>
    </row>
    <row r="1325" spans="1:6" ht="15" customHeight="1" x14ac:dyDescent="0.2">
      <c r="A1325" s="38"/>
      <c r="B1325" s="38"/>
      <c r="C1325" s="8"/>
      <c r="D1325" s="8"/>
      <c r="E1325" s="8"/>
      <c r="F1325" s="8"/>
    </row>
    <row r="1326" spans="1:6" ht="15" customHeight="1" x14ac:dyDescent="0.2">
      <c r="A1326" s="38"/>
      <c r="B1326" s="38"/>
      <c r="C1326" s="8"/>
      <c r="D1326" s="8"/>
      <c r="E1326" s="8"/>
      <c r="F1326" s="8"/>
    </row>
    <row r="1327" spans="1:6" ht="15" customHeight="1" x14ac:dyDescent="0.2">
      <c r="A1327" s="38"/>
      <c r="B1327" s="38"/>
      <c r="C1327" s="8"/>
      <c r="D1327" s="8"/>
      <c r="E1327" s="8"/>
      <c r="F1327" s="8"/>
    </row>
    <row r="1328" spans="1:6" ht="15" customHeight="1" x14ac:dyDescent="0.2">
      <c r="A1328" s="38"/>
      <c r="B1328" s="38"/>
      <c r="C1328" s="8"/>
      <c r="D1328" s="8"/>
      <c r="E1328" s="8"/>
      <c r="F1328" s="8"/>
    </row>
    <row r="1329" spans="1:6" ht="15" customHeight="1" x14ac:dyDescent="0.2">
      <c r="A1329" s="38"/>
      <c r="B1329" s="38"/>
      <c r="C1329" s="8"/>
      <c r="D1329" s="8"/>
      <c r="E1329" s="8"/>
      <c r="F1329" s="8"/>
    </row>
    <row r="1330" spans="1:6" ht="15" customHeight="1" x14ac:dyDescent="0.2">
      <c r="A1330" s="38"/>
      <c r="B1330" s="38"/>
      <c r="C1330" s="8"/>
      <c r="D1330" s="8"/>
      <c r="E1330" s="8"/>
      <c r="F1330" s="8"/>
    </row>
    <row r="1331" spans="1:6" ht="15" customHeight="1" x14ac:dyDescent="0.2">
      <c r="A1331" s="38"/>
      <c r="B1331" s="38"/>
      <c r="C1331" s="8"/>
      <c r="D1331" s="8"/>
      <c r="E1331" s="8"/>
      <c r="F1331" s="8"/>
    </row>
    <row r="1332" spans="1:6" ht="15" customHeight="1" x14ac:dyDescent="0.2">
      <c r="A1332" s="38"/>
      <c r="B1332" s="38"/>
      <c r="C1332" s="8"/>
      <c r="D1332" s="8"/>
      <c r="E1332" s="8"/>
      <c r="F1332" s="8"/>
    </row>
    <row r="1333" spans="1:6" ht="15" customHeight="1" x14ac:dyDescent="0.2">
      <c r="A1333" s="38"/>
      <c r="B1333" s="38"/>
      <c r="C1333" s="8"/>
      <c r="D1333" s="8"/>
      <c r="E1333" s="8"/>
      <c r="F1333" s="8"/>
    </row>
    <row r="1334" spans="1:6" ht="15" customHeight="1" x14ac:dyDescent="0.2">
      <c r="A1334" s="38"/>
      <c r="B1334" s="38"/>
      <c r="C1334" s="8"/>
      <c r="D1334" s="8"/>
      <c r="E1334" s="8"/>
      <c r="F1334" s="8"/>
    </row>
    <row r="1335" spans="1:6" ht="15" customHeight="1" x14ac:dyDescent="0.2">
      <c r="A1335" s="38"/>
      <c r="B1335" s="38"/>
      <c r="C1335" s="8"/>
      <c r="D1335" s="8"/>
      <c r="E1335" s="8"/>
      <c r="F1335" s="8"/>
    </row>
    <row r="1336" spans="1:6" ht="15" customHeight="1" x14ac:dyDescent="0.2">
      <c r="A1336" s="38"/>
      <c r="B1336" s="38"/>
      <c r="C1336" s="8"/>
      <c r="D1336" s="8"/>
      <c r="E1336" s="8"/>
      <c r="F1336" s="8"/>
    </row>
    <row r="1337" spans="1:6" ht="15" customHeight="1" x14ac:dyDescent="0.2">
      <c r="A1337" s="38"/>
      <c r="B1337" s="38"/>
      <c r="C1337" s="8"/>
      <c r="D1337" s="8"/>
      <c r="E1337" s="8"/>
      <c r="F1337" s="8"/>
    </row>
    <row r="1338" spans="1:6" ht="15" customHeight="1" x14ac:dyDescent="0.2">
      <c r="A1338" s="38"/>
      <c r="B1338" s="38"/>
      <c r="C1338" s="8"/>
      <c r="D1338" s="8"/>
      <c r="E1338" s="8"/>
      <c r="F1338" s="8"/>
    </row>
    <row r="1339" spans="1:6" ht="15" customHeight="1" x14ac:dyDescent="0.2">
      <c r="A1339" s="38"/>
      <c r="B1339" s="38"/>
      <c r="C1339" s="8"/>
      <c r="D1339" s="8"/>
      <c r="E1339" s="8"/>
      <c r="F1339" s="8"/>
    </row>
    <row r="1340" spans="1:6" ht="15" customHeight="1" x14ac:dyDescent="0.2">
      <c r="A1340" s="38"/>
      <c r="B1340" s="38"/>
      <c r="C1340" s="8"/>
      <c r="D1340" s="8"/>
      <c r="E1340" s="8"/>
      <c r="F1340" s="8"/>
    </row>
    <row r="1341" spans="1:6" ht="15" customHeight="1" x14ac:dyDescent="0.2">
      <c r="A1341" s="38"/>
      <c r="B1341" s="38"/>
      <c r="C1341" s="8"/>
      <c r="D1341" s="8"/>
      <c r="E1341" s="8"/>
      <c r="F1341" s="8"/>
    </row>
    <row r="1342" spans="1:6" ht="15" customHeight="1" x14ac:dyDescent="0.2">
      <c r="A1342" s="38"/>
      <c r="B1342" s="38"/>
      <c r="C1342" s="8"/>
      <c r="D1342" s="8"/>
      <c r="E1342" s="8"/>
      <c r="F1342" s="8"/>
    </row>
    <row r="1343" spans="1:6" ht="15" customHeight="1" x14ac:dyDescent="0.2">
      <c r="A1343" s="38"/>
      <c r="B1343" s="38"/>
      <c r="C1343" s="8"/>
      <c r="D1343" s="8"/>
      <c r="E1343" s="8"/>
      <c r="F1343" s="8"/>
    </row>
    <row r="1344" spans="1:6" ht="15" customHeight="1" x14ac:dyDescent="0.2">
      <c r="A1344" s="38"/>
      <c r="B1344" s="38"/>
      <c r="C1344" s="8"/>
      <c r="D1344" s="8"/>
      <c r="E1344" s="8"/>
      <c r="F1344" s="8"/>
    </row>
    <row r="1345" spans="1:6" ht="15" customHeight="1" x14ac:dyDescent="0.2">
      <c r="A1345" s="38"/>
      <c r="B1345" s="38"/>
      <c r="C1345" s="8"/>
      <c r="D1345" s="8"/>
      <c r="E1345" s="8"/>
      <c r="F1345" s="8"/>
    </row>
    <row r="1346" spans="1:6" ht="15" customHeight="1" x14ac:dyDescent="0.2">
      <c r="A1346" s="38"/>
      <c r="B1346" s="38"/>
      <c r="C1346" s="8"/>
      <c r="D1346" s="8"/>
      <c r="E1346" s="8"/>
      <c r="F1346" s="8"/>
    </row>
    <row r="1347" spans="1:6" ht="15" customHeight="1" x14ac:dyDescent="0.2">
      <c r="A1347" s="38"/>
      <c r="B1347" s="38"/>
      <c r="C1347" s="8"/>
      <c r="D1347" s="8"/>
      <c r="E1347" s="8"/>
      <c r="F1347" s="8"/>
    </row>
    <row r="1348" spans="1:6" ht="15" customHeight="1" x14ac:dyDescent="0.2">
      <c r="A1348" s="38"/>
      <c r="B1348" s="38"/>
      <c r="C1348" s="8"/>
      <c r="D1348" s="8"/>
      <c r="E1348" s="8"/>
      <c r="F1348" s="8"/>
    </row>
    <row r="1349" spans="1:6" ht="15" customHeight="1" x14ac:dyDescent="0.2">
      <c r="A1349" s="38"/>
      <c r="B1349" s="38"/>
      <c r="C1349" s="8"/>
      <c r="D1349" s="8"/>
      <c r="E1349" s="8"/>
      <c r="F1349" s="8"/>
    </row>
    <row r="1350" spans="1:6" ht="15" customHeight="1" x14ac:dyDescent="0.2">
      <c r="A1350" s="38"/>
      <c r="B1350" s="38"/>
      <c r="C1350" s="8"/>
      <c r="D1350" s="8"/>
      <c r="E1350" s="8"/>
      <c r="F1350" s="8"/>
    </row>
    <row r="1351" spans="1:6" ht="15" customHeight="1" x14ac:dyDescent="0.2">
      <c r="A1351" s="38"/>
      <c r="B1351" s="38"/>
      <c r="C1351" s="8"/>
      <c r="D1351" s="8"/>
      <c r="E1351" s="8"/>
      <c r="F1351" s="8"/>
    </row>
    <row r="1352" spans="1:6" ht="15" customHeight="1" x14ac:dyDescent="0.2">
      <c r="A1352" s="38"/>
      <c r="B1352" s="38"/>
      <c r="C1352" s="8"/>
      <c r="D1352" s="8"/>
      <c r="E1352" s="8"/>
      <c r="F1352" s="8"/>
    </row>
    <row r="1353" spans="1:6" ht="15" customHeight="1" x14ac:dyDescent="0.2">
      <c r="A1353" s="38"/>
      <c r="B1353" s="38"/>
      <c r="C1353" s="8"/>
      <c r="D1353" s="8"/>
      <c r="E1353" s="8"/>
      <c r="F1353" s="8"/>
    </row>
    <row r="1354" spans="1:6" ht="15" customHeight="1" x14ac:dyDescent="0.2">
      <c r="A1354" s="38"/>
      <c r="B1354" s="38"/>
      <c r="C1354" s="8"/>
      <c r="D1354" s="8"/>
      <c r="E1354" s="8"/>
      <c r="F1354" s="8"/>
    </row>
    <row r="1355" spans="1:6" ht="15" customHeight="1" x14ac:dyDescent="0.2">
      <c r="A1355" s="38"/>
      <c r="B1355" s="38"/>
      <c r="C1355" s="8"/>
      <c r="D1355" s="8"/>
      <c r="E1355" s="8"/>
      <c r="F1355" s="8"/>
    </row>
    <row r="1356" spans="1:6" ht="15" customHeight="1" x14ac:dyDescent="0.2">
      <c r="A1356" s="38"/>
      <c r="B1356" s="38"/>
      <c r="C1356" s="8"/>
      <c r="D1356" s="8"/>
      <c r="E1356" s="8"/>
      <c r="F1356" s="8"/>
    </row>
    <row r="1357" spans="1:6" ht="15" customHeight="1" x14ac:dyDescent="0.2">
      <c r="A1357" s="38"/>
      <c r="B1357" s="38"/>
      <c r="C1357" s="8"/>
      <c r="D1357" s="8"/>
      <c r="E1357" s="8"/>
      <c r="F1357" s="8"/>
    </row>
    <row r="1358" spans="1:6" ht="15" customHeight="1" x14ac:dyDescent="0.2">
      <c r="A1358" s="38"/>
      <c r="B1358" s="38"/>
      <c r="C1358" s="8"/>
      <c r="D1358" s="8"/>
      <c r="E1358" s="8"/>
      <c r="F1358" s="8"/>
    </row>
    <row r="1359" spans="1:6" ht="15" customHeight="1" x14ac:dyDescent="0.2">
      <c r="A1359" s="38"/>
      <c r="B1359" s="38"/>
      <c r="C1359" s="8"/>
      <c r="D1359" s="8"/>
      <c r="E1359" s="8"/>
      <c r="F1359" s="8"/>
    </row>
    <row r="1360" spans="1:6" ht="15" customHeight="1" x14ac:dyDescent="0.2">
      <c r="A1360" s="38"/>
      <c r="B1360" s="38"/>
      <c r="C1360" s="8"/>
      <c r="D1360" s="8"/>
      <c r="E1360" s="8"/>
      <c r="F1360" s="8"/>
    </row>
    <row r="1361" spans="1:6" ht="15" customHeight="1" x14ac:dyDescent="0.2">
      <c r="A1361" s="38"/>
      <c r="B1361" s="38"/>
      <c r="C1361" s="8"/>
      <c r="D1361" s="8"/>
      <c r="E1361" s="8"/>
      <c r="F1361" s="8"/>
    </row>
    <row r="1362" spans="1:6" ht="15" customHeight="1" x14ac:dyDescent="0.2">
      <c r="A1362" s="38"/>
      <c r="B1362" s="38"/>
      <c r="C1362" s="8"/>
      <c r="D1362" s="8"/>
      <c r="E1362" s="8"/>
      <c r="F1362" s="8"/>
    </row>
    <row r="1363" spans="1:6" ht="15" customHeight="1" x14ac:dyDescent="0.2">
      <c r="A1363" s="38"/>
      <c r="B1363" s="38"/>
      <c r="C1363" s="8"/>
      <c r="D1363" s="8"/>
      <c r="E1363" s="8"/>
      <c r="F1363" s="8"/>
    </row>
    <row r="1364" spans="1:6" ht="15" customHeight="1" x14ac:dyDescent="0.2">
      <c r="A1364" s="38"/>
      <c r="B1364" s="38"/>
      <c r="C1364" s="8"/>
      <c r="D1364" s="8"/>
      <c r="E1364" s="8"/>
      <c r="F1364" s="8"/>
    </row>
    <row r="1365" spans="1:6" ht="15" customHeight="1" x14ac:dyDescent="0.2">
      <c r="A1365" s="38"/>
      <c r="B1365" s="38"/>
      <c r="C1365" s="8"/>
      <c r="D1365" s="8"/>
      <c r="E1365" s="8"/>
      <c r="F1365" s="8"/>
    </row>
    <row r="1366" spans="1:6" ht="15" customHeight="1" x14ac:dyDescent="0.2">
      <c r="A1366" s="38"/>
      <c r="B1366" s="38"/>
      <c r="C1366" s="8"/>
      <c r="D1366" s="8"/>
      <c r="E1366" s="8"/>
      <c r="F1366" s="8"/>
    </row>
    <row r="1367" spans="1:6" ht="15" customHeight="1" x14ac:dyDescent="0.2">
      <c r="A1367" s="38"/>
      <c r="B1367" s="38"/>
      <c r="C1367" s="8"/>
      <c r="D1367" s="8"/>
      <c r="E1367" s="8"/>
      <c r="F1367" s="8"/>
    </row>
    <row r="1368" spans="1:6" ht="15" customHeight="1" x14ac:dyDescent="0.2">
      <c r="A1368" s="38"/>
      <c r="B1368" s="38"/>
      <c r="C1368" s="8"/>
      <c r="D1368" s="8"/>
      <c r="E1368" s="8"/>
      <c r="F1368" s="8"/>
    </row>
    <row r="1369" spans="1:6" ht="15" customHeight="1" x14ac:dyDescent="0.2">
      <c r="A1369" s="38"/>
      <c r="B1369" s="38"/>
      <c r="C1369" s="8"/>
      <c r="D1369" s="8"/>
      <c r="E1369" s="8"/>
      <c r="F1369" s="8"/>
    </row>
    <row r="1370" spans="1:6" ht="15" customHeight="1" x14ac:dyDescent="0.2">
      <c r="A1370" s="38"/>
      <c r="B1370" s="38"/>
      <c r="C1370" s="8"/>
      <c r="D1370" s="8"/>
      <c r="E1370" s="8"/>
      <c r="F1370" s="8"/>
    </row>
    <row r="1371" spans="1:6" ht="15" customHeight="1" x14ac:dyDescent="0.2">
      <c r="A1371" s="38"/>
      <c r="B1371" s="38"/>
      <c r="C1371" s="8"/>
      <c r="D1371" s="8"/>
      <c r="E1371" s="8"/>
      <c r="F1371" s="8"/>
    </row>
    <row r="1372" spans="1:6" ht="15" customHeight="1" x14ac:dyDescent="0.2">
      <c r="A1372" s="38"/>
      <c r="B1372" s="38"/>
      <c r="C1372" s="8"/>
      <c r="D1372" s="8"/>
      <c r="E1372" s="8"/>
      <c r="F1372" s="8"/>
    </row>
    <row r="1373" spans="1:6" ht="15" customHeight="1" x14ac:dyDescent="0.2">
      <c r="A1373" s="38"/>
      <c r="B1373" s="38"/>
      <c r="C1373" s="8"/>
      <c r="D1373" s="8"/>
      <c r="E1373" s="8"/>
      <c r="F1373" s="8"/>
    </row>
    <row r="1374" spans="1:6" ht="15" customHeight="1" x14ac:dyDescent="0.2">
      <c r="A1374" s="38"/>
      <c r="B1374" s="38"/>
      <c r="C1374" s="8"/>
      <c r="D1374" s="8"/>
      <c r="E1374" s="8"/>
      <c r="F1374" s="8"/>
    </row>
    <row r="1375" spans="1:6" ht="15" customHeight="1" x14ac:dyDescent="0.2">
      <c r="A1375" s="38"/>
      <c r="B1375" s="38"/>
      <c r="C1375" s="8"/>
      <c r="D1375" s="8"/>
      <c r="E1375" s="8"/>
      <c r="F1375" s="8"/>
    </row>
    <row r="1376" spans="1:6" ht="15" customHeight="1" x14ac:dyDescent="0.2">
      <c r="A1376" s="38"/>
      <c r="B1376" s="38"/>
      <c r="C1376" s="8"/>
      <c r="D1376" s="8"/>
      <c r="E1376" s="8"/>
      <c r="F1376" s="8"/>
    </row>
    <row r="1377" spans="1:6" ht="15" customHeight="1" x14ac:dyDescent="0.2">
      <c r="A1377" s="38"/>
      <c r="B1377" s="38"/>
      <c r="C1377" s="8"/>
      <c r="D1377" s="8"/>
      <c r="E1377" s="8"/>
      <c r="F1377" s="8"/>
    </row>
    <row r="1378" spans="1:6" ht="15" customHeight="1" x14ac:dyDescent="0.2">
      <c r="A1378" s="38"/>
      <c r="B1378" s="38"/>
      <c r="C1378" s="8"/>
      <c r="D1378" s="8"/>
      <c r="E1378" s="8"/>
      <c r="F1378" s="8"/>
    </row>
    <row r="1379" spans="1:6" ht="15" customHeight="1" x14ac:dyDescent="0.2">
      <c r="A1379" s="38"/>
      <c r="B1379" s="38"/>
      <c r="C1379" s="8"/>
      <c r="D1379" s="8"/>
      <c r="E1379" s="8"/>
      <c r="F1379" s="8"/>
    </row>
    <row r="1380" spans="1:6" ht="15" customHeight="1" x14ac:dyDescent="0.2">
      <c r="A1380" s="38"/>
      <c r="B1380" s="38"/>
      <c r="C1380" s="8"/>
      <c r="D1380" s="8"/>
      <c r="E1380" s="8"/>
      <c r="F1380" s="8"/>
    </row>
    <row r="1381" spans="1:6" ht="15" customHeight="1" x14ac:dyDescent="0.2">
      <c r="A1381" s="38"/>
      <c r="B1381" s="38"/>
      <c r="C1381" s="8"/>
      <c r="D1381" s="8"/>
      <c r="E1381" s="8"/>
      <c r="F1381" s="8"/>
    </row>
    <row r="1382" spans="1:6" ht="15" customHeight="1" x14ac:dyDescent="0.2">
      <c r="A1382" s="38"/>
      <c r="B1382" s="38"/>
      <c r="C1382" s="8"/>
      <c r="D1382" s="8"/>
      <c r="E1382" s="8"/>
      <c r="F1382" s="8"/>
    </row>
    <row r="1383" spans="1:6" ht="15" customHeight="1" x14ac:dyDescent="0.2">
      <c r="A1383" s="38"/>
      <c r="B1383" s="38"/>
      <c r="C1383" s="8"/>
      <c r="D1383" s="8"/>
      <c r="E1383" s="8"/>
      <c r="F1383" s="8"/>
    </row>
    <row r="1384" spans="1:6" ht="15" customHeight="1" x14ac:dyDescent="0.2">
      <c r="A1384" s="38"/>
      <c r="B1384" s="38"/>
      <c r="C1384" s="8"/>
      <c r="D1384" s="8"/>
      <c r="E1384" s="8"/>
      <c r="F1384" s="8"/>
    </row>
    <row r="1385" spans="1:6" ht="15" customHeight="1" x14ac:dyDescent="0.2">
      <c r="A1385" s="38"/>
      <c r="B1385" s="38"/>
      <c r="C1385" s="8"/>
      <c r="D1385" s="8"/>
      <c r="E1385" s="8"/>
      <c r="F1385" s="8"/>
    </row>
    <row r="1386" spans="1:6" ht="15" customHeight="1" x14ac:dyDescent="0.2">
      <c r="A1386" s="38"/>
      <c r="B1386" s="38"/>
      <c r="C1386" s="8"/>
      <c r="D1386" s="8"/>
      <c r="E1386" s="8"/>
      <c r="F1386" s="8"/>
    </row>
    <row r="1387" spans="1:6" ht="15" customHeight="1" x14ac:dyDescent="0.2">
      <c r="A1387" s="38"/>
      <c r="B1387" s="38"/>
      <c r="C1387" s="8"/>
      <c r="D1387" s="8"/>
      <c r="E1387" s="8"/>
      <c r="F1387" s="8"/>
    </row>
    <row r="1388" spans="1:6" ht="15" customHeight="1" x14ac:dyDescent="0.2">
      <c r="A1388" s="38"/>
      <c r="B1388" s="38"/>
      <c r="C1388" s="8"/>
      <c r="D1388" s="8"/>
      <c r="E1388" s="8"/>
      <c r="F1388" s="8"/>
    </row>
    <row r="1389" spans="1:6" ht="15" customHeight="1" x14ac:dyDescent="0.2">
      <c r="A1389" s="38"/>
      <c r="B1389" s="38"/>
      <c r="C1389" s="8"/>
      <c r="D1389" s="8"/>
      <c r="E1389" s="8"/>
      <c r="F1389" s="8"/>
    </row>
    <row r="1390" spans="1:6" ht="15" customHeight="1" x14ac:dyDescent="0.2">
      <c r="A1390" s="38"/>
      <c r="B1390" s="38"/>
      <c r="C1390" s="8"/>
      <c r="D1390" s="8"/>
      <c r="E1390" s="8"/>
      <c r="F1390" s="8"/>
    </row>
    <row r="1391" spans="1:6" ht="15" customHeight="1" x14ac:dyDescent="0.2">
      <c r="A1391" s="38"/>
      <c r="B1391" s="38"/>
      <c r="C1391" s="8"/>
      <c r="D1391" s="8"/>
      <c r="E1391" s="8"/>
      <c r="F1391" s="8"/>
    </row>
    <row r="1392" spans="1:6" ht="15" customHeight="1" x14ac:dyDescent="0.2">
      <c r="A1392" s="38"/>
      <c r="B1392" s="38"/>
      <c r="C1392" s="8"/>
      <c r="D1392" s="8"/>
      <c r="E1392" s="8"/>
      <c r="F1392" s="8"/>
    </row>
    <row r="1393" spans="1:6" ht="15" customHeight="1" x14ac:dyDescent="0.2">
      <c r="A1393" s="38"/>
      <c r="B1393" s="38"/>
      <c r="C1393" s="8"/>
      <c r="D1393" s="8"/>
      <c r="E1393" s="8"/>
      <c r="F1393" s="8"/>
    </row>
    <row r="1394" spans="1:6" ht="15" customHeight="1" x14ac:dyDescent="0.2">
      <c r="A1394" s="38"/>
      <c r="B1394" s="38"/>
      <c r="C1394" s="8"/>
      <c r="D1394" s="8"/>
      <c r="E1394" s="8"/>
      <c r="F1394" s="8"/>
    </row>
    <row r="1395" spans="1:6" ht="15" customHeight="1" x14ac:dyDescent="0.2">
      <c r="A1395" s="38"/>
      <c r="B1395" s="38"/>
      <c r="C1395" s="8"/>
      <c r="D1395" s="8"/>
      <c r="E1395" s="8"/>
      <c r="F1395" s="8"/>
    </row>
    <row r="1396" spans="1:6" ht="15" customHeight="1" x14ac:dyDescent="0.2">
      <c r="A1396" s="38"/>
      <c r="B1396" s="38"/>
      <c r="C1396" s="8"/>
      <c r="D1396" s="8"/>
      <c r="E1396" s="8"/>
      <c r="F1396" s="8"/>
    </row>
    <row r="1397" spans="1:6" ht="15" customHeight="1" x14ac:dyDescent="0.2">
      <c r="A1397" s="38"/>
      <c r="B1397" s="38"/>
      <c r="C1397" s="8"/>
      <c r="D1397" s="8"/>
      <c r="E1397" s="8"/>
      <c r="F1397" s="8"/>
    </row>
    <row r="1398" spans="1:6" ht="15" customHeight="1" x14ac:dyDescent="0.2">
      <c r="A1398" s="38"/>
      <c r="B1398" s="38"/>
      <c r="C1398" s="8"/>
      <c r="D1398" s="8"/>
      <c r="E1398" s="8"/>
      <c r="F1398" s="8"/>
    </row>
    <row r="1399" spans="1:6" ht="15" customHeight="1" x14ac:dyDescent="0.2">
      <c r="A1399" s="38"/>
      <c r="B1399" s="38"/>
      <c r="C1399" s="8"/>
      <c r="D1399" s="8"/>
      <c r="E1399" s="8"/>
      <c r="F1399" s="8"/>
    </row>
    <row r="1400" spans="1:6" ht="15" customHeight="1" x14ac:dyDescent="0.2">
      <c r="A1400" s="38"/>
      <c r="B1400" s="38"/>
      <c r="C1400" s="8"/>
      <c r="D1400" s="8"/>
      <c r="E1400" s="8"/>
      <c r="F1400" s="8"/>
    </row>
    <row r="1401" spans="1:6" ht="15" customHeight="1" x14ac:dyDescent="0.2">
      <c r="A1401" s="38"/>
      <c r="B1401" s="38"/>
      <c r="C1401" s="8"/>
      <c r="D1401" s="8"/>
      <c r="E1401" s="8"/>
      <c r="F1401" s="8"/>
    </row>
    <row r="1402" spans="1:6" ht="15" customHeight="1" x14ac:dyDescent="0.2">
      <c r="A1402" s="38"/>
      <c r="B1402" s="38"/>
      <c r="C1402" s="8"/>
      <c r="D1402" s="8"/>
      <c r="E1402" s="8"/>
      <c r="F1402" s="8"/>
    </row>
    <row r="1403" spans="1:6" ht="15" customHeight="1" x14ac:dyDescent="0.2">
      <c r="A1403" s="38"/>
      <c r="B1403" s="38"/>
      <c r="C1403" s="8"/>
      <c r="D1403" s="8"/>
      <c r="E1403" s="8"/>
      <c r="F1403" s="8"/>
    </row>
    <row r="1404" spans="1:6" ht="15" customHeight="1" x14ac:dyDescent="0.2">
      <c r="A1404" s="38"/>
      <c r="B1404" s="38"/>
      <c r="C1404" s="8"/>
      <c r="D1404" s="8"/>
      <c r="E1404" s="8"/>
      <c r="F1404" s="8"/>
    </row>
    <row r="1405" spans="1:6" ht="15" customHeight="1" x14ac:dyDescent="0.2">
      <c r="A1405" s="38"/>
      <c r="B1405" s="38"/>
      <c r="C1405" s="8"/>
      <c r="D1405" s="8"/>
      <c r="E1405" s="8"/>
      <c r="F1405" s="8"/>
    </row>
    <row r="1406" spans="1:6" ht="15" customHeight="1" x14ac:dyDescent="0.2">
      <c r="A1406" s="38"/>
      <c r="B1406" s="38"/>
      <c r="C1406" s="8"/>
      <c r="D1406" s="8"/>
      <c r="E1406" s="8"/>
      <c r="F1406" s="8"/>
    </row>
    <row r="1407" spans="1:6" ht="15" customHeight="1" x14ac:dyDescent="0.2">
      <c r="A1407" s="38"/>
      <c r="B1407" s="38"/>
      <c r="C1407" s="8"/>
      <c r="D1407" s="8"/>
      <c r="E1407" s="8"/>
      <c r="F1407" s="8"/>
    </row>
    <row r="1408" spans="1:6" ht="15" customHeight="1" x14ac:dyDescent="0.2">
      <c r="A1408" s="38"/>
      <c r="B1408" s="38"/>
      <c r="C1408" s="8"/>
      <c r="D1408" s="8"/>
      <c r="E1408" s="8"/>
      <c r="F1408" s="8"/>
    </row>
    <row r="1409" spans="1:6" ht="15" customHeight="1" x14ac:dyDescent="0.2">
      <c r="A1409" s="38"/>
      <c r="B1409" s="38"/>
      <c r="C1409" s="8"/>
      <c r="D1409" s="8"/>
      <c r="E1409" s="8"/>
      <c r="F1409" s="8"/>
    </row>
    <row r="1410" spans="1:6" ht="15" customHeight="1" x14ac:dyDescent="0.2">
      <c r="A1410" s="38"/>
      <c r="B1410" s="38"/>
      <c r="C1410" s="8"/>
      <c r="D1410" s="8"/>
      <c r="E1410" s="8"/>
      <c r="F1410" s="8"/>
    </row>
    <row r="1411" spans="1:6" ht="15" customHeight="1" x14ac:dyDescent="0.2">
      <c r="A1411" s="38"/>
      <c r="B1411" s="38"/>
      <c r="C1411" s="8"/>
      <c r="D1411" s="8"/>
      <c r="E1411" s="8"/>
      <c r="F1411" s="8"/>
    </row>
    <row r="1412" spans="1:6" ht="15" customHeight="1" x14ac:dyDescent="0.2">
      <c r="A1412" s="38"/>
      <c r="B1412" s="38"/>
      <c r="C1412" s="8"/>
      <c r="D1412" s="8"/>
      <c r="E1412" s="8"/>
      <c r="F1412" s="8"/>
    </row>
    <row r="1413" spans="1:6" ht="15" customHeight="1" x14ac:dyDescent="0.2">
      <c r="A1413" s="38"/>
      <c r="B1413" s="38"/>
      <c r="C1413" s="8"/>
      <c r="D1413" s="8"/>
      <c r="E1413" s="8"/>
      <c r="F1413" s="8"/>
    </row>
    <row r="1414" spans="1:6" ht="15" customHeight="1" x14ac:dyDescent="0.2">
      <c r="A1414" s="38"/>
      <c r="B1414" s="38"/>
      <c r="C1414" s="8"/>
      <c r="D1414" s="8"/>
      <c r="E1414" s="8"/>
      <c r="F1414" s="8"/>
    </row>
    <row r="1415" spans="1:6" ht="15" customHeight="1" x14ac:dyDescent="0.2">
      <c r="A1415" s="38"/>
      <c r="B1415" s="38"/>
      <c r="C1415" s="8"/>
      <c r="D1415" s="8"/>
      <c r="E1415" s="8"/>
      <c r="F1415" s="8"/>
    </row>
    <row r="1416" spans="1:6" ht="15" customHeight="1" x14ac:dyDescent="0.2">
      <c r="A1416" s="38"/>
      <c r="B1416" s="38"/>
      <c r="C1416" s="8"/>
      <c r="D1416" s="8"/>
      <c r="E1416" s="8"/>
      <c r="F1416" s="8"/>
    </row>
    <row r="1417" spans="1:6" ht="15" customHeight="1" x14ac:dyDescent="0.2">
      <c r="A1417" s="38"/>
      <c r="B1417" s="38"/>
      <c r="C1417" s="8"/>
      <c r="D1417" s="8"/>
      <c r="E1417" s="8"/>
      <c r="F1417" s="8"/>
    </row>
    <row r="1418" spans="1:6" ht="15" customHeight="1" x14ac:dyDescent="0.2">
      <c r="A1418" s="38"/>
      <c r="B1418" s="38"/>
      <c r="C1418" s="8"/>
      <c r="D1418" s="8"/>
      <c r="E1418" s="8"/>
      <c r="F1418" s="8"/>
    </row>
    <row r="1419" spans="1:6" ht="15" customHeight="1" x14ac:dyDescent="0.2">
      <c r="A1419" s="38"/>
      <c r="B1419" s="38"/>
      <c r="C1419" s="8"/>
      <c r="D1419" s="8"/>
      <c r="E1419" s="8"/>
      <c r="F1419" s="8"/>
    </row>
    <row r="1420" spans="1:6" ht="15" customHeight="1" x14ac:dyDescent="0.2">
      <c r="A1420" s="38"/>
      <c r="B1420" s="38"/>
      <c r="C1420" s="8"/>
      <c r="D1420" s="8"/>
      <c r="E1420" s="8"/>
      <c r="F1420" s="8"/>
    </row>
    <row r="1421" spans="1:6" ht="15" customHeight="1" x14ac:dyDescent="0.2">
      <c r="A1421" s="38"/>
      <c r="B1421" s="38"/>
      <c r="C1421" s="8"/>
      <c r="D1421" s="8"/>
      <c r="E1421" s="8"/>
      <c r="F1421" s="8"/>
    </row>
    <row r="1422" spans="1:6" ht="15" customHeight="1" x14ac:dyDescent="0.2">
      <c r="A1422" s="38"/>
      <c r="B1422" s="38"/>
      <c r="C1422" s="8"/>
      <c r="D1422" s="8"/>
      <c r="E1422" s="8"/>
      <c r="F1422" s="8"/>
    </row>
    <row r="1423" spans="1:6" ht="15" customHeight="1" x14ac:dyDescent="0.2">
      <c r="A1423" s="38"/>
      <c r="B1423" s="38"/>
      <c r="C1423" s="8"/>
      <c r="D1423" s="8"/>
      <c r="E1423" s="8"/>
      <c r="F1423" s="8"/>
    </row>
    <row r="1424" spans="1:6" ht="15" customHeight="1" x14ac:dyDescent="0.2">
      <c r="A1424" s="38"/>
      <c r="B1424" s="38"/>
      <c r="C1424" s="8"/>
      <c r="D1424" s="8"/>
      <c r="E1424" s="8"/>
      <c r="F1424" s="8"/>
    </row>
    <row r="1425" spans="1:6" ht="15" customHeight="1" x14ac:dyDescent="0.2">
      <c r="A1425" s="38"/>
      <c r="B1425" s="38"/>
      <c r="C1425" s="8"/>
      <c r="D1425" s="8"/>
      <c r="E1425" s="8"/>
      <c r="F1425" s="8"/>
    </row>
    <row r="1426" spans="1:6" ht="15" customHeight="1" x14ac:dyDescent="0.2">
      <c r="A1426" s="38"/>
      <c r="B1426" s="38"/>
      <c r="C1426" s="8"/>
      <c r="D1426" s="8"/>
      <c r="E1426" s="8"/>
      <c r="F1426" s="8"/>
    </row>
    <row r="1427" spans="1:6" ht="15" customHeight="1" x14ac:dyDescent="0.2">
      <c r="A1427" s="38"/>
      <c r="B1427" s="38"/>
      <c r="C1427" s="8"/>
      <c r="D1427" s="8"/>
      <c r="E1427" s="8"/>
      <c r="F1427" s="8"/>
    </row>
    <row r="1428" spans="1:6" ht="15" customHeight="1" x14ac:dyDescent="0.2">
      <c r="A1428" s="38"/>
      <c r="B1428" s="38"/>
      <c r="C1428" s="8"/>
      <c r="D1428" s="8"/>
      <c r="E1428" s="8"/>
      <c r="F1428" s="8"/>
    </row>
    <row r="1429" spans="1:6" ht="15" customHeight="1" x14ac:dyDescent="0.2">
      <c r="A1429" s="38"/>
      <c r="B1429" s="38"/>
      <c r="C1429" s="8"/>
      <c r="D1429" s="8"/>
      <c r="E1429" s="8"/>
      <c r="F1429" s="8"/>
    </row>
    <row r="1430" spans="1:6" ht="15" customHeight="1" x14ac:dyDescent="0.2">
      <c r="A1430" s="38"/>
      <c r="B1430" s="38"/>
      <c r="C1430" s="8"/>
      <c r="D1430" s="8"/>
      <c r="E1430" s="8"/>
      <c r="F1430" s="8"/>
    </row>
    <row r="1431" spans="1:6" ht="15" customHeight="1" x14ac:dyDescent="0.2">
      <c r="A1431" s="38"/>
      <c r="B1431" s="38"/>
      <c r="C1431" s="8"/>
      <c r="D1431" s="8"/>
      <c r="E1431" s="8"/>
      <c r="F1431" s="8"/>
    </row>
    <row r="1432" spans="1:6" ht="15" customHeight="1" x14ac:dyDescent="0.2">
      <c r="A1432" s="38"/>
      <c r="B1432" s="38"/>
      <c r="C1432" s="8"/>
      <c r="D1432" s="8"/>
      <c r="E1432" s="8"/>
      <c r="F1432" s="8"/>
    </row>
    <row r="1433" spans="1:6" ht="15" customHeight="1" x14ac:dyDescent="0.2">
      <c r="A1433" s="38"/>
      <c r="B1433" s="38"/>
      <c r="C1433" s="8"/>
      <c r="D1433" s="8"/>
      <c r="E1433" s="8"/>
      <c r="F1433" s="8"/>
    </row>
    <row r="1434" spans="1:6" ht="15" customHeight="1" x14ac:dyDescent="0.2">
      <c r="A1434" s="38"/>
      <c r="B1434" s="38"/>
      <c r="C1434" s="8"/>
      <c r="D1434" s="8"/>
      <c r="E1434" s="8"/>
      <c r="F1434" s="8"/>
    </row>
    <row r="1435" spans="1:6" ht="15" customHeight="1" x14ac:dyDescent="0.2">
      <c r="A1435" s="38"/>
      <c r="B1435" s="38"/>
      <c r="C1435" s="8"/>
      <c r="D1435" s="8"/>
      <c r="E1435" s="8"/>
      <c r="F1435" s="8"/>
    </row>
    <row r="1436" spans="1:6" ht="15" customHeight="1" x14ac:dyDescent="0.2">
      <c r="A1436" s="38"/>
      <c r="B1436" s="38"/>
      <c r="C1436" s="8"/>
      <c r="D1436" s="8"/>
      <c r="E1436" s="8"/>
      <c r="F1436" s="8"/>
    </row>
    <row r="1437" spans="1:6" ht="15" customHeight="1" x14ac:dyDescent="0.2">
      <c r="A1437" s="38"/>
      <c r="B1437" s="38"/>
      <c r="C1437" s="8"/>
      <c r="D1437" s="8"/>
      <c r="E1437" s="8"/>
      <c r="F1437" s="8"/>
    </row>
    <row r="1438" spans="1:6" ht="15" customHeight="1" x14ac:dyDescent="0.2">
      <c r="A1438" s="38"/>
      <c r="B1438" s="38"/>
      <c r="C1438" s="8"/>
      <c r="D1438" s="8"/>
      <c r="E1438" s="8"/>
      <c r="F1438" s="8"/>
    </row>
    <row r="1439" spans="1:6" ht="15" customHeight="1" x14ac:dyDescent="0.2">
      <c r="A1439" s="38"/>
      <c r="B1439" s="38"/>
      <c r="C1439" s="8"/>
      <c r="D1439" s="8"/>
      <c r="E1439" s="8"/>
      <c r="F1439" s="8"/>
    </row>
    <row r="1440" spans="1:6" ht="15" customHeight="1" x14ac:dyDescent="0.2">
      <c r="A1440" s="38"/>
      <c r="B1440" s="38"/>
      <c r="C1440" s="8"/>
      <c r="D1440" s="8"/>
      <c r="E1440" s="8"/>
      <c r="F1440" s="8"/>
    </row>
    <row r="1441" spans="1:6" ht="15" customHeight="1" x14ac:dyDescent="0.2">
      <c r="A1441" s="38"/>
      <c r="B1441" s="38"/>
      <c r="C1441" s="8"/>
      <c r="D1441" s="8"/>
      <c r="E1441" s="8"/>
      <c r="F1441" s="8"/>
    </row>
    <row r="1442" spans="1:6" ht="15" customHeight="1" x14ac:dyDescent="0.2">
      <c r="A1442" s="38"/>
      <c r="B1442" s="38"/>
      <c r="C1442" s="8"/>
      <c r="D1442" s="8"/>
      <c r="E1442" s="8"/>
      <c r="F1442" s="8"/>
    </row>
    <row r="1443" spans="1:6" ht="15" customHeight="1" x14ac:dyDescent="0.2">
      <c r="A1443" s="38"/>
      <c r="B1443" s="38"/>
      <c r="C1443" s="8"/>
      <c r="D1443" s="8"/>
      <c r="E1443" s="8"/>
      <c r="F1443" s="8"/>
    </row>
    <row r="1444" spans="1:6" ht="15" customHeight="1" x14ac:dyDescent="0.2">
      <c r="A1444" s="38"/>
      <c r="B1444" s="38"/>
      <c r="C1444" s="8"/>
      <c r="D1444" s="8"/>
      <c r="E1444" s="8"/>
      <c r="F1444" s="8"/>
    </row>
    <row r="1445" spans="1:6" ht="15" customHeight="1" x14ac:dyDescent="0.2">
      <c r="A1445" s="38"/>
      <c r="B1445" s="38"/>
      <c r="C1445" s="8"/>
      <c r="D1445" s="8"/>
      <c r="E1445" s="8"/>
      <c r="F1445" s="8"/>
    </row>
    <row r="1446" spans="1:6" ht="15" customHeight="1" x14ac:dyDescent="0.2">
      <c r="A1446" s="38"/>
      <c r="B1446" s="38"/>
      <c r="C1446" s="8"/>
      <c r="D1446" s="8"/>
      <c r="E1446" s="8"/>
      <c r="F1446" s="8"/>
    </row>
    <row r="1447" spans="1:6" ht="15" customHeight="1" x14ac:dyDescent="0.2">
      <c r="A1447" s="38"/>
      <c r="B1447" s="38"/>
      <c r="C1447" s="8"/>
      <c r="D1447" s="8"/>
      <c r="E1447" s="8"/>
      <c r="F1447" s="8"/>
    </row>
    <row r="1448" spans="1:6" ht="15" customHeight="1" x14ac:dyDescent="0.2">
      <c r="A1448" s="38"/>
      <c r="B1448" s="38"/>
      <c r="C1448" s="8"/>
      <c r="D1448" s="8"/>
      <c r="E1448" s="8"/>
      <c r="F1448" s="8"/>
    </row>
    <row r="1449" spans="1:6" ht="15" customHeight="1" x14ac:dyDescent="0.2">
      <c r="A1449" s="38"/>
      <c r="B1449" s="38"/>
      <c r="C1449" s="8"/>
      <c r="D1449" s="8"/>
      <c r="E1449" s="8"/>
      <c r="F1449" s="8"/>
    </row>
    <row r="1450" spans="1:6" ht="15" customHeight="1" x14ac:dyDescent="0.2">
      <c r="A1450" s="38"/>
      <c r="B1450" s="38"/>
      <c r="C1450" s="8"/>
      <c r="D1450" s="8"/>
      <c r="E1450" s="8"/>
      <c r="F1450" s="8"/>
    </row>
    <row r="1451" spans="1:6" ht="15" customHeight="1" x14ac:dyDescent="0.2">
      <c r="A1451" s="38"/>
      <c r="B1451" s="38"/>
      <c r="C1451" s="8"/>
      <c r="D1451" s="8"/>
      <c r="E1451" s="8"/>
      <c r="F1451" s="8"/>
    </row>
    <row r="1452" spans="1:6" ht="15" customHeight="1" x14ac:dyDescent="0.2">
      <c r="A1452" s="38"/>
      <c r="B1452" s="38"/>
      <c r="C1452" s="8"/>
      <c r="D1452" s="8"/>
      <c r="E1452" s="8"/>
      <c r="F1452" s="8"/>
    </row>
    <row r="1453" spans="1:6" ht="15" customHeight="1" x14ac:dyDescent="0.2">
      <c r="A1453" s="38"/>
      <c r="B1453" s="38"/>
      <c r="C1453" s="8"/>
      <c r="D1453" s="8"/>
      <c r="E1453" s="8"/>
      <c r="F1453" s="8"/>
    </row>
    <row r="1454" spans="1:6" ht="15" customHeight="1" x14ac:dyDescent="0.2">
      <c r="A1454" s="38"/>
      <c r="B1454" s="38"/>
      <c r="C1454" s="8"/>
      <c r="D1454" s="8"/>
      <c r="E1454" s="8"/>
      <c r="F1454" s="8"/>
    </row>
    <row r="1455" spans="1:6" ht="15" customHeight="1" x14ac:dyDescent="0.2">
      <c r="A1455" s="38"/>
      <c r="B1455" s="38"/>
      <c r="C1455" s="8"/>
      <c r="D1455" s="8"/>
      <c r="E1455" s="8"/>
      <c r="F1455" s="8"/>
    </row>
    <row r="1456" spans="1:6" ht="15" customHeight="1" x14ac:dyDescent="0.2">
      <c r="A1456" s="38"/>
      <c r="B1456" s="38"/>
      <c r="C1456" s="8"/>
      <c r="D1456" s="8"/>
      <c r="E1456" s="8"/>
      <c r="F1456" s="8"/>
    </row>
    <row r="1457" spans="1:6" ht="15" customHeight="1" x14ac:dyDescent="0.2">
      <c r="A1457" s="38"/>
      <c r="B1457" s="38"/>
      <c r="C1457" s="8"/>
      <c r="D1457" s="8"/>
      <c r="E1457" s="8"/>
      <c r="F1457" s="8"/>
    </row>
    <row r="1458" spans="1:6" ht="15" customHeight="1" x14ac:dyDescent="0.2">
      <c r="A1458" s="38"/>
      <c r="B1458" s="38"/>
      <c r="C1458" s="8"/>
      <c r="D1458" s="8"/>
      <c r="E1458" s="8"/>
      <c r="F1458" s="8"/>
    </row>
    <row r="1459" spans="1:6" ht="15" customHeight="1" x14ac:dyDescent="0.2">
      <c r="A1459" s="38"/>
      <c r="B1459" s="38"/>
      <c r="C1459" s="8"/>
      <c r="D1459" s="8"/>
      <c r="E1459" s="8"/>
      <c r="F1459" s="8"/>
    </row>
    <row r="1460" spans="1:6" ht="15" customHeight="1" x14ac:dyDescent="0.2">
      <c r="A1460" s="38"/>
      <c r="B1460" s="38"/>
      <c r="C1460" s="8"/>
      <c r="D1460" s="8"/>
      <c r="E1460" s="8"/>
      <c r="F1460" s="8"/>
    </row>
    <row r="1461" spans="1:6" ht="15" customHeight="1" x14ac:dyDescent="0.2">
      <c r="A1461" s="38"/>
      <c r="B1461" s="38"/>
      <c r="C1461" s="8"/>
      <c r="D1461" s="8"/>
      <c r="E1461" s="8"/>
      <c r="F1461" s="8"/>
    </row>
    <row r="1462" spans="1:6" ht="15" customHeight="1" x14ac:dyDescent="0.2">
      <c r="A1462" s="38"/>
      <c r="B1462" s="38"/>
      <c r="C1462" s="8"/>
      <c r="D1462" s="8"/>
      <c r="E1462" s="8"/>
      <c r="F1462" s="8"/>
    </row>
    <row r="1463" spans="1:6" ht="15" customHeight="1" x14ac:dyDescent="0.2">
      <c r="A1463" s="38"/>
      <c r="B1463" s="38"/>
      <c r="C1463" s="8"/>
      <c r="D1463" s="8"/>
      <c r="E1463" s="8"/>
      <c r="F1463" s="8"/>
    </row>
    <row r="1464" spans="1:6" ht="15" customHeight="1" x14ac:dyDescent="0.2">
      <c r="A1464" s="38"/>
      <c r="B1464" s="38"/>
      <c r="C1464" s="8"/>
      <c r="D1464" s="8"/>
      <c r="E1464" s="8"/>
      <c r="F1464" s="8"/>
    </row>
    <row r="1465" spans="1:6" ht="15" customHeight="1" x14ac:dyDescent="0.2">
      <c r="A1465" s="38"/>
      <c r="B1465" s="38"/>
      <c r="C1465" s="8"/>
      <c r="D1465" s="8"/>
      <c r="E1465" s="8"/>
      <c r="F1465" s="8"/>
    </row>
    <row r="1466" spans="1:6" ht="15" customHeight="1" x14ac:dyDescent="0.2">
      <c r="A1466" s="38"/>
      <c r="B1466" s="38"/>
      <c r="C1466" s="8"/>
      <c r="D1466" s="8"/>
      <c r="E1466" s="8"/>
      <c r="F1466" s="8"/>
    </row>
    <row r="1467" spans="1:6" ht="15" customHeight="1" x14ac:dyDescent="0.2">
      <c r="A1467" s="38"/>
      <c r="B1467" s="38"/>
      <c r="C1467" s="8"/>
      <c r="D1467" s="8"/>
      <c r="E1467" s="8"/>
      <c r="F1467" s="8"/>
    </row>
    <row r="1468" spans="1:6" ht="15" customHeight="1" x14ac:dyDescent="0.2">
      <c r="A1468" s="38"/>
      <c r="B1468" s="38"/>
      <c r="C1468" s="8"/>
      <c r="D1468" s="8"/>
      <c r="E1468" s="8"/>
      <c r="F1468" s="8"/>
    </row>
    <row r="1469" spans="1:6" ht="15" customHeight="1" x14ac:dyDescent="0.2">
      <c r="A1469" s="38"/>
      <c r="B1469" s="38"/>
      <c r="C1469" s="8"/>
      <c r="D1469" s="8"/>
      <c r="E1469" s="8"/>
      <c r="F1469" s="8"/>
    </row>
    <row r="1470" spans="1:6" ht="15" customHeight="1" x14ac:dyDescent="0.2">
      <c r="A1470" s="38"/>
      <c r="B1470" s="38"/>
      <c r="C1470" s="8"/>
      <c r="D1470" s="8"/>
      <c r="E1470" s="8"/>
      <c r="F1470" s="8"/>
    </row>
    <row r="1471" spans="1:6" ht="15" customHeight="1" x14ac:dyDescent="0.2">
      <c r="A1471" s="38"/>
      <c r="B1471" s="38"/>
      <c r="C1471" s="8"/>
      <c r="D1471" s="8"/>
      <c r="E1471" s="8"/>
      <c r="F1471" s="8"/>
    </row>
    <row r="1472" spans="1:6" ht="15" customHeight="1" x14ac:dyDescent="0.2">
      <c r="A1472" s="38"/>
      <c r="B1472" s="38"/>
      <c r="C1472" s="8"/>
      <c r="D1472" s="8"/>
      <c r="E1472" s="8"/>
      <c r="F1472" s="8"/>
    </row>
    <row r="1473" spans="1:6" ht="15" customHeight="1" x14ac:dyDescent="0.2">
      <c r="A1473" s="38"/>
      <c r="B1473" s="38"/>
      <c r="C1473" s="8"/>
      <c r="D1473" s="8"/>
      <c r="E1473" s="8"/>
      <c r="F1473" s="8"/>
    </row>
    <row r="1474" spans="1:6" ht="15" customHeight="1" x14ac:dyDescent="0.2">
      <c r="A1474" s="38"/>
      <c r="B1474" s="38"/>
      <c r="C1474" s="8"/>
      <c r="D1474" s="8"/>
      <c r="E1474" s="8"/>
      <c r="F1474" s="8"/>
    </row>
    <row r="1475" spans="1:6" ht="15" customHeight="1" x14ac:dyDescent="0.2">
      <c r="A1475" s="38"/>
      <c r="B1475" s="38"/>
      <c r="C1475" s="8"/>
      <c r="D1475" s="8"/>
      <c r="E1475" s="8"/>
      <c r="F1475" s="8"/>
    </row>
    <row r="1476" spans="1:6" ht="15" customHeight="1" x14ac:dyDescent="0.2">
      <c r="A1476" s="38"/>
      <c r="B1476" s="38"/>
      <c r="C1476" s="8"/>
      <c r="D1476" s="8"/>
      <c r="E1476" s="8"/>
      <c r="F1476" s="8"/>
    </row>
    <row r="1477" spans="1:6" ht="15" customHeight="1" x14ac:dyDescent="0.2">
      <c r="A1477" s="38"/>
      <c r="B1477" s="38"/>
      <c r="C1477" s="8"/>
      <c r="D1477" s="8"/>
      <c r="E1477" s="8"/>
      <c r="F1477" s="8"/>
    </row>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A09DB-4054-4288-83B4-275C4F5836DF}">
  <sheetPr codeName="Sheet8"/>
  <dimension ref="A1:G1477"/>
  <sheetViews>
    <sheetView workbookViewId="0">
      <selection activeCell="D18" sqref="D18"/>
    </sheetView>
  </sheetViews>
  <sheetFormatPr defaultRowHeight="12.75" x14ac:dyDescent="0.2"/>
  <cols>
    <col min="1" max="1" width="38.28515625" customWidth="1"/>
    <col min="2" max="2" width="34.7109375" customWidth="1"/>
    <col min="3" max="7" width="27.7109375" customWidth="1"/>
  </cols>
  <sheetData>
    <row r="1" spans="1:7" x14ac:dyDescent="0.2">
      <c r="A1" s="5" t="s">
        <v>79</v>
      </c>
      <c r="B1" s="5" t="s">
        <v>80</v>
      </c>
      <c r="C1" s="6" t="s">
        <v>119</v>
      </c>
      <c r="D1" s="6" t="s">
        <v>120</v>
      </c>
      <c r="E1" s="6" t="s">
        <v>121</v>
      </c>
      <c r="F1" s="6" t="s">
        <v>122</v>
      </c>
      <c r="G1" s="6" t="s">
        <v>124</v>
      </c>
    </row>
    <row r="2" spans="1:7" x14ac:dyDescent="0.2">
      <c r="A2" s="5" t="s">
        <v>148</v>
      </c>
      <c r="B2" s="5" t="s">
        <v>149</v>
      </c>
      <c r="C2" s="6" t="s">
        <v>190</v>
      </c>
      <c r="D2" s="6" t="s">
        <v>191</v>
      </c>
      <c r="E2" s="6" t="s">
        <v>192</v>
      </c>
      <c r="F2" s="6" t="s">
        <v>193</v>
      </c>
      <c r="G2" s="6" t="s">
        <v>195</v>
      </c>
    </row>
    <row r="3" spans="1:7" ht="102" x14ac:dyDescent="0.2">
      <c r="A3" s="9" t="s">
        <v>221</v>
      </c>
      <c r="B3" s="22" t="s">
        <v>222</v>
      </c>
      <c r="C3" s="32" t="s">
        <v>369</v>
      </c>
      <c r="D3" s="10" t="s">
        <v>262</v>
      </c>
      <c r="E3" s="10" t="s">
        <v>263</v>
      </c>
      <c r="F3" s="10" t="s">
        <v>264</v>
      </c>
      <c r="G3" s="10" t="s">
        <v>266</v>
      </c>
    </row>
    <row r="4" spans="1:7" x14ac:dyDescent="0.2">
      <c r="A4" s="5" t="s">
        <v>4</v>
      </c>
      <c r="B4" s="24" t="s">
        <v>4</v>
      </c>
      <c r="C4" s="8" t="s">
        <v>9</v>
      </c>
      <c r="D4" s="8" t="s">
        <v>9</v>
      </c>
      <c r="E4" s="8" t="s">
        <v>16</v>
      </c>
      <c r="F4" s="8" t="s">
        <v>289</v>
      </c>
      <c r="G4" s="8" t="s">
        <v>287</v>
      </c>
    </row>
    <row r="5" spans="1:7" x14ac:dyDescent="0.2">
      <c r="A5" s="5" t="s">
        <v>290</v>
      </c>
      <c r="B5" s="24" t="s">
        <v>291</v>
      </c>
      <c r="C5" s="8" t="s">
        <v>9</v>
      </c>
      <c r="D5" s="8" t="s">
        <v>9</v>
      </c>
      <c r="E5" s="8" t="s">
        <v>17</v>
      </c>
      <c r="F5" s="8"/>
      <c r="G5" s="8"/>
    </row>
    <row r="6" spans="1:7" x14ac:dyDescent="0.2">
      <c r="A6" s="44" t="s">
        <v>474</v>
      </c>
      <c r="B6" s="44" t="s">
        <v>474</v>
      </c>
      <c r="C6" s="12" t="s">
        <v>476</v>
      </c>
      <c r="D6" s="12" t="s">
        <v>476</v>
      </c>
      <c r="E6" s="12" t="s">
        <v>476</v>
      </c>
      <c r="F6" s="12" t="s">
        <v>476</v>
      </c>
      <c r="G6" s="12" t="s">
        <v>476</v>
      </c>
    </row>
    <row r="7" spans="1:7" x14ac:dyDescent="0.2">
      <c r="A7" s="45" t="s">
        <v>478</v>
      </c>
      <c r="B7" s="45" t="s">
        <v>478</v>
      </c>
      <c r="C7" s="12"/>
      <c r="D7" s="31" t="s">
        <v>364</v>
      </c>
      <c r="E7" s="12"/>
      <c r="F7" s="12"/>
      <c r="G7" s="12"/>
    </row>
    <row r="8" spans="1:7" x14ac:dyDescent="0.2">
      <c r="A8" s="91" t="str">
        <f>'Product Data'!A8</f>
        <v>ZCUS-Vinny-Test</v>
      </c>
      <c r="B8" s="91" t="str">
        <f>A8</f>
        <v>ZCUS-Vinny-Test</v>
      </c>
      <c r="C8" s="92"/>
      <c r="D8" s="90">
        <v>2</v>
      </c>
      <c r="E8" s="90" t="b">
        <v>1</v>
      </c>
      <c r="F8" s="164">
        <f>ZCONVERT!K16</f>
        <v>8.0113392857142856</v>
      </c>
      <c r="G8" s="8"/>
    </row>
    <row r="9" spans="1:7" x14ac:dyDescent="0.2">
      <c r="A9" s="38"/>
      <c r="B9" s="38"/>
      <c r="C9" s="8"/>
      <c r="D9" s="8"/>
      <c r="E9" s="8"/>
      <c r="F9" s="8"/>
      <c r="G9" s="8"/>
    </row>
    <row r="10" spans="1:7" x14ac:dyDescent="0.2">
      <c r="A10" s="38"/>
      <c r="B10" s="38"/>
      <c r="C10" s="8"/>
      <c r="D10" s="8"/>
      <c r="E10" s="8"/>
      <c r="F10" s="8"/>
      <c r="G10" s="8"/>
    </row>
    <row r="11" spans="1:7" x14ac:dyDescent="0.2">
      <c r="A11" s="38"/>
      <c r="B11" s="38"/>
      <c r="C11" s="8"/>
      <c r="D11" s="8"/>
      <c r="E11" s="8"/>
      <c r="F11" s="8"/>
      <c r="G11" s="8"/>
    </row>
    <row r="12" spans="1:7" x14ac:dyDescent="0.2">
      <c r="A12" s="38"/>
      <c r="B12" s="38"/>
      <c r="C12" s="8"/>
      <c r="D12" s="8"/>
      <c r="E12" s="8"/>
      <c r="F12" s="8"/>
      <c r="G12" s="8"/>
    </row>
    <row r="13" spans="1:7" x14ac:dyDescent="0.2">
      <c r="A13" s="38"/>
      <c r="B13" s="38"/>
      <c r="C13" s="8"/>
      <c r="D13" s="8"/>
      <c r="E13" s="8"/>
      <c r="F13" s="8"/>
      <c r="G13" s="8"/>
    </row>
    <row r="14" spans="1:7" x14ac:dyDescent="0.2">
      <c r="A14" s="38"/>
      <c r="B14" s="38"/>
      <c r="C14" s="8"/>
      <c r="D14" s="8"/>
      <c r="E14" s="8"/>
      <c r="F14" s="8"/>
      <c r="G14" s="8"/>
    </row>
    <row r="15" spans="1:7" x14ac:dyDescent="0.2">
      <c r="A15" s="38"/>
      <c r="B15" s="38"/>
      <c r="C15" s="8"/>
      <c r="D15" s="8"/>
      <c r="E15" s="8"/>
      <c r="F15" s="8"/>
      <c r="G15" s="8"/>
    </row>
    <row r="16" spans="1:7" x14ac:dyDescent="0.2">
      <c r="A16" s="38"/>
      <c r="B16" s="38"/>
      <c r="C16" s="8"/>
      <c r="D16" s="8"/>
      <c r="E16" s="8"/>
      <c r="F16" s="8"/>
      <c r="G16" s="8"/>
    </row>
    <row r="17" spans="1:7" x14ac:dyDescent="0.2">
      <c r="A17" s="38"/>
      <c r="B17" s="38"/>
      <c r="C17" s="8"/>
      <c r="D17" s="8"/>
      <c r="E17" s="8"/>
      <c r="F17" s="8"/>
      <c r="G17" s="8"/>
    </row>
    <row r="18" spans="1:7" x14ac:dyDescent="0.2">
      <c r="A18" s="38"/>
      <c r="B18" s="38"/>
      <c r="C18" s="8"/>
      <c r="D18" s="8"/>
      <c r="E18" s="8"/>
      <c r="F18" s="8"/>
      <c r="G18" s="8"/>
    </row>
    <row r="19" spans="1:7" x14ac:dyDescent="0.2">
      <c r="A19" s="38"/>
      <c r="B19" s="38"/>
      <c r="C19" s="8"/>
      <c r="D19" s="8"/>
      <c r="E19" s="8"/>
      <c r="F19" s="8"/>
      <c r="G19" s="8"/>
    </row>
    <row r="20" spans="1:7" x14ac:dyDescent="0.2">
      <c r="A20" s="38"/>
      <c r="B20" s="38"/>
      <c r="C20" s="8"/>
      <c r="D20" s="8"/>
      <c r="E20" s="8"/>
      <c r="F20" s="8"/>
      <c r="G20" s="8"/>
    </row>
    <row r="21" spans="1:7" x14ac:dyDescent="0.2">
      <c r="A21" s="38"/>
      <c r="B21" s="38"/>
      <c r="C21" s="8"/>
      <c r="D21" s="8"/>
      <c r="E21" s="8"/>
      <c r="F21" s="8"/>
      <c r="G21" s="8"/>
    </row>
    <row r="22" spans="1:7" x14ac:dyDescent="0.2">
      <c r="A22" s="38"/>
      <c r="B22" s="38"/>
      <c r="C22" s="8"/>
      <c r="D22" s="8"/>
      <c r="E22" s="8"/>
      <c r="F22" s="8"/>
      <c r="G22" s="8"/>
    </row>
    <row r="23" spans="1:7" x14ac:dyDescent="0.2">
      <c r="A23" s="38"/>
      <c r="B23" s="38"/>
      <c r="C23" s="8"/>
      <c r="D23" s="8"/>
      <c r="E23" s="8"/>
      <c r="F23" s="8"/>
      <c r="G23" s="8"/>
    </row>
    <row r="24" spans="1:7" x14ac:dyDescent="0.2">
      <c r="A24" s="38"/>
      <c r="B24" s="38"/>
      <c r="C24" s="8"/>
      <c r="D24" s="8"/>
      <c r="E24" s="8"/>
      <c r="F24" s="8"/>
      <c r="G24" s="8"/>
    </row>
    <row r="25" spans="1:7" x14ac:dyDescent="0.2">
      <c r="A25" s="38"/>
      <c r="B25" s="38"/>
      <c r="C25" s="8"/>
      <c r="D25" s="8"/>
      <c r="E25" s="8"/>
      <c r="F25" s="8"/>
      <c r="G25" s="8"/>
    </row>
    <row r="26" spans="1:7" x14ac:dyDescent="0.2">
      <c r="A26" s="38"/>
      <c r="B26" s="38"/>
      <c r="C26" s="8"/>
      <c r="D26" s="8"/>
      <c r="E26" s="8"/>
      <c r="F26" s="8"/>
      <c r="G26" s="8"/>
    </row>
    <row r="27" spans="1:7" x14ac:dyDescent="0.2">
      <c r="A27" s="38"/>
      <c r="B27" s="38"/>
      <c r="C27" s="8"/>
      <c r="D27" s="8"/>
      <c r="E27" s="8"/>
      <c r="F27" s="8"/>
      <c r="G27" s="8"/>
    </row>
    <row r="28" spans="1:7" x14ac:dyDescent="0.2">
      <c r="A28" s="38"/>
      <c r="B28" s="38"/>
      <c r="C28" s="8"/>
      <c r="D28" s="8"/>
      <c r="E28" s="8"/>
      <c r="F28" s="8"/>
      <c r="G28" s="8"/>
    </row>
    <row r="29" spans="1:7" x14ac:dyDescent="0.2">
      <c r="A29" s="38"/>
      <c r="B29" s="38"/>
      <c r="C29" s="8"/>
      <c r="D29" s="8"/>
      <c r="E29" s="8"/>
      <c r="F29" s="8"/>
      <c r="G29" s="8"/>
    </row>
    <row r="30" spans="1:7" x14ac:dyDescent="0.2">
      <c r="A30" s="38"/>
      <c r="B30" s="38"/>
      <c r="C30" s="8"/>
      <c r="D30" s="8"/>
      <c r="E30" s="8"/>
      <c r="F30" s="8"/>
      <c r="G30" s="8"/>
    </row>
    <row r="31" spans="1:7" x14ac:dyDescent="0.2">
      <c r="A31" s="38"/>
      <c r="B31" s="38"/>
      <c r="C31" s="8"/>
      <c r="D31" s="8"/>
      <c r="E31" s="8"/>
      <c r="F31" s="8"/>
      <c r="G31" s="8"/>
    </row>
    <row r="32" spans="1:7" x14ac:dyDescent="0.2">
      <c r="A32" s="38"/>
      <c r="B32" s="38"/>
      <c r="C32" s="8"/>
      <c r="D32" s="8"/>
      <c r="E32" s="8"/>
      <c r="F32" s="8"/>
      <c r="G32" s="8"/>
    </row>
    <row r="33" spans="1:7" x14ac:dyDescent="0.2">
      <c r="A33" s="38"/>
      <c r="B33" s="38"/>
      <c r="C33" s="8"/>
      <c r="D33" s="8"/>
      <c r="E33" s="8"/>
      <c r="F33" s="8"/>
      <c r="G33" s="8"/>
    </row>
    <row r="34" spans="1:7" x14ac:dyDescent="0.2">
      <c r="A34" s="38"/>
      <c r="B34" s="38"/>
      <c r="C34" s="8"/>
      <c r="D34" s="8"/>
      <c r="E34" s="8"/>
      <c r="F34" s="8"/>
      <c r="G34" s="8"/>
    </row>
    <row r="35" spans="1:7" x14ac:dyDescent="0.2">
      <c r="A35" s="38"/>
      <c r="B35" s="38"/>
      <c r="C35" s="8"/>
      <c r="D35" s="8"/>
      <c r="E35" s="8"/>
      <c r="F35" s="8"/>
      <c r="G35" s="8"/>
    </row>
    <row r="36" spans="1:7" x14ac:dyDescent="0.2">
      <c r="A36" s="38"/>
      <c r="B36" s="38"/>
      <c r="C36" s="8"/>
      <c r="D36" s="8"/>
      <c r="E36" s="8"/>
      <c r="F36" s="8"/>
      <c r="G36" s="8"/>
    </row>
    <row r="37" spans="1:7" x14ac:dyDescent="0.2">
      <c r="A37" s="38"/>
      <c r="B37" s="38"/>
      <c r="C37" s="8"/>
      <c r="D37" s="8"/>
      <c r="E37" s="8"/>
      <c r="F37" s="8"/>
      <c r="G37" s="8"/>
    </row>
    <row r="38" spans="1:7" x14ac:dyDescent="0.2">
      <c r="A38" s="38"/>
      <c r="B38" s="38"/>
      <c r="C38" s="8"/>
      <c r="D38" s="8"/>
      <c r="E38" s="8"/>
      <c r="F38" s="8"/>
      <c r="G38" s="8"/>
    </row>
    <row r="39" spans="1:7" x14ac:dyDescent="0.2">
      <c r="A39" s="38"/>
      <c r="B39" s="38"/>
      <c r="C39" s="8"/>
      <c r="D39" s="8"/>
      <c r="E39" s="8"/>
      <c r="F39" s="8"/>
      <c r="G39" s="8"/>
    </row>
    <row r="40" spans="1:7" x14ac:dyDescent="0.2">
      <c r="A40" s="38"/>
      <c r="B40" s="38"/>
      <c r="C40" s="8"/>
      <c r="D40" s="8"/>
      <c r="E40" s="8"/>
      <c r="F40" s="8"/>
      <c r="G40" s="8"/>
    </row>
    <row r="41" spans="1:7" x14ac:dyDescent="0.2">
      <c r="A41" s="38"/>
      <c r="B41" s="38"/>
      <c r="C41" s="8"/>
      <c r="D41" s="8"/>
      <c r="E41" s="8"/>
      <c r="F41" s="8"/>
      <c r="G41" s="8"/>
    </row>
    <row r="42" spans="1:7" x14ac:dyDescent="0.2">
      <c r="A42" s="38"/>
      <c r="B42" s="38"/>
      <c r="C42" s="8"/>
      <c r="D42" s="8"/>
      <c r="E42" s="8"/>
      <c r="F42" s="8"/>
      <c r="G42" s="8"/>
    </row>
    <row r="43" spans="1:7" x14ac:dyDescent="0.2">
      <c r="A43" s="38"/>
      <c r="B43" s="38"/>
      <c r="C43" s="8"/>
      <c r="D43" s="8"/>
      <c r="E43" s="8"/>
      <c r="F43" s="8"/>
      <c r="G43" s="8"/>
    </row>
    <row r="44" spans="1:7" x14ac:dyDescent="0.2">
      <c r="A44" s="38"/>
      <c r="B44" s="38"/>
      <c r="C44" s="8"/>
      <c r="D44" s="8"/>
      <c r="E44" s="8"/>
      <c r="F44" s="8"/>
      <c r="G44" s="8"/>
    </row>
    <row r="45" spans="1:7" x14ac:dyDescent="0.2">
      <c r="A45" s="38"/>
      <c r="B45" s="38"/>
      <c r="C45" s="8"/>
      <c r="D45" s="8"/>
      <c r="E45" s="8"/>
      <c r="F45" s="8"/>
      <c r="G45" s="8"/>
    </row>
    <row r="46" spans="1:7" x14ac:dyDescent="0.2">
      <c r="A46" s="38"/>
      <c r="B46" s="38"/>
      <c r="C46" s="8"/>
      <c r="D46" s="8"/>
      <c r="E46" s="8"/>
      <c r="F46" s="8"/>
      <c r="G46" s="8"/>
    </row>
    <row r="47" spans="1:7" x14ac:dyDescent="0.2">
      <c r="A47" s="38"/>
      <c r="B47" s="38"/>
      <c r="C47" s="8"/>
      <c r="D47" s="8"/>
      <c r="E47" s="8"/>
      <c r="F47" s="8"/>
      <c r="G47" s="8"/>
    </row>
    <row r="48" spans="1:7" x14ac:dyDescent="0.2">
      <c r="A48" s="38"/>
      <c r="B48" s="38"/>
      <c r="C48" s="8"/>
      <c r="D48" s="8"/>
      <c r="E48" s="8"/>
      <c r="F48" s="8"/>
      <c r="G48" s="8"/>
    </row>
    <row r="49" spans="1:7" x14ac:dyDescent="0.2">
      <c r="A49" s="38"/>
      <c r="B49" s="38"/>
      <c r="C49" s="8"/>
      <c r="D49" s="8"/>
      <c r="E49" s="8"/>
      <c r="F49" s="8"/>
      <c r="G49" s="8"/>
    </row>
    <row r="50" spans="1:7" x14ac:dyDescent="0.2">
      <c r="A50" s="38"/>
      <c r="B50" s="38"/>
      <c r="C50" s="8"/>
      <c r="D50" s="8"/>
      <c r="E50" s="8"/>
      <c r="F50" s="8"/>
      <c r="G50" s="8"/>
    </row>
    <row r="51" spans="1:7" x14ac:dyDescent="0.2">
      <c r="A51" s="38"/>
      <c r="B51" s="38"/>
      <c r="C51" s="8"/>
      <c r="D51" s="8"/>
      <c r="E51" s="8"/>
      <c r="F51" s="8"/>
      <c r="G51" s="8"/>
    </row>
    <row r="52" spans="1:7" x14ac:dyDescent="0.2">
      <c r="A52" s="38"/>
      <c r="B52" s="38"/>
      <c r="C52" s="8"/>
      <c r="D52" s="8"/>
      <c r="E52" s="8"/>
      <c r="F52" s="8"/>
      <c r="G52" s="8"/>
    </row>
    <row r="53" spans="1:7" x14ac:dyDescent="0.2">
      <c r="A53" s="38"/>
      <c r="B53" s="38"/>
      <c r="C53" s="8"/>
      <c r="D53" s="8"/>
      <c r="E53" s="8"/>
      <c r="F53" s="8"/>
      <c r="G53" s="8"/>
    </row>
    <row r="54" spans="1:7" x14ac:dyDescent="0.2">
      <c r="A54" s="38"/>
      <c r="B54" s="38"/>
      <c r="C54" s="8"/>
      <c r="D54" s="8"/>
      <c r="E54" s="8"/>
      <c r="F54" s="8"/>
      <c r="G54" s="8"/>
    </row>
    <row r="55" spans="1:7" x14ac:dyDescent="0.2">
      <c r="A55" s="38"/>
      <c r="B55" s="38"/>
      <c r="C55" s="8"/>
      <c r="D55" s="8"/>
      <c r="E55" s="8"/>
      <c r="F55" s="8"/>
      <c r="G55" s="8"/>
    </row>
    <row r="56" spans="1:7" x14ac:dyDescent="0.2">
      <c r="A56" s="38"/>
      <c r="B56" s="38"/>
      <c r="C56" s="8"/>
      <c r="D56" s="8"/>
      <c r="E56" s="8"/>
      <c r="F56" s="8"/>
      <c r="G56" s="8"/>
    </row>
    <row r="57" spans="1:7" x14ac:dyDescent="0.2">
      <c r="A57" s="38"/>
      <c r="B57" s="38"/>
      <c r="C57" s="8"/>
      <c r="D57" s="8"/>
      <c r="E57" s="8"/>
      <c r="F57" s="8"/>
      <c r="G57" s="8"/>
    </row>
    <row r="58" spans="1:7" x14ac:dyDescent="0.2">
      <c r="A58" s="38"/>
      <c r="B58" s="38"/>
      <c r="C58" s="8"/>
      <c r="D58" s="8"/>
      <c r="E58" s="8"/>
      <c r="F58" s="8"/>
      <c r="G58" s="8"/>
    </row>
    <row r="59" spans="1:7" x14ac:dyDescent="0.2">
      <c r="A59" s="38"/>
      <c r="B59" s="38"/>
      <c r="C59" s="8"/>
      <c r="D59" s="8"/>
      <c r="E59" s="8"/>
      <c r="F59" s="8"/>
      <c r="G59" s="8"/>
    </row>
    <row r="60" spans="1:7" x14ac:dyDescent="0.2">
      <c r="A60" s="38"/>
      <c r="B60" s="38"/>
      <c r="C60" s="8"/>
      <c r="D60" s="8"/>
      <c r="E60" s="8"/>
      <c r="F60" s="8"/>
      <c r="G60" s="8"/>
    </row>
    <row r="61" spans="1:7" x14ac:dyDescent="0.2">
      <c r="A61" s="38"/>
      <c r="B61" s="38"/>
      <c r="C61" s="8"/>
      <c r="D61" s="8"/>
      <c r="E61" s="8"/>
      <c r="F61" s="8"/>
      <c r="G61" s="8"/>
    </row>
    <row r="62" spans="1:7" x14ac:dyDescent="0.2">
      <c r="A62" s="38"/>
      <c r="B62" s="38"/>
      <c r="C62" s="8"/>
      <c r="D62" s="8"/>
      <c r="E62" s="8"/>
      <c r="F62" s="8"/>
      <c r="G62" s="8"/>
    </row>
    <row r="63" spans="1:7" x14ac:dyDescent="0.2">
      <c r="A63" s="38"/>
      <c r="B63" s="38"/>
      <c r="C63" s="8"/>
      <c r="D63" s="8"/>
      <c r="E63" s="8"/>
      <c r="F63" s="8"/>
      <c r="G63" s="8"/>
    </row>
    <row r="64" spans="1:7" x14ac:dyDescent="0.2">
      <c r="A64" s="38"/>
      <c r="B64" s="38"/>
      <c r="C64" s="8"/>
      <c r="D64" s="8"/>
      <c r="E64" s="8"/>
      <c r="F64" s="8"/>
      <c r="G64" s="8"/>
    </row>
    <row r="65" spans="1:7" x14ac:dyDescent="0.2">
      <c r="A65" s="38"/>
      <c r="B65" s="38"/>
      <c r="C65" s="8"/>
      <c r="D65" s="8"/>
      <c r="E65" s="8"/>
      <c r="F65" s="8"/>
      <c r="G65" s="8"/>
    </row>
    <row r="66" spans="1:7" x14ac:dyDescent="0.2">
      <c r="A66" s="38"/>
      <c r="B66" s="38"/>
      <c r="C66" s="8"/>
      <c r="D66" s="8"/>
      <c r="E66" s="8"/>
      <c r="F66" s="8"/>
      <c r="G66" s="8"/>
    </row>
    <row r="67" spans="1:7" x14ac:dyDescent="0.2">
      <c r="A67" s="38"/>
      <c r="B67" s="38"/>
      <c r="C67" s="8"/>
      <c r="D67" s="8"/>
      <c r="E67" s="8"/>
      <c r="F67" s="8"/>
      <c r="G67" s="8"/>
    </row>
    <row r="68" spans="1:7" x14ac:dyDescent="0.2">
      <c r="A68" s="38"/>
      <c r="B68" s="38"/>
      <c r="C68" s="8"/>
      <c r="D68" s="8"/>
      <c r="E68" s="8"/>
      <c r="F68" s="8"/>
      <c r="G68" s="8"/>
    </row>
    <row r="69" spans="1:7" x14ac:dyDescent="0.2">
      <c r="A69" s="38"/>
      <c r="B69" s="38"/>
      <c r="C69" s="8"/>
      <c r="D69" s="8"/>
      <c r="E69" s="8"/>
      <c r="F69" s="8"/>
      <c r="G69" s="8"/>
    </row>
    <row r="70" spans="1:7" x14ac:dyDescent="0.2">
      <c r="A70" s="38"/>
      <c r="B70" s="38"/>
      <c r="C70" s="8"/>
      <c r="D70" s="8"/>
      <c r="E70" s="8"/>
      <c r="F70" s="8"/>
      <c r="G70" s="8"/>
    </row>
    <row r="71" spans="1:7" x14ac:dyDescent="0.2">
      <c r="A71" s="38"/>
      <c r="B71" s="38"/>
      <c r="C71" s="8"/>
      <c r="D71" s="8"/>
      <c r="E71" s="8"/>
      <c r="F71" s="8"/>
      <c r="G71" s="8"/>
    </row>
    <row r="72" spans="1:7" x14ac:dyDescent="0.2">
      <c r="A72" s="38"/>
      <c r="B72" s="38"/>
      <c r="C72" s="8"/>
      <c r="D72" s="8"/>
      <c r="E72" s="8"/>
      <c r="F72" s="8"/>
      <c r="G72" s="8"/>
    </row>
    <row r="73" spans="1:7" x14ac:dyDescent="0.2">
      <c r="A73" s="38"/>
      <c r="B73" s="38"/>
      <c r="C73" s="8"/>
      <c r="D73" s="8"/>
      <c r="E73" s="8"/>
      <c r="F73" s="8"/>
      <c r="G73" s="8"/>
    </row>
    <row r="74" spans="1:7" x14ac:dyDescent="0.2">
      <c r="A74" s="38"/>
      <c r="B74" s="38"/>
      <c r="C74" s="8"/>
      <c r="D74" s="8"/>
      <c r="E74" s="8"/>
      <c r="F74" s="8"/>
      <c r="G74" s="8"/>
    </row>
    <row r="75" spans="1:7" x14ac:dyDescent="0.2">
      <c r="A75" s="38"/>
      <c r="B75" s="38"/>
      <c r="C75" s="8"/>
      <c r="D75" s="8"/>
      <c r="E75" s="8"/>
      <c r="F75" s="8"/>
      <c r="G75" s="8"/>
    </row>
    <row r="76" spans="1:7" x14ac:dyDescent="0.2">
      <c r="A76" s="38"/>
      <c r="B76" s="38"/>
      <c r="C76" s="8"/>
      <c r="D76" s="8"/>
      <c r="E76" s="8"/>
      <c r="F76" s="8"/>
      <c r="G76" s="8"/>
    </row>
    <row r="77" spans="1:7" x14ac:dyDescent="0.2">
      <c r="A77" s="38"/>
      <c r="B77" s="38"/>
      <c r="C77" s="8"/>
      <c r="D77" s="8"/>
      <c r="E77" s="8"/>
      <c r="F77" s="8"/>
      <c r="G77" s="8"/>
    </row>
    <row r="78" spans="1:7" x14ac:dyDescent="0.2">
      <c r="A78" s="38"/>
      <c r="B78" s="38"/>
      <c r="C78" s="8"/>
      <c r="D78" s="8"/>
      <c r="E78" s="8"/>
      <c r="F78" s="8"/>
      <c r="G78" s="8"/>
    </row>
    <row r="79" spans="1:7" x14ac:dyDescent="0.2">
      <c r="A79" s="38"/>
      <c r="B79" s="38"/>
      <c r="C79" s="8"/>
      <c r="D79" s="8"/>
      <c r="E79" s="8"/>
      <c r="F79" s="8"/>
      <c r="G79" s="8"/>
    </row>
    <row r="80" spans="1:7" x14ac:dyDescent="0.2">
      <c r="A80" s="38"/>
      <c r="B80" s="38"/>
      <c r="C80" s="8"/>
      <c r="D80" s="8"/>
      <c r="E80" s="8"/>
      <c r="F80" s="8"/>
      <c r="G80" s="8"/>
    </row>
    <row r="81" spans="1:7" x14ac:dyDescent="0.2">
      <c r="A81" s="38"/>
      <c r="B81" s="38"/>
      <c r="C81" s="8"/>
      <c r="D81" s="8"/>
      <c r="E81" s="8"/>
      <c r="F81" s="8"/>
      <c r="G81" s="8"/>
    </row>
    <row r="82" spans="1:7" x14ac:dyDescent="0.2">
      <c r="A82" s="38"/>
      <c r="B82" s="38"/>
      <c r="C82" s="8"/>
      <c r="D82" s="8"/>
      <c r="E82" s="8"/>
      <c r="F82" s="8"/>
      <c r="G82" s="8"/>
    </row>
    <row r="83" spans="1:7" x14ac:dyDescent="0.2">
      <c r="A83" s="38"/>
      <c r="B83" s="38"/>
      <c r="C83" s="8"/>
      <c r="D83" s="8"/>
      <c r="E83" s="8"/>
      <c r="F83" s="8"/>
      <c r="G83" s="8"/>
    </row>
    <row r="84" spans="1:7" x14ac:dyDescent="0.2">
      <c r="A84" s="38"/>
      <c r="B84" s="38"/>
      <c r="C84" s="8"/>
      <c r="D84" s="8"/>
      <c r="E84" s="8"/>
      <c r="F84" s="8"/>
      <c r="G84" s="8"/>
    </row>
    <row r="85" spans="1:7" x14ac:dyDescent="0.2">
      <c r="A85" s="38"/>
      <c r="B85" s="38"/>
      <c r="C85" s="8"/>
      <c r="D85" s="8"/>
      <c r="E85" s="8"/>
      <c r="F85" s="8"/>
      <c r="G85" s="8"/>
    </row>
    <row r="86" spans="1:7" x14ac:dyDescent="0.2">
      <c r="A86" s="38"/>
      <c r="B86" s="38"/>
      <c r="C86" s="8"/>
      <c r="D86" s="8"/>
      <c r="E86" s="8"/>
      <c r="F86" s="8"/>
      <c r="G86" s="8"/>
    </row>
    <row r="87" spans="1:7" x14ac:dyDescent="0.2">
      <c r="A87" s="38"/>
      <c r="B87" s="38"/>
      <c r="C87" s="8"/>
      <c r="D87" s="8"/>
      <c r="E87" s="8"/>
      <c r="F87" s="8"/>
      <c r="G87" s="8"/>
    </row>
    <row r="88" spans="1:7" x14ac:dyDescent="0.2">
      <c r="A88" s="38"/>
      <c r="B88" s="38"/>
      <c r="C88" s="8"/>
      <c r="D88" s="8"/>
      <c r="E88" s="8"/>
      <c r="F88" s="8"/>
      <c r="G88" s="8"/>
    </row>
    <row r="89" spans="1:7" x14ac:dyDescent="0.2">
      <c r="A89" s="38"/>
      <c r="B89" s="38"/>
      <c r="C89" s="8"/>
      <c r="D89" s="8"/>
      <c r="E89" s="8"/>
      <c r="F89" s="8"/>
      <c r="G89" s="8"/>
    </row>
    <row r="90" spans="1:7" x14ac:dyDescent="0.2">
      <c r="A90" s="38"/>
      <c r="B90" s="38"/>
      <c r="C90" s="8"/>
      <c r="D90" s="8"/>
      <c r="E90" s="8"/>
      <c r="F90" s="8"/>
      <c r="G90" s="8"/>
    </row>
    <row r="91" spans="1:7" x14ac:dyDescent="0.2">
      <c r="A91" s="38"/>
      <c r="B91" s="38"/>
      <c r="C91" s="8"/>
      <c r="D91" s="8"/>
      <c r="E91" s="8"/>
      <c r="F91" s="8"/>
      <c r="G91" s="8"/>
    </row>
    <row r="92" spans="1:7" x14ac:dyDescent="0.2">
      <c r="A92" s="38"/>
      <c r="B92" s="38"/>
      <c r="C92" s="8"/>
      <c r="D92" s="8"/>
      <c r="E92" s="8"/>
      <c r="F92" s="8"/>
      <c r="G92" s="8"/>
    </row>
    <row r="93" spans="1:7" x14ac:dyDescent="0.2">
      <c r="A93" s="38"/>
      <c r="B93" s="38"/>
      <c r="C93" s="8"/>
      <c r="D93" s="8"/>
      <c r="E93" s="8"/>
      <c r="F93" s="8"/>
      <c r="G93" s="8"/>
    </row>
    <row r="94" spans="1:7" x14ac:dyDescent="0.2">
      <c r="A94" s="38"/>
      <c r="B94" s="38"/>
      <c r="C94" s="8"/>
      <c r="D94" s="8"/>
      <c r="E94" s="8"/>
      <c r="F94" s="8"/>
      <c r="G94" s="8"/>
    </row>
    <row r="95" spans="1:7" x14ac:dyDescent="0.2">
      <c r="A95" s="38"/>
      <c r="B95" s="38"/>
      <c r="C95" s="8"/>
      <c r="D95" s="8"/>
      <c r="E95" s="8"/>
      <c r="F95" s="8"/>
      <c r="G95" s="8"/>
    </row>
    <row r="96" spans="1:7" x14ac:dyDescent="0.2">
      <c r="A96" s="38"/>
      <c r="B96" s="38"/>
      <c r="C96" s="8"/>
      <c r="D96" s="8"/>
      <c r="E96" s="8"/>
      <c r="F96" s="8"/>
      <c r="G96" s="8"/>
    </row>
    <row r="97" spans="1:7" x14ac:dyDescent="0.2">
      <c r="A97" s="38"/>
      <c r="B97" s="38"/>
      <c r="C97" s="8"/>
      <c r="D97" s="8"/>
      <c r="E97" s="8"/>
      <c r="F97" s="8"/>
      <c r="G97" s="8"/>
    </row>
    <row r="98" spans="1:7" x14ac:dyDescent="0.2">
      <c r="A98" s="38"/>
      <c r="B98" s="38"/>
      <c r="C98" s="8"/>
      <c r="D98" s="8"/>
      <c r="E98" s="8"/>
      <c r="F98" s="8"/>
      <c r="G98" s="8"/>
    </row>
    <row r="99" spans="1:7" x14ac:dyDescent="0.2">
      <c r="A99" s="38"/>
      <c r="B99" s="38"/>
      <c r="C99" s="8"/>
      <c r="D99" s="8"/>
      <c r="E99" s="8"/>
      <c r="F99" s="8"/>
      <c r="G99" s="8"/>
    </row>
    <row r="100" spans="1:7" x14ac:dyDescent="0.2">
      <c r="A100" s="38"/>
      <c r="B100" s="38"/>
      <c r="C100" s="8"/>
      <c r="D100" s="8"/>
      <c r="E100" s="8"/>
      <c r="F100" s="8"/>
      <c r="G100" s="8"/>
    </row>
    <row r="101" spans="1:7" x14ac:dyDescent="0.2">
      <c r="A101" s="38"/>
      <c r="B101" s="38"/>
      <c r="C101" s="8"/>
      <c r="D101" s="8"/>
      <c r="E101" s="8"/>
      <c r="F101" s="8"/>
      <c r="G101" s="8"/>
    </row>
    <row r="102" spans="1:7" x14ac:dyDescent="0.2">
      <c r="A102" s="38"/>
      <c r="B102" s="38"/>
      <c r="C102" s="8"/>
      <c r="D102" s="8"/>
      <c r="E102" s="8"/>
      <c r="F102" s="8"/>
      <c r="G102" s="8"/>
    </row>
    <row r="103" spans="1:7" x14ac:dyDescent="0.2">
      <c r="A103" s="38"/>
      <c r="B103" s="38"/>
      <c r="C103" s="8"/>
      <c r="D103" s="8"/>
      <c r="E103" s="8"/>
      <c r="F103" s="8"/>
      <c r="G103" s="8"/>
    </row>
    <row r="104" spans="1:7" x14ac:dyDescent="0.2">
      <c r="A104" s="38"/>
      <c r="B104" s="38"/>
      <c r="C104" s="8"/>
      <c r="D104" s="8"/>
      <c r="E104" s="8"/>
      <c r="F104" s="8"/>
      <c r="G104" s="8"/>
    </row>
    <row r="105" spans="1:7" x14ac:dyDescent="0.2">
      <c r="A105" s="38"/>
      <c r="B105" s="38"/>
      <c r="C105" s="8"/>
      <c r="D105" s="8"/>
      <c r="E105" s="8"/>
      <c r="F105" s="8"/>
      <c r="G105" s="8"/>
    </row>
    <row r="106" spans="1:7" x14ac:dyDescent="0.2">
      <c r="A106" s="38"/>
      <c r="B106" s="38"/>
      <c r="C106" s="8"/>
      <c r="D106" s="8"/>
      <c r="E106" s="8"/>
      <c r="F106" s="8"/>
      <c r="G106" s="8"/>
    </row>
    <row r="107" spans="1:7" x14ac:dyDescent="0.2">
      <c r="A107" s="38"/>
      <c r="B107" s="38"/>
      <c r="C107" s="8"/>
      <c r="D107" s="8"/>
      <c r="E107" s="8"/>
      <c r="F107" s="8"/>
      <c r="G107" s="8"/>
    </row>
    <row r="108" spans="1:7" x14ac:dyDescent="0.2">
      <c r="A108" s="38"/>
      <c r="B108" s="38"/>
      <c r="C108" s="8"/>
      <c r="D108" s="8"/>
      <c r="E108" s="8"/>
      <c r="F108" s="8"/>
      <c r="G108" s="8"/>
    </row>
    <row r="109" spans="1:7" x14ac:dyDescent="0.2">
      <c r="A109" s="38"/>
      <c r="B109" s="38"/>
      <c r="C109" s="8"/>
      <c r="D109" s="8"/>
      <c r="E109" s="8"/>
      <c r="F109" s="8"/>
      <c r="G109" s="8"/>
    </row>
    <row r="110" spans="1:7" x14ac:dyDescent="0.2">
      <c r="A110" s="38"/>
      <c r="B110" s="38"/>
      <c r="C110" s="8"/>
      <c r="D110" s="8"/>
      <c r="E110" s="8"/>
      <c r="F110" s="8"/>
      <c r="G110" s="8"/>
    </row>
    <row r="111" spans="1:7" x14ac:dyDescent="0.2">
      <c r="A111" s="38"/>
      <c r="B111" s="38"/>
      <c r="C111" s="8"/>
      <c r="D111" s="8"/>
      <c r="E111" s="8"/>
      <c r="F111" s="8"/>
      <c r="G111" s="8"/>
    </row>
    <row r="112" spans="1:7" x14ac:dyDescent="0.2">
      <c r="A112" s="38"/>
      <c r="B112" s="38"/>
      <c r="C112" s="8"/>
      <c r="D112" s="8"/>
      <c r="E112" s="8"/>
      <c r="F112" s="8"/>
      <c r="G112" s="8"/>
    </row>
    <row r="113" spans="1:7" x14ac:dyDescent="0.2">
      <c r="A113" s="38"/>
      <c r="B113" s="38"/>
      <c r="C113" s="8"/>
      <c r="D113" s="8"/>
      <c r="E113" s="8"/>
      <c r="F113" s="8"/>
      <c r="G113" s="8"/>
    </row>
    <row r="114" spans="1:7" x14ac:dyDescent="0.2">
      <c r="A114" s="38"/>
      <c r="B114" s="38"/>
      <c r="C114" s="8"/>
      <c r="D114" s="8"/>
      <c r="E114" s="8"/>
      <c r="F114" s="8"/>
      <c r="G114" s="8"/>
    </row>
    <row r="115" spans="1:7" x14ac:dyDescent="0.2">
      <c r="A115" s="38"/>
      <c r="B115" s="38"/>
      <c r="C115" s="8"/>
      <c r="D115" s="8"/>
      <c r="E115" s="8"/>
      <c r="F115" s="8"/>
      <c r="G115" s="8"/>
    </row>
    <row r="116" spans="1:7" x14ac:dyDescent="0.2">
      <c r="A116" s="38"/>
      <c r="B116" s="38"/>
      <c r="C116" s="8"/>
      <c r="D116" s="8"/>
      <c r="E116" s="8"/>
      <c r="F116" s="8"/>
      <c r="G116" s="8"/>
    </row>
    <row r="117" spans="1:7" x14ac:dyDescent="0.2">
      <c r="A117" s="38"/>
      <c r="B117" s="38"/>
      <c r="C117" s="8"/>
      <c r="D117" s="8"/>
      <c r="E117" s="8"/>
      <c r="F117" s="8"/>
      <c r="G117" s="8"/>
    </row>
    <row r="118" spans="1:7" x14ac:dyDescent="0.2">
      <c r="A118" s="38"/>
      <c r="B118" s="38"/>
      <c r="C118" s="8"/>
      <c r="D118" s="8"/>
      <c r="E118" s="8"/>
      <c r="F118" s="8"/>
      <c r="G118" s="8"/>
    </row>
    <row r="119" spans="1:7" x14ac:dyDescent="0.2">
      <c r="A119" s="38"/>
      <c r="B119" s="38"/>
      <c r="C119" s="8"/>
      <c r="D119" s="8"/>
      <c r="E119" s="8"/>
      <c r="F119" s="8"/>
      <c r="G119" s="8"/>
    </row>
    <row r="120" spans="1:7" x14ac:dyDescent="0.2">
      <c r="A120" s="38"/>
      <c r="B120" s="38"/>
      <c r="C120" s="8"/>
      <c r="D120" s="8"/>
      <c r="E120" s="8"/>
      <c r="F120" s="8"/>
      <c r="G120" s="8"/>
    </row>
    <row r="121" spans="1:7" x14ac:dyDescent="0.2">
      <c r="A121" s="38"/>
      <c r="B121" s="38"/>
      <c r="C121" s="8"/>
      <c r="D121" s="8"/>
      <c r="E121" s="8"/>
      <c r="F121" s="8"/>
      <c r="G121" s="8"/>
    </row>
    <row r="122" spans="1:7" x14ac:dyDescent="0.2">
      <c r="A122" s="38"/>
      <c r="B122" s="38"/>
      <c r="C122" s="8"/>
      <c r="D122" s="8"/>
      <c r="E122" s="8"/>
      <c r="F122" s="8"/>
      <c r="G122" s="8"/>
    </row>
    <row r="123" spans="1:7" x14ac:dyDescent="0.2">
      <c r="A123" s="38"/>
      <c r="B123" s="38"/>
      <c r="C123" s="8"/>
      <c r="D123" s="8"/>
      <c r="E123" s="8"/>
      <c r="F123" s="8"/>
      <c r="G123" s="8"/>
    </row>
    <row r="124" spans="1:7" x14ac:dyDescent="0.2">
      <c r="A124" s="38"/>
      <c r="B124" s="38"/>
      <c r="C124" s="8"/>
      <c r="D124" s="8"/>
      <c r="E124" s="8"/>
      <c r="F124" s="8"/>
      <c r="G124" s="8"/>
    </row>
    <row r="125" spans="1:7" x14ac:dyDescent="0.2">
      <c r="A125" s="38"/>
      <c r="B125" s="38"/>
      <c r="C125" s="8"/>
      <c r="D125" s="8"/>
      <c r="E125" s="8"/>
      <c r="F125" s="8"/>
      <c r="G125" s="8"/>
    </row>
    <row r="126" spans="1:7" x14ac:dyDescent="0.2">
      <c r="A126" s="38"/>
      <c r="B126" s="38"/>
      <c r="C126" s="8"/>
      <c r="D126" s="8"/>
      <c r="E126" s="8"/>
      <c r="F126" s="8"/>
      <c r="G126" s="8"/>
    </row>
    <row r="127" spans="1:7" x14ac:dyDescent="0.2">
      <c r="A127" s="38"/>
      <c r="B127" s="38"/>
      <c r="C127" s="8"/>
      <c r="D127" s="8"/>
      <c r="E127" s="8"/>
      <c r="F127" s="8"/>
      <c r="G127" s="8"/>
    </row>
    <row r="128" spans="1:7" x14ac:dyDescent="0.2">
      <c r="A128" s="38"/>
      <c r="B128" s="38"/>
      <c r="C128" s="8"/>
      <c r="D128" s="8"/>
      <c r="E128" s="8"/>
      <c r="F128" s="8"/>
      <c r="G128" s="8"/>
    </row>
    <row r="129" spans="1:7" x14ac:dyDescent="0.2">
      <c r="A129" s="38"/>
      <c r="B129" s="38"/>
      <c r="C129" s="8"/>
      <c r="D129" s="8"/>
      <c r="E129" s="8"/>
      <c r="F129" s="8"/>
      <c r="G129" s="8"/>
    </row>
    <row r="130" spans="1:7" x14ac:dyDescent="0.2">
      <c r="A130" s="38"/>
      <c r="B130" s="38"/>
      <c r="C130" s="8"/>
      <c r="D130" s="8"/>
      <c r="E130" s="8"/>
      <c r="F130" s="8"/>
      <c r="G130" s="8"/>
    </row>
    <row r="131" spans="1:7" x14ac:dyDescent="0.2">
      <c r="A131" s="38"/>
      <c r="B131" s="38"/>
      <c r="C131" s="8"/>
      <c r="D131" s="8"/>
      <c r="E131" s="8"/>
      <c r="F131" s="8"/>
      <c r="G131" s="8"/>
    </row>
    <row r="132" spans="1:7" x14ac:dyDescent="0.2">
      <c r="A132" s="38"/>
      <c r="B132" s="38"/>
      <c r="C132" s="8"/>
      <c r="D132" s="8"/>
      <c r="E132" s="8"/>
      <c r="F132" s="8"/>
      <c r="G132" s="8"/>
    </row>
    <row r="133" spans="1:7" x14ac:dyDescent="0.2">
      <c r="A133" s="38"/>
      <c r="B133" s="38"/>
      <c r="C133" s="8"/>
      <c r="D133" s="8"/>
      <c r="E133" s="8"/>
      <c r="F133" s="8"/>
      <c r="G133" s="8"/>
    </row>
    <row r="134" spans="1:7" x14ac:dyDescent="0.2">
      <c r="A134" s="38"/>
      <c r="B134" s="38"/>
      <c r="C134" s="8"/>
      <c r="D134" s="8"/>
      <c r="E134" s="8"/>
      <c r="F134" s="8"/>
      <c r="G134" s="8"/>
    </row>
    <row r="135" spans="1:7" x14ac:dyDescent="0.2">
      <c r="A135" s="38"/>
      <c r="B135" s="38"/>
      <c r="C135" s="8"/>
      <c r="D135" s="8"/>
      <c r="E135" s="8"/>
      <c r="F135" s="8"/>
      <c r="G135" s="8"/>
    </row>
    <row r="136" spans="1:7" x14ac:dyDescent="0.2">
      <c r="A136" s="38"/>
      <c r="B136" s="38"/>
      <c r="C136" s="8"/>
      <c r="D136" s="8"/>
      <c r="E136" s="8"/>
      <c r="F136" s="8"/>
      <c r="G136" s="8"/>
    </row>
    <row r="137" spans="1:7" x14ac:dyDescent="0.2">
      <c r="A137" s="38"/>
      <c r="B137" s="38"/>
      <c r="C137" s="8"/>
      <c r="D137" s="8"/>
      <c r="E137" s="8"/>
      <c r="F137" s="8"/>
      <c r="G137" s="8"/>
    </row>
    <row r="138" spans="1:7" x14ac:dyDescent="0.2">
      <c r="A138" s="38"/>
      <c r="B138" s="38"/>
      <c r="C138" s="8"/>
      <c r="D138" s="8"/>
      <c r="E138" s="8"/>
      <c r="F138" s="8"/>
      <c r="G138" s="8"/>
    </row>
    <row r="139" spans="1:7" x14ac:dyDescent="0.2">
      <c r="A139" s="38"/>
      <c r="B139" s="38"/>
      <c r="C139" s="8"/>
      <c r="D139" s="8"/>
      <c r="E139" s="8"/>
      <c r="F139" s="8"/>
      <c r="G139" s="8"/>
    </row>
    <row r="140" spans="1:7" x14ac:dyDescent="0.2">
      <c r="A140" s="38"/>
      <c r="B140" s="38"/>
      <c r="C140" s="8"/>
      <c r="D140" s="8"/>
      <c r="E140" s="8"/>
      <c r="F140" s="8"/>
      <c r="G140" s="8"/>
    </row>
    <row r="141" spans="1:7" x14ac:dyDescent="0.2">
      <c r="A141" s="38"/>
      <c r="B141" s="38"/>
      <c r="C141" s="8"/>
      <c r="D141" s="8"/>
      <c r="E141" s="8"/>
      <c r="F141" s="8"/>
      <c r="G141" s="8"/>
    </row>
    <row r="142" spans="1:7" x14ac:dyDescent="0.2">
      <c r="A142" s="38"/>
      <c r="B142" s="38"/>
      <c r="C142" s="8"/>
      <c r="D142" s="8"/>
      <c r="E142" s="8"/>
      <c r="F142" s="8"/>
      <c r="G142" s="8"/>
    </row>
    <row r="143" spans="1:7" x14ac:dyDescent="0.2">
      <c r="A143" s="38"/>
      <c r="B143" s="38"/>
      <c r="C143" s="8"/>
      <c r="D143" s="8"/>
      <c r="E143" s="8"/>
      <c r="F143" s="8"/>
      <c r="G143" s="8"/>
    </row>
    <row r="144" spans="1:7" x14ac:dyDescent="0.2">
      <c r="A144" s="38"/>
      <c r="B144" s="38"/>
      <c r="C144" s="8"/>
      <c r="D144" s="8"/>
      <c r="E144" s="8"/>
      <c r="F144" s="8"/>
      <c r="G144" s="8"/>
    </row>
    <row r="145" spans="1:7" x14ac:dyDescent="0.2">
      <c r="A145" s="38"/>
      <c r="B145" s="38"/>
      <c r="C145" s="8"/>
      <c r="D145" s="8"/>
      <c r="E145" s="8"/>
      <c r="F145" s="8"/>
      <c r="G145" s="8"/>
    </row>
    <row r="146" spans="1:7" x14ac:dyDescent="0.2">
      <c r="A146" s="38"/>
      <c r="B146" s="38"/>
      <c r="C146" s="8"/>
      <c r="D146" s="8"/>
      <c r="E146" s="8"/>
      <c r="F146" s="8"/>
      <c r="G146" s="8"/>
    </row>
    <row r="147" spans="1:7" x14ac:dyDescent="0.2">
      <c r="A147" s="38"/>
      <c r="B147" s="38"/>
      <c r="C147" s="8"/>
      <c r="D147" s="8"/>
      <c r="E147" s="8"/>
      <c r="F147" s="8"/>
      <c r="G147" s="8"/>
    </row>
    <row r="148" spans="1:7" x14ac:dyDescent="0.2">
      <c r="A148" s="38"/>
      <c r="B148" s="38"/>
      <c r="C148" s="8"/>
      <c r="D148" s="8"/>
      <c r="E148" s="8"/>
      <c r="F148" s="8"/>
      <c r="G148" s="8"/>
    </row>
    <row r="149" spans="1:7" x14ac:dyDescent="0.2">
      <c r="A149" s="38"/>
      <c r="B149" s="38"/>
      <c r="C149" s="8"/>
      <c r="D149" s="8"/>
      <c r="E149" s="8"/>
      <c r="F149" s="8"/>
      <c r="G149" s="8"/>
    </row>
    <row r="150" spans="1:7" x14ac:dyDescent="0.2">
      <c r="A150" s="38"/>
      <c r="B150" s="38"/>
      <c r="C150" s="8"/>
      <c r="D150" s="8"/>
      <c r="E150" s="8"/>
      <c r="F150" s="8"/>
      <c r="G150" s="8"/>
    </row>
    <row r="151" spans="1:7" x14ac:dyDescent="0.2">
      <c r="A151" s="38"/>
      <c r="B151" s="38"/>
      <c r="C151" s="8"/>
      <c r="D151" s="8"/>
      <c r="E151" s="8"/>
      <c r="F151" s="8"/>
      <c r="G151" s="8"/>
    </row>
    <row r="152" spans="1:7" x14ac:dyDescent="0.2">
      <c r="A152" s="38"/>
      <c r="B152" s="38"/>
      <c r="C152" s="8"/>
      <c r="D152" s="8"/>
      <c r="E152" s="8"/>
      <c r="F152" s="8"/>
      <c r="G152" s="8"/>
    </row>
    <row r="153" spans="1:7" x14ac:dyDescent="0.2">
      <c r="A153" s="38"/>
      <c r="B153" s="38"/>
      <c r="C153" s="8"/>
      <c r="D153" s="8"/>
      <c r="E153" s="8"/>
      <c r="F153" s="8"/>
      <c r="G153" s="8"/>
    </row>
    <row r="154" spans="1:7" x14ac:dyDescent="0.2">
      <c r="A154" s="38"/>
      <c r="B154" s="38"/>
      <c r="C154" s="8"/>
      <c r="D154" s="8"/>
      <c r="E154" s="8"/>
      <c r="F154" s="8"/>
      <c r="G154" s="8"/>
    </row>
    <row r="155" spans="1:7" x14ac:dyDescent="0.2">
      <c r="A155" s="38"/>
      <c r="B155" s="38"/>
      <c r="C155" s="8"/>
      <c r="D155" s="8"/>
      <c r="E155" s="8"/>
      <c r="F155" s="8"/>
      <c r="G155" s="8"/>
    </row>
    <row r="156" spans="1:7" x14ac:dyDescent="0.2">
      <c r="A156" s="38"/>
      <c r="B156" s="38"/>
      <c r="C156" s="8"/>
      <c r="D156" s="8"/>
      <c r="E156" s="8"/>
      <c r="F156" s="8"/>
      <c r="G156" s="8"/>
    </row>
    <row r="157" spans="1:7" x14ac:dyDescent="0.2">
      <c r="A157" s="38"/>
      <c r="B157" s="38"/>
      <c r="C157" s="8"/>
      <c r="D157" s="8"/>
      <c r="E157" s="8"/>
      <c r="F157" s="8"/>
      <c r="G157" s="8"/>
    </row>
    <row r="158" spans="1:7" x14ac:dyDescent="0.2">
      <c r="A158" s="38"/>
      <c r="B158" s="38"/>
      <c r="C158" s="8"/>
      <c r="D158" s="8"/>
      <c r="E158" s="8"/>
      <c r="F158" s="8"/>
      <c r="G158" s="8"/>
    </row>
    <row r="159" spans="1:7" x14ac:dyDescent="0.2">
      <c r="A159" s="38"/>
      <c r="B159" s="38"/>
      <c r="C159" s="8"/>
      <c r="D159" s="8"/>
      <c r="E159" s="8"/>
      <c r="F159" s="8"/>
      <c r="G159" s="8"/>
    </row>
    <row r="160" spans="1:7" x14ac:dyDescent="0.2">
      <c r="A160" s="38"/>
      <c r="B160" s="38"/>
      <c r="C160" s="8"/>
      <c r="D160" s="8"/>
      <c r="E160" s="8"/>
      <c r="F160" s="8"/>
      <c r="G160" s="8"/>
    </row>
    <row r="161" spans="1:7" x14ac:dyDescent="0.2">
      <c r="A161" s="38"/>
      <c r="B161" s="38"/>
      <c r="C161" s="8"/>
      <c r="D161" s="8"/>
      <c r="E161" s="8"/>
      <c r="F161" s="8"/>
      <c r="G161" s="8"/>
    </row>
    <row r="162" spans="1:7" x14ac:dyDescent="0.2">
      <c r="A162" s="38"/>
      <c r="B162" s="38"/>
      <c r="C162" s="8"/>
      <c r="D162" s="8"/>
      <c r="E162" s="8"/>
      <c r="F162" s="8"/>
      <c r="G162" s="8"/>
    </row>
    <row r="163" spans="1:7" x14ac:dyDescent="0.2">
      <c r="A163" s="38"/>
      <c r="B163" s="38"/>
      <c r="C163" s="8"/>
      <c r="D163" s="8"/>
      <c r="E163" s="8"/>
      <c r="F163" s="8"/>
      <c r="G163" s="8"/>
    </row>
    <row r="164" spans="1:7" x14ac:dyDescent="0.2">
      <c r="A164" s="38"/>
      <c r="B164" s="38"/>
      <c r="C164" s="8"/>
      <c r="D164" s="8"/>
      <c r="E164" s="8"/>
      <c r="F164" s="8"/>
      <c r="G164" s="8"/>
    </row>
    <row r="165" spans="1:7" x14ac:dyDescent="0.2">
      <c r="A165" s="38"/>
      <c r="B165" s="38"/>
      <c r="C165" s="8"/>
      <c r="D165" s="8"/>
      <c r="E165" s="8"/>
      <c r="F165" s="8"/>
      <c r="G165" s="8"/>
    </row>
    <row r="166" spans="1:7" x14ac:dyDescent="0.2">
      <c r="A166" s="38"/>
      <c r="B166" s="38"/>
      <c r="C166" s="8"/>
      <c r="D166" s="8"/>
      <c r="E166" s="8"/>
      <c r="F166" s="8"/>
      <c r="G166" s="8"/>
    </row>
    <row r="167" spans="1:7" x14ac:dyDescent="0.2">
      <c r="A167" s="38"/>
      <c r="B167" s="38"/>
      <c r="C167" s="8"/>
      <c r="D167" s="8"/>
      <c r="E167" s="8"/>
      <c r="F167" s="8"/>
      <c r="G167" s="8"/>
    </row>
    <row r="168" spans="1:7" x14ac:dyDescent="0.2">
      <c r="A168" s="38"/>
      <c r="B168" s="38"/>
      <c r="C168" s="8"/>
      <c r="D168" s="8"/>
      <c r="E168" s="8"/>
      <c r="F168" s="8"/>
      <c r="G168" s="8"/>
    </row>
    <row r="169" spans="1:7" x14ac:dyDescent="0.2">
      <c r="A169" s="38"/>
      <c r="B169" s="38"/>
      <c r="C169" s="8"/>
      <c r="D169" s="8"/>
      <c r="E169" s="8"/>
      <c r="F169" s="8"/>
      <c r="G169" s="8"/>
    </row>
    <row r="170" spans="1:7" x14ac:dyDescent="0.2">
      <c r="A170" s="38"/>
      <c r="B170" s="38"/>
      <c r="C170" s="8"/>
      <c r="D170" s="8"/>
      <c r="E170" s="8"/>
      <c r="F170" s="8"/>
      <c r="G170" s="8"/>
    </row>
    <row r="171" spans="1:7" x14ac:dyDescent="0.2">
      <c r="A171" s="38"/>
      <c r="B171" s="38"/>
      <c r="C171" s="8"/>
      <c r="D171" s="8"/>
      <c r="E171" s="8"/>
      <c r="F171" s="8"/>
      <c r="G171" s="8"/>
    </row>
    <row r="172" spans="1:7" x14ac:dyDescent="0.2">
      <c r="A172" s="38"/>
      <c r="B172" s="38"/>
      <c r="C172" s="8"/>
      <c r="D172" s="8"/>
      <c r="E172" s="8"/>
      <c r="F172" s="8"/>
      <c r="G172" s="8"/>
    </row>
    <row r="173" spans="1:7" x14ac:dyDescent="0.2">
      <c r="A173" s="38"/>
      <c r="B173" s="38"/>
      <c r="C173" s="8"/>
      <c r="D173" s="8"/>
      <c r="E173" s="8"/>
      <c r="F173" s="8"/>
      <c r="G173" s="8"/>
    </row>
    <row r="174" spans="1:7" x14ac:dyDescent="0.2">
      <c r="A174" s="38"/>
      <c r="B174" s="38"/>
      <c r="C174" s="8"/>
      <c r="D174" s="8"/>
      <c r="E174" s="8"/>
      <c r="F174" s="8"/>
      <c r="G174" s="8"/>
    </row>
    <row r="175" spans="1:7" x14ac:dyDescent="0.2">
      <c r="A175" s="38"/>
      <c r="B175" s="38"/>
      <c r="C175" s="8"/>
      <c r="D175" s="8"/>
      <c r="E175" s="8"/>
      <c r="F175" s="8"/>
      <c r="G175" s="8"/>
    </row>
    <row r="176" spans="1:7" x14ac:dyDescent="0.2">
      <c r="A176" s="38"/>
      <c r="B176" s="38"/>
      <c r="C176" s="8"/>
      <c r="D176" s="8"/>
      <c r="E176" s="8"/>
      <c r="F176" s="8"/>
      <c r="G176" s="8"/>
    </row>
    <row r="177" spans="1:7" x14ac:dyDescent="0.2">
      <c r="A177" s="38"/>
      <c r="B177" s="38"/>
      <c r="C177" s="8"/>
      <c r="D177" s="8"/>
      <c r="E177" s="8"/>
      <c r="F177" s="8"/>
      <c r="G177" s="8"/>
    </row>
    <row r="178" spans="1:7" x14ac:dyDescent="0.2">
      <c r="A178" s="38"/>
      <c r="B178" s="38"/>
      <c r="C178" s="8"/>
      <c r="D178" s="8"/>
      <c r="E178" s="8"/>
      <c r="F178" s="8"/>
      <c r="G178" s="8"/>
    </row>
    <row r="179" spans="1:7" x14ac:dyDescent="0.2">
      <c r="A179" s="38"/>
      <c r="B179" s="38"/>
      <c r="C179" s="8"/>
      <c r="D179" s="8"/>
      <c r="E179" s="8"/>
      <c r="F179" s="8"/>
      <c r="G179" s="8"/>
    </row>
    <row r="180" spans="1:7" x14ac:dyDescent="0.2">
      <c r="A180" s="38"/>
      <c r="B180" s="38"/>
      <c r="C180" s="8"/>
      <c r="D180" s="8"/>
      <c r="E180" s="8"/>
      <c r="F180" s="8"/>
      <c r="G180" s="8"/>
    </row>
    <row r="181" spans="1:7" x14ac:dyDescent="0.2">
      <c r="A181" s="38"/>
      <c r="B181" s="38"/>
      <c r="C181" s="8"/>
      <c r="D181" s="8"/>
      <c r="E181" s="8"/>
      <c r="F181" s="8"/>
      <c r="G181" s="8"/>
    </row>
    <row r="182" spans="1:7" x14ac:dyDescent="0.2">
      <c r="A182" s="38"/>
      <c r="B182" s="38"/>
      <c r="C182" s="8"/>
      <c r="D182" s="8"/>
      <c r="E182" s="8"/>
      <c r="F182" s="8"/>
      <c r="G182" s="8"/>
    </row>
    <row r="183" spans="1:7" x14ac:dyDescent="0.2">
      <c r="A183" s="38"/>
      <c r="B183" s="38"/>
      <c r="C183" s="8"/>
      <c r="D183" s="8"/>
      <c r="E183" s="8"/>
      <c r="F183" s="8"/>
      <c r="G183" s="8"/>
    </row>
    <row r="184" spans="1:7" x14ac:dyDescent="0.2">
      <c r="A184" s="38"/>
      <c r="B184" s="38"/>
      <c r="C184" s="8"/>
      <c r="D184" s="8"/>
      <c r="E184" s="8"/>
      <c r="F184" s="8"/>
      <c r="G184" s="8"/>
    </row>
    <row r="185" spans="1:7" x14ac:dyDescent="0.2">
      <c r="A185" s="38"/>
      <c r="B185" s="38"/>
      <c r="C185" s="8"/>
      <c r="D185" s="8"/>
      <c r="E185" s="8"/>
      <c r="F185" s="8"/>
      <c r="G185" s="8"/>
    </row>
    <row r="186" spans="1:7" x14ac:dyDescent="0.2">
      <c r="A186" s="38"/>
      <c r="B186" s="38"/>
      <c r="C186" s="8"/>
      <c r="D186" s="8"/>
      <c r="E186" s="8"/>
      <c r="F186" s="8"/>
      <c r="G186" s="8"/>
    </row>
    <row r="187" spans="1:7" x14ac:dyDescent="0.2">
      <c r="A187" s="38"/>
      <c r="B187" s="38"/>
      <c r="C187" s="8"/>
      <c r="D187" s="8"/>
      <c r="E187" s="8"/>
      <c r="F187" s="8"/>
      <c r="G187" s="8"/>
    </row>
    <row r="188" spans="1:7" x14ac:dyDescent="0.2">
      <c r="A188" s="38"/>
      <c r="B188" s="38"/>
      <c r="C188" s="8"/>
      <c r="D188" s="8"/>
      <c r="E188" s="8"/>
      <c r="F188" s="8"/>
      <c r="G188" s="8"/>
    </row>
    <row r="189" spans="1:7" x14ac:dyDescent="0.2">
      <c r="A189" s="38"/>
      <c r="B189" s="38"/>
      <c r="C189" s="8"/>
      <c r="D189" s="8"/>
      <c r="E189" s="8"/>
      <c r="F189" s="8"/>
      <c r="G189" s="8"/>
    </row>
    <row r="190" spans="1:7" x14ac:dyDescent="0.2">
      <c r="A190" s="38"/>
      <c r="B190" s="38"/>
      <c r="C190" s="8"/>
      <c r="D190" s="8"/>
      <c r="E190" s="8"/>
      <c r="F190" s="8"/>
      <c r="G190" s="8"/>
    </row>
    <row r="191" spans="1:7" x14ac:dyDescent="0.2">
      <c r="A191" s="38"/>
      <c r="B191" s="38"/>
      <c r="C191" s="8"/>
      <c r="D191" s="8"/>
      <c r="E191" s="8"/>
      <c r="F191" s="8"/>
      <c r="G191" s="8"/>
    </row>
    <row r="192" spans="1:7" x14ac:dyDescent="0.2">
      <c r="A192" s="38"/>
      <c r="B192" s="38"/>
      <c r="C192" s="8"/>
      <c r="D192" s="8"/>
      <c r="E192" s="8"/>
      <c r="F192" s="8"/>
      <c r="G192" s="8"/>
    </row>
    <row r="193" spans="1:7" x14ac:dyDescent="0.2">
      <c r="A193" s="38"/>
      <c r="B193" s="38"/>
      <c r="C193" s="8"/>
      <c r="D193" s="8"/>
      <c r="E193" s="8"/>
      <c r="F193" s="8"/>
      <c r="G193" s="8"/>
    </row>
    <row r="194" spans="1:7" x14ac:dyDescent="0.2">
      <c r="A194" s="38"/>
      <c r="B194" s="38"/>
      <c r="C194" s="8"/>
      <c r="D194" s="8"/>
      <c r="E194" s="8"/>
      <c r="F194" s="8"/>
      <c r="G194" s="8"/>
    </row>
    <row r="195" spans="1:7" x14ac:dyDescent="0.2">
      <c r="A195" s="38"/>
      <c r="B195" s="38"/>
      <c r="C195" s="8"/>
      <c r="D195" s="8"/>
      <c r="E195" s="8"/>
      <c r="F195" s="8"/>
      <c r="G195" s="8"/>
    </row>
    <row r="196" spans="1:7" x14ac:dyDescent="0.2">
      <c r="A196" s="38"/>
      <c r="B196" s="38"/>
      <c r="C196" s="8"/>
      <c r="D196" s="8"/>
      <c r="E196" s="8"/>
      <c r="F196" s="8"/>
      <c r="G196" s="8"/>
    </row>
    <row r="197" spans="1:7" x14ac:dyDescent="0.2">
      <c r="A197" s="38"/>
      <c r="B197" s="38"/>
      <c r="C197" s="8"/>
      <c r="D197" s="8"/>
      <c r="E197" s="8"/>
      <c r="F197" s="8"/>
      <c r="G197" s="8"/>
    </row>
    <row r="198" spans="1:7" x14ac:dyDescent="0.2">
      <c r="A198" s="38"/>
      <c r="B198" s="38"/>
      <c r="C198" s="8"/>
      <c r="D198" s="8"/>
      <c r="E198" s="8"/>
      <c r="F198" s="8"/>
      <c r="G198" s="8"/>
    </row>
    <row r="199" spans="1:7" x14ac:dyDescent="0.2">
      <c r="A199" s="38"/>
      <c r="B199" s="38"/>
      <c r="C199" s="8"/>
      <c r="D199" s="8"/>
      <c r="E199" s="8"/>
      <c r="F199" s="8"/>
      <c r="G199" s="8"/>
    </row>
    <row r="200" spans="1:7" x14ac:dyDescent="0.2">
      <c r="A200" s="38"/>
      <c r="B200" s="38"/>
      <c r="C200" s="8"/>
      <c r="D200" s="8"/>
      <c r="E200" s="8"/>
      <c r="F200" s="8"/>
      <c r="G200" s="8"/>
    </row>
    <row r="201" spans="1:7" x14ac:dyDescent="0.2">
      <c r="A201" s="38"/>
      <c r="B201" s="38"/>
      <c r="C201" s="8"/>
      <c r="D201" s="8"/>
      <c r="E201" s="8"/>
      <c r="F201" s="8"/>
      <c r="G201" s="8"/>
    </row>
    <row r="202" spans="1:7" x14ac:dyDescent="0.2">
      <c r="A202" s="38"/>
      <c r="B202" s="38"/>
      <c r="C202" s="8"/>
      <c r="D202" s="8"/>
      <c r="E202" s="8"/>
      <c r="F202" s="8"/>
      <c r="G202" s="8"/>
    </row>
    <row r="203" spans="1:7" x14ac:dyDescent="0.2">
      <c r="A203" s="38"/>
      <c r="B203" s="38"/>
      <c r="C203" s="8"/>
      <c r="D203" s="8"/>
      <c r="E203" s="8"/>
      <c r="F203" s="8"/>
      <c r="G203" s="8"/>
    </row>
    <row r="204" spans="1:7" x14ac:dyDescent="0.2">
      <c r="A204" s="38"/>
      <c r="B204" s="38"/>
      <c r="C204" s="8"/>
      <c r="D204" s="8"/>
      <c r="E204" s="8"/>
      <c r="F204" s="8"/>
      <c r="G204" s="8"/>
    </row>
    <row r="205" spans="1:7" x14ac:dyDescent="0.2">
      <c r="A205" s="38"/>
      <c r="B205" s="38"/>
      <c r="C205" s="8"/>
      <c r="D205" s="8"/>
      <c r="E205" s="8"/>
      <c r="F205" s="8"/>
      <c r="G205" s="8"/>
    </row>
    <row r="206" spans="1:7" x14ac:dyDescent="0.2">
      <c r="A206" s="38"/>
      <c r="B206" s="38"/>
      <c r="C206" s="8"/>
      <c r="D206" s="8"/>
      <c r="E206" s="8"/>
      <c r="F206" s="8"/>
      <c r="G206" s="8"/>
    </row>
    <row r="207" spans="1:7" x14ac:dyDescent="0.2">
      <c r="A207" s="38"/>
      <c r="B207" s="38"/>
      <c r="C207" s="8"/>
      <c r="D207" s="8"/>
      <c r="E207" s="8"/>
      <c r="F207" s="8"/>
      <c r="G207" s="8"/>
    </row>
    <row r="208" spans="1:7" x14ac:dyDescent="0.2">
      <c r="A208" s="38"/>
      <c r="B208" s="38"/>
      <c r="C208" s="8"/>
      <c r="D208" s="8"/>
      <c r="E208" s="8"/>
      <c r="F208" s="8"/>
      <c r="G208" s="8"/>
    </row>
    <row r="209" spans="1:7" x14ac:dyDescent="0.2">
      <c r="A209" s="38"/>
      <c r="B209" s="38"/>
      <c r="C209" s="8"/>
      <c r="D209" s="8"/>
      <c r="E209" s="8"/>
      <c r="F209" s="8"/>
      <c r="G209" s="8"/>
    </row>
    <row r="210" spans="1:7" x14ac:dyDescent="0.2">
      <c r="A210" s="38"/>
      <c r="B210" s="38"/>
      <c r="C210" s="8"/>
      <c r="D210" s="8"/>
      <c r="E210" s="8"/>
      <c r="F210" s="8"/>
      <c r="G210" s="8"/>
    </row>
    <row r="211" spans="1:7" x14ac:dyDescent="0.2">
      <c r="A211" s="38"/>
      <c r="B211" s="38"/>
      <c r="C211" s="8"/>
      <c r="D211" s="8"/>
      <c r="E211" s="8"/>
      <c r="F211" s="8"/>
      <c r="G211" s="8"/>
    </row>
    <row r="212" spans="1:7" x14ac:dyDescent="0.2">
      <c r="A212" s="38"/>
      <c r="B212" s="38"/>
      <c r="C212" s="8"/>
      <c r="D212" s="8"/>
      <c r="E212" s="8"/>
      <c r="F212" s="8"/>
      <c r="G212" s="8"/>
    </row>
    <row r="213" spans="1:7" x14ac:dyDescent="0.2">
      <c r="A213" s="38"/>
      <c r="B213" s="38"/>
      <c r="C213" s="8"/>
      <c r="D213" s="8"/>
      <c r="E213" s="8"/>
      <c r="F213" s="8"/>
      <c r="G213" s="8"/>
    </row>
    <row r="214" spans="1:7" x14ac:dyDescent="0.2">
      <c r="A214" s="38"/>
      <c r="B214" s="38"/>
      <c r="C214" s="8"/>
      <c r="D214" s="8"/>
      <c r="E214" s="8"/>
      <c r="F214" s="8"/>
      <c r="G214" s="8"/>
    </row>
    <row r="215" spans="1:7" x14ac:dyDescent="0.2">
      <c r="A215" s="38"/>
      <c r="B215" s="38"/>
      <c r="C215" s="8"/>
      <c r="D215" s="8"/>
      <c r="E215" s="8"/>
      <c r="F215" s="8"/>
      <c r="G215" s="8"/>
    </row>
    <row r="216" spans="1:7" x14ac:dyDescent="0.2">
      <c r="A216" s="38"/>
      <c r="B216" s="38"/>
      <c r="C216" s="8"/>
      <c r="D216" s="8"/>
      <c r="E216" s="8"/>
      <c r="F216" s="8"/>
      <c r="G216" s="8"/>
    </row>
    <row r="217" spans="1:7" x14ac:dyDescent="0.2">
      <c r="A217" s="38"/>
      <c r="B217" s="38"/>
      <c r="C217" s="8"/>
      <c r="D217" s="8"/>
      <c r="E217" s="8"/>
      <c r="F217" s="8"/>
      <c r="G217" s="8"/>
    </row>
    <row r="218" spans="1:7" x14ac:dyDescent="0.2">
      <c r="A218" s="38"/>
      <c r="B218" s="38"/>
      <c r="C218" s="8"/>
      <c r="D218" s="8"/>
      <c r="E218" s="8"/>
      <c r="F218" s="8"/>
      <c r="G218" s="8"/>
    </row>
    <row r="219" spans="1:7" x14ac:dyDescent="0.2">
      <c r="A219" s="38"/>
      <c r="B219" s="38"/>
      <c r="C219" s="8"/>
      <c r="D219" s="8"/>
      <c r="E219" s="8"/>
      <c r="F219" s="8"/>
      <c r="G219" s="8"/>
    </row>
    <row r="220" spans="1:7" x14ac:dyDescent="0.2">
      <c r="A220" s="38"/>
      <c r="B220" s="38"/>
      <c r="C220" s="8"/>
      <c r="D220" s="8"/>
      <c r="E220" s="8"/>
      <c r="F220" s="8"/>
      <c r="G220" s="8"/>
    </row>
    <row r="221" spans="1:7" x14ac:dyDescent="0.2">
      <c r="A221" s="38"/>
      <c r="B221" s="38"/>
      <c r="C221" s="8"/>
      <c r="D221" s="8"/>
      <c r="E221" s="8"/>
      <c r="F221" s="8"/>
      <c r="G221" s="8"/>
    </row>
    <row r="222" spans="1:7" x14ac:dyDescent="0.2">
      <c r="A222" s="38"/>
      <c r="B222" s="38"/>
      <c r="C222" s="8"/>
      <c r="D222" s="8"/>
      <c r="E222" s="8"/>
      <c r="F222" s="8"/>
      <c r="G222" s="8"/>
    </row>
    <row r="223" spans="1:7" x14ac:dyDescent="0.2">
      <c r="A223" s="38"/>
      <c r="B223" s="38"/>
      <c r="C223" s="8"/>
      <c r="D223" s="8"/>
      <c r="E223" s="8"/>
      <c r="F223" s="8"/>
      <c r="G223" s="8"/>
    </row>
    <row r="224" spans="1:7" x14ac:dyDescent="0.2">
      <c r="A224" s="38"/>
      <c r="B224" s="38"/>
      <c r="C224" s="8"/>
      <c r="D224" s="8"/>
      <c r="E224" s="8"/>
      <c r="F224" s="8"/>
      <c r="G224" s="8"/>
    </row>
    <row r="225" spans="1:7" x14ac:dyDescent="0.2">
      <c r="A225" s="38"/>
      <c r="B225" s="38"/>
      <c r="C225" s="8"/>
      <c r="D225" s="8"/>
      <c r="E225" s="8"/>
      <c r="F225" s="8"/>
      <c r="G225" s="8"/>
    </row>
    <row r="226" spans="1:7" x14ac:dyDescent="0.2">
      <c r="A226" s="38"/>
      <c r="B226" s="38"/>
      <c r="C226" s="8"/>
      <c r="D226" s="8"/>
      <c r="E226" s="8"/>
      <c r="F226" s="8"/>
      <c r="G226" s="8"/>
    </row>
    <row r="227" spans="1:7" x14ac:dyDescent="0.2">
      <c r="A227" s="38"/>
      <c r="B227" s="38"/>
      <c r="C227" s="8"/>
      <c r="D227" s="8"/>
      <c r="E227" s="8"/>
      <c r="F227" s="8"/>
      <c r="G227" s="8"/>
    </row>
    <row r="228" spans="1:7" x14ac:dyDescent="0.2">
      <c r="A228" s="38"/>
      <c r="B228" s="38"/>
      <c r="C228" s="8"/>
      <c r="D228" s="8"/>
      <c r="E228" s="8"/>
      <c r="F228" s="8"/>
      <c r="G228" s="8"/>
    </row>
    <row r="229" spans="1:7" x14ac:dyDescent="0.2">
      <c r="A229" s="38"/>
      <c r="B229" s="38"/>
      <c r="C229" s="8"/>
      <c r="D229" s="8"/>
      <c r="E229" s="8"/>
      <c r="F229" s="8"/>
      <c r="G229" s="8"/>
    </row>
    <row r="230" spans="1:7" x14ac:dyDescent="0.2">
      <c r="A230" s="38"/>
      <c r="B230" s="38"/>
      <c r="C230" s="8"/>
      <c r="D230" s="8"/>
      <c r="E230" s="8"/>
      <c r="F230" s="8"/>
      <c r="G230" s="8"/>
    </row>
    <row r="231" spans="1:7" x14ac:dyDescent="0.2">
      <c r="A231" s="38"/>
      <c r="B231" s="38"/>
      <c r="C231" s="8"/>
      <c r="D231" s="8"/>
      <c r="E231" s="8"/>
      <c r="F231" s="8"/>
      <c r="G231" s="8"/>
    </row>
    <row r="232" spans="1:7" x14ac:dyDescent="0.2">
      <c r="A232" s="38"/>
      <c r="B232" s="38"/>
      <c r="C232" s="8"/>
      <c r="D232" s="8"/>
      <c r="E232" s="8"/>
      <c r="F232" s="8"/>
      <c r="G232" s="8"/>
    </row>
    <row r="233" spans="1:7" x14ac:dyDescent="0.2">
      <c r="A233" s="38"/>
      <c r="B233" s="38"/>
      <c r="C233" s="8"/>
      <c r="D233" s="8"/>
      <c r="E233" s="8"/>
      <c r="F233" s="8"/>
      <c r="G233" s="8"/>
    </row>
    <row r="234" spans="1:7" x14ac:dyDescent="0.2">
      <c r="A234" s="38"/>
      <c r="B234" s="38"/>
      <c r="C234" s="8"/>
      <c r="D234" s="8"/>
      <c r="E234" s="8"/>
      <c r="F234" s="8"/>
      <c r="G234" s="8"/>
    </row>
    <row r="235" spans="1:7" x14ac:dyDescent="0.2">
      <c r="A235" s="38"/>
      <c r="B235" s="38"/>
      <c r="C235" s="8"/>
      <c r="D235" s="8"/>
      <c r="E235" s="8"/>
      <c r="F235" s="8"/>
      <c r="G235" s="8"/>
    </row>
    <row r="236" spans="1:7" x14ac:dyDescent="0.2">
      <c r="A236" s="38"/>
      <c r="B236" s="38"/>
      <c r="C236" s="8"/>
      <c r="D236" s="8"/>
      <c r="E236" s="8"/>
      <c r="F236" s="8"/>
      <c r="G236" s="8"/>
    </row>
    <row r="237" spans="1:7" x14ac:dyDescent="0.2">
      <c r="A237" s="38"/>
      <c r="B237" s="38"/>
      <c r="C237" s="8"/>
      <c r="D237" s="8"/>
      <c r="E237" s="8"/>
      <c r="F237" s="8"/>
      <c r="G237" s="8"/>
    </row>
    <row r="238" spans="1:7" x14ac:dyDescent="0.2">
      <c r="A238" s="38"/>
      <c r="B238" s="38"/>
      <c r="C238" s="8"/>
      <c r="D238" s="8"/>
      <c r="E238" s="8"/>
      <c r="F238" s="8"/>
      <c r="G238" s="8"/>
    </row>
    <row r="239" spans="1:7" x14ac:dyDescent="0.2">
      <c r="A239" s="38"/>
      <c r="B239" s="38"/>
      <c r="C239" s="8"/>
      <c r="D239" s="8"/>
      <c r="E239" s="8"/>
      <c r="F239" s="8"/>
      <c r="G239" s="8"/>
    </row>
    <row r="240" spans="1:7" x14ac:dyDescent="0.2">
      <c r="A240" s="38"/>
      <c r="B240" s="38"/>
      <c r="C240" s="8"/>
      <c r="D240" s="8"/>
      <c r="E240" s="8"/>
      <c r="F240" s="8"/>
      <c r="G240" s="8"/>
    </row>
    <row r="241" spans="1:7" x14ac:dyDescent="0.2">
      <c r="A241" s="38"/>
      <c r="B241" s="38"/>
      <c r="C241" s="8"/>
      <c r="D241" s="8"/>
      <c r="E241" s="8"/>
      <c r="F241" s="8"/>
      <c r="G241" s="8"/>
    </row>
    <row r="242" spans="1:7" x14ac:dyDescent="0.2">
      <c r="A242" s="38"/>
      <c r="B242" s="38"/>
      <c r="C242" s="8"/>
      <c r="D242" s="8"/>
      <c r="E242" s="8"/>
      <c r="F242" s="8"/>
      <c r="G242" s="8"/>
    </row>
    <row r="243" spans="1:7" x14ac:dyDescent="0.2">
      <c r="A243" s="38"/>
      <c r="B243" s="38"/>
      <c r="C243" s="8"/>
      <c r="D243" s="8"/>
      <c r="E243" s="8"/>
      <c r="F243" s="8"/>
      <c r="G243" s="8"/>
    </row>
    <row r="244" spans="1:7" x14ac:dyDescent="0.2">
      <c r="A244" s="38"/>
      <c r="B244" s="38"/>
      <c r="C244" s="8"/>
      <c r="D244" s="8"/>
      <c r="E244" s="8"/>
      <c r="F244" s="8"/>
      <c r="G244" s="8"/>
    </row>
    <row r="245" spans="1:7" x14ac:dyDescent="0.2">
      <c r="A245" s="38"/>
      <c r="B245" s="38"/>
      <c r="C245" s="8"/>
      <c r="D245" s="8"/>
      <c r="E245" s="8"/>
      <c r="F245" s="8"/>
      <c r="G245" s="8"/>
    </row>
    <row r="246" spans="1:7" x14ac:dyDescent="0.2">
      <c r="A246" s="38"/>
      <c r="B246" s="38"/>
      <c r="C246" s="8"/>
      <c r="D246" s="8"/>
      <c r="E246" s="8"/>
      <c r="F246" s="8"/>
      <c r="G246" s="8"/>
    </row>
    <row r="247" spans="1:7" x14ac:dyDescent="0.2">
      <c r="A247" s="38"/>
      <c r="B247" s="38"/>
      <c r="C247" s="8"/>
      <c r="D247" s="8"/>
      <c r="E247" s="8"/>
      <c r="F247" s="8"/>
      <c r="G247" s="8"/>
    </row>
    <row r="248" spans="1:7" x14ac:dyDescent="0.2">
      <c r="A248" s="38"/>
      <c r="B248" s="38"/>
      <c r="C248" s="8"/>
      <c r="D248" s="8"/>
      <c r="E248" s="8"/>
      <c r="F248" s="8"/>
      <c r="G248" s="8"/>
    </row>
    <row r="249" spans="1:7" x14ac:dyDescent="0.2">
      <c r="A249" s="38"/>
      <c r="B249" s="38"/>
      <c r="C249" s="8"/>
      <c r="D249" s="8"/>
      <c r="E249" s="8"/>
      <c r="F249" s="8"/>
      <c r="G249" s="8"/>
    </row>
    <row r="250" spans="1:7" x14ac:dyDescent="0.2">
      <c r="A250" s="38"/>
      <c r="B250" s="38"/>
      <c r="C250" s="8"/>
      <c r="D250" s="8"/>
      <c r="E250" s="8"/>
      <c r="F250" s="8"/>
      <c r="G250" s="8"/>
    </row>
    <row r="251" spans="1:7" x14ac:dyDescent="0.2">
      <c r="A251" s="38"/>
      <c r="B251" s="38"/>
      <c r="C251" s="8"/>
      <c r="D251" s="8"/>
      <c r="E251" s="8"/>
      <c r="F251" s="8"/>
      <c r="G251" s="8"/>
    </row>
    <row r="252" spans="1:7" x14ac:dyDescent="0.2">
      <c r="A252" s="38"/>
      <c r="B252" s="38"/>
      <c r="C252" s="8"/>
      <c r="D252" s="8"/>
      <c r="E252" s="8"/>
      <c r="F252" s="8"/>
      <c r="G252" s="8"/>
    </row>
    <row r="253" spans="1:7" x14ac:dyDescent="0.2">
      <c r="A253" s="38"/>
      <c r="B253" s="38"/>
      <c r="C253" s="8"/>
      <c r="D253" s="8"/>
      <c r="E253" s="8"/>
      <c r="F253" s="8"/>
      <c r="G253" s="8"/>
    </row>
    <row r="254" spans="1:7" x14ac:dyDescent="0.2">
      <c r="A254" s="38"/>
      <c r="B254" s="38"/>
      <c r="C254" s="8"/>
      <c r="D254" s="8"/>
      <c r="E254" s="8"/>
      <c r="F254" s="8"/>
      <c r="G254" s="8"/>
    </row>
    <row r="255" spans="1:7" x14ac:dyDescent="0.2">
      <c r="A255" s="38"/>
      <c r="B255" s="38"/>
      <c r="C255" s="8"/>
      <c r="D255" s="8"/>
      <c r="E255" s="8"/>
      <c r="F255" s="8"/>
      <c r="G255" s="8"/>
    </row>
    <row r="256" spans="1:7" x14ac:dyDescent="0.2">
      <c r="A256" s="38"/>
      <c r="B256" s="38"/>
      <c r="C256" s="8"/>
      <c r="D256" s="8"/>
      <c r="E256" s="8"/>
      <c r="F256" s="8"/>
      <c r="G256" s="8"/>
    </row>
    <row r="257" spans="1:7" x14ac:dyDescent="0.2">
      <c r="A257" s="38"/>
      <c r="B257" s="38"/>
      <c r="C257" s="8"/>
      <c r="D257" s="8"/>
      <c r="E257" s="8"/>
      <c r="F257" s="8"/>
      <c r="G257" s="8"/>
    </row>
    <row r="258" spans="1:7" x14ac:dyDescent="0.2">
      <c r="A258" s="38"/>
      <c r="B258" s="38"/>
      <c r="C258" s="8"/>
      <c r="D258" s="8"/>
      <c r="E258" s="8"/>
      <c r="F258" s="8"/>
      <c r="G258" s="8"/>
    </row>
    <row r="259" spans="1:7" x14ac:dyDescent="0.2">
      <c r="A259" s="38"/>
      <c r="B259" s="38"/>
      <c r="C259" s="8"/>
      <c r="D259" s="8"/>
      <c r="E259" s="8"/>
      <c r="F259" s="8"/>
      <c r="G259" s="8"/>
    </row>
    <row r="260" spans="1:7" x14ac:dyDescent="0.2">
      <c r="A260" s="38"/>
      <c r="B260" s="38"/>
      <c r="C260" s="8"/>
      <c r="D260" s="8"/>
      <c r="E260" s="8"/>
      <c r="F260" s="8"/>
      <c r="G260" s="8"/>
    </row>
    <row r="261" spans="1:7" x14ac:dyDescent="0.2">
      <c r="A261" s="38"/>
      <c r="B261" s="38"/>
      <c r="C261" s="8"/>
      <c r="D261" s="8"/>
      <c r="E261" s="8"/>
      <c r="F261" s="8"/>
      <c r="G261" s="8"/>
    </row>
    <row r="262" spans="1:7" x14ac:dyDescent="0.2">
      <c r="A262" s="38"/>
      <c r="B262" s="38"/>
      <c r="C262" s="8"/>
      <c r="D262" s="8"/>
      <c r="E262" s="8"/>
      <c r="F262" s="8"/>
      <c r="G262" s="8"/>
    </row>
    <row r="263" spans="1:7" x14ac:dyDescent="0.2">
      <c r="A263" s="38"/>
      <c r="B263" s="38"/>
      <c r="C263" s="8"/>
      <c r="D263" s="8"/>
      <c r="E263" s="8"/>
      <c r="F263" s="8"/>
      <c r="G263" s="8"/>
    </row>
    <row r="264" spans="1:7" x14ac:dyDescent="0.2">
      <c r="A264" s="38"/>
      <c r="B264" s="38"/>
      <c r="C264" s="8"/>
      <c r="D264" s="8"/>
      <c r="E264" s="8"/>
      <c r="F264" s="8"/>
      <c r="G264" s="8"/>
    </row>
    <row r="265" spans="1:7" x14ac:dyDescent="0.2">
      <c r="A265" s="38"/>
      <c r="B265" s="38"/>
      <c r="C265" s="8"/>
      <c r="D265" s="8"/>
      <c r="E265" s="8"/>
      <c r="F265" s="8"/>
      <c r="G265" s="8"/>
    </row>
    <row r="266" spans="1:7" x14ac:dyDescent="0.2">
      <c r="A266" s="38"/>
      <c r="B266" s="38"/>
      <c r="C266" s="8"/>
      <c r="D266" s="8"/>
      <c r="E266" s="8"/>
      <c r="F266" s="8"/>
      <c r="G266" s="8"/>
    </row>
    <row r="267" spans="1:7" x14ac:dyDescent="0.2">
      <c r="A267" s="38"/>
      <c r="B267" s="38"/>
      <c r="C267" s="8"/>
      <c r="D267" s="8"/>
      <c r="E267" s="8"/>
      <c r="F267" s="8"/>
      <c r="G267" s="8"/>
    </row>
    <row r="268" spans="1:7" x14ac:dyDescent="0.2">
      <c r="A268" s="38"/>
      <c r="B268" s="38"/>
      <c r="C268" s="8"/>
      <c r="D268" s="8"/>
      <c r="E268" s="8"/>
      <c r="F268" s="8"/>
      <c r="G268" s="8"/>
    </row>
    <row r="269" spans="1:7" x14ac:dyDescent="0.2">
      <c r="A269" s="38"/>
      <c r="B269" s="38"/>
      <c r="C269" s="8"/>
      <c r="D269" s="8"/>
      <c r="E269" s="8"/>
      <c r="F269" s="8"/>
      <c r="G269" s="8"/>
    </row>
    <row r="270" spans="1:7" x14ac:dyDescent="0.2">
      <c r="A270" s="38"/>
      <c r="B270" s="38"/>
      <c r="C270" s="8"/>
      <c r="D270" s="8"/>
      <c r="E270" s="8"/>
      <c r="F270" s="8"/>
      <c r="G270" s="8"/>
    </row>
    <row r="271" spans="1:7" x14ac:dyDescent="0.2">
      <c r="A271" s="38"/>
      <c r="B271" s="38"/>
      <c r="C271" s="8"/>
      <c r="D271" s="8"/>
      <c r="E271" s="8"/>
      <c r="F271" s="8"/>
      <c r="G271" s="8"/>
    </row>
    <row r="272" spans="1:7" x14ac:dyDescent="0.2">
      <c r="A272" s="38"/>
      <c r="B272" s="38"/>
      <c r="C272" s="8"/>
      <c r="D272" s="8"/>
      <c r="E272" s="8"/>
      <c r="F272" s="8"/>
      <c r="G272" s="8"/>
    </row>
    <row r="273" spans="1:7" x14ac:dyDescent="0.2">
      <c r="A273" s="38"/>
      <c r="B273" s="38"/>
      <c r="C273" s="8"/>
      <c r="D273" s="8"/>
      <c r="E273" s="8"/>
      <c r="F273" s="8"/>
      <c r="G273" s="8"/>
    </row>
    <row r="274" spans="1:7" x14ac:dyDescent="0.2">
      <c r="A274" s="38"/>
      <c r="B274" s="38"/>
      <c r="C274" s="8"/>
      <c r="D274" s="8"/>
      <c r="E274" s="8"/>
      <c r="F274" s="8"/>
      <c r="G274" s="8"/>
    </row>
    <row r="275" spans="1:7" x14ac:dyDescent="0.2">
      <c r="A275" s="38"/>
      <c r="B275" s="38"/>
      <c r="C275" s="8"/>
      <c r="D275" s="8"/>
      <c r="E275" s="8"/>
      <c r="F275" s="8"/>
      <c r="G275" s="8"/>
    </row>
    <row r="276" spans="1:7" x14ac:dyDescent="0.2">
      <c r="A276" s="38"/>
      <c r="B276" s="38"/>
      <c r="C276" s="8"/>
      <c r="D276" s="8"/>
      <c r="E276" s="8"/>
      <c r="F276" s="8"/>
      <c r="G276" s="8"/>
    </row>
    <row r="277" spans="1:7" x14ac:dyDescent="0.2">
      <c r="A277" s="38"/>
      <c r="B277" s="38"/>
      <c r="C277" s="8"/>
      <c r="D277" s="8"/>
      <c r="E277" s="8"/>
      <c r="F277" s="8"/>
      <c r="G277" s="8"/>
    </row>
    <row r="278" spans="1:7" x14ac:dyDescent="0.2">
      <c r="A278" s="38"/>
      <c r="B278" s="38"/>
      <c r="C278" s="8"/>
      <c r="D278" s="8"/>
      <c r="E278" s="8"/>
      <c r="F278" s="8"/>
      <c r="G278" s="8"/>
    </row>
    <row r="279" spans="1:7" x14ac:dyDescent="0.2">
      <c r="A279" s="38"/>
      <c r="B279" s="38"/>
      <c r="C279" s="8"/>
      <c r="D279" s="8"/>
      <c r="E279" s="8"/>
      <c r="F279" s="8"/>
      <c r="G279" s="8"/>
    </row>
    <row r="280" spans="1:7" x14ac:dyDescent="0.2">
      <c r="A280" s="38"/>
      <c r="B280" s="38"/>
      <c r="C280" s="8"/>
      <c r="D280" s="8"/>
      <c r="E280" s="8"/>
      <c r="F280" s="8"/>
      <c r="G280" s="8"/>
    </row>
    <row r="281" spans="1:7" x14ac:dyDescent="0.2">
      <c r="A281" s="38"/>
      <c r="B281" s="38"/>
      <c r="C281" s="8"/>
      <c r="D281" s="8"/>
      <c r="E281" s="8"/>
      <c r="F281" s="8"/>
      <c r="G281" s="8"/>
    </row>
    <row r="282" spans="1:7" x14ac:dyDescent="0.2">
      <c r="A282" s="38"/>
      <c r="B282" s="38"/>
      <c r="C282" s="8"/>
      <c r="D282" s="8"/>
      <c r="E282" s="8"/>
      <c r="F282" s="8"/>
      <c r="G282" s="8"/>
    </row>
    <row r="283" spans="1:7" x14ac:dyDescent="0.2">
      <c r="A283" s="38"/>
      <c r="B283" s="38"/>
      <c r="C283" s="8"/>
      <c r="D283" s="8"/>
      <c r="E283" s="8"/>
      <c r="F283" s="8"/>
      <c r="G283" s="8"/>
    </row>
    <row r="284" spans="1:7" x14ac:dyDescent="0.2">
      <c r="A284" s="38"/>
      <c r="B284" s="38"/>
      <c r="C284" s="8"/>
      <c r="D284" s="8"/>
      <c r="E284" s="8"/>
      <c r="F284" s="8"/>
      <c r="G284" s="8"/>
    </row>
    <row r="285" spans="1:7" x14ac:dyDescent="0.2">
      <c r="A285" s="38"/>
      <c r="B285" s="38"/>
      <c r="C285" s="8"/>
      <c r="D285" s="8"/>
      <c r="E285" s="8"/>
      <c r="F285" s="8"/>
      <c r="G285" s="8"/>
    </row>
    <row r="286" spans="1:7" x14ac:dyDescent="0.2">
      <c r="A286" s="38"/>
      <c r="B286" s="38"/>
      <c r="C286" s="8"/>
      <c r="D286" s="8"/>
      <c r="E286" s="8"/>
      <c r="F286" s="8"/>
      <c r="G286" s="8"/>
    </row>
    <row r="287" spans="1:7" x14ac:dyDescent="0.2">
      <c r="A287" s="38"/>
      <c r="B287" s="38"/>
      <c r="C287" s="8"/>
      <c r="D287" s="8"/>
      <c r="E287" s="8"/>
      <c r="F287" s="8"/>
      <c r="G287" s="8"/>
    </row>
    <row r="288" spans="1:7" x14ac:dyDescent="0.2">
      <c r="A288" s="38"/>
      <c r="B288" s="38"/>
      <c r="C288" s="8"/>
      <c r="D288" s="8"/>
      <c r="E288" s="8"/>
      <c r="F288" s="8"/>
      <c r="G288" s="8"/>
    </row>
    <row r="289" spans="1:7" x14ac:dyDescent="0.2">
      <c r="A289" s="38"/>
      <c r="B289" s="38"/>
      <c r="C289" s="8"/>
      <c r="D289" s="8"/>
      <c r="E289" s="8"/>
      <c r="F289" s="8"/>
      <c r="G289" s="8"/>
    </row>
    <row r="290" spans="1:7" x14ac:dyDescent="0.2">
      <c r="A290" s="38"/>
      <c r="B290" s="38"/>
      <c r="C290" s="8"/>
      <c r="D290" s="8"/>
      <c r="E290" s="8"/>
      <c r="F290" s="8"/>
      <c r="G290" s="8"/>
    </row>
    <row r="291" spans="1:7" x14ac:dyDescent="0.2">
      <c r="A291" s="38"/>
      <c r="B291" s="38"/>
      <c r="C291" s="8"/>
      <c r="D291" s="8"/>
      <c r="E291" s="8"/>
      <c r="F291" s="8"/>
      <c r="G291" s="8"/>
    </row>
    <row r="292" spans="1:7" x14ac:dyDescent="0.2">
      <c r="A292" s="38"/>
      <c r="B292" s="38"/>
      <c r="C292" s="8"/>
      <c r="D292" s="8"/>
      <c r="E292" s="8"/>
      <c r="F292" s="8"/>
      <c r="G292" s="8"/>
    </row>
    <row r="293" spans="1:7" x14ac:dyDescent="0.2">
      <c r="A293" s="38"/>
      <c r="B293" s="38"/>
      <c r="C293" s="8"/>
      <c r="D293" s="8"/>
      <c r="E293" s="8"/>
      <c r="F293" s="8"/>
      <c r="G293" s="8"/>
    </row>
    <row r="294" spans="1:7" x14ac:dyDescent="0.2">
      <c r="A294" s="38"/>
      <c r="B294" s="38"/>
      <c r="C294" s="8"/>
      <c r="D294" s="8"/>
      <c r="E294" s="8"/>
      <c r="F294" s="8"/>
      <c r="G294" s="8"/>
    </row>
    <row r="295" spans="1:7" x14ac:dyDescent="0.2">
      <c r="A295" s="38"/>
      <c r="B295" s="38"/>
      <c r="C295" s="8"/>
      <c r="D295" s="8"/>
      <c r="E295" s="8"/>
      <c r="F295" s="8"/>
      <c r="G295" s="8"/>
    </row>
    <row r="296" spans="1:7" x14ac:dyDescent="0.2">
      <c r="A296" s="38"/>
      <c r="B296" s="38"/>
      <c r="C296" s="8"/>
      <c r="D296" s="8"/>
      <c r="E296" s="8"/>
      <c r="F296" s="8"/>
      <c r="G296" s="8"/>
    </row>
    <row r="297" spans="1:7" x14ac:dyDescent="0.2">
      <c r="A297" s="38"/>
      <c r="B297" s="38"/>
      <c r="C297" s="8"/>
      <c r="D297" s="8"/>
      <c r="E297" s="8"/>
      <c r="F297" s="8"/>
      <c r="G297" s="8"/>
    </row>
    <row r="298" spans="1:7" x14ac:dyDescent="0.2">
      <c r="A298" s="38"/>
      <c r="B298" s="38"/>
      <c r="C298" s="8"/>
      <c r="D298" s="8"/>
      <c r="E298" s="8"/>
      <c r="F298" s="8"/>
      <c r="G298" s="8"/>
    </row>
    <row r="299" spans="1:7" x14ac:dyDescent="0.2">
      <c r="A299" s="38"/>
      <c r="B299" s="38"/>
      <c r="C299" s="8"/>
      <c r="D299" s="8"/>
      <c r="E299" s="8"/>
      <c r="F299" s="8"/>
      <c r="G299" s="8"/>
    </row>
    <row r="300" spans="1:7" x14ac:dyDescent="0.2">
      <c r="A300" s="38"/>
      <c r="B300" s="38"/>
      <c r="C300" s="8"/>
      <c r="D300" s="8"/>
      <c r="E300" s="8"/>
      <c r="F300" s="8"/>
      <c r="G300" s="8"/>
    </row>
    <row r="301" spans="1:7" x14ac:dyDescent="0.2">
      <c r="A301" s="38"/>
      <c r="B301" s="38"/>
      <c r="C301" s="8"/>
      <c r="D301" s="8"/>
      <c r="E301" s="8"/>
      <c r="F301" s="8"/>
      <c r="G301" s="8"/>
    </row>
    <row r="302" spans="1:7" x14ac:dyDescent="0.2">
      <c r="A302" s="38"/>
      <c r="B302" s="38"/>
      <c r="C302" s="8"/>
      <c r="D302" s="8"/>
      <c r="E302" s="8"/>
      <c r="F302" s="8"/>
      <c r="G302" s="8"/>
    </row>
    <row r="303" spans="1:7" x14ac:dyDescent="0.2">
      <c r="A303" s="38"/>
      <c r="B303" s="38"/>
      <c r="C303" s="8"/>
      <c r="D303" s="8"/>
      <c r="E303" s="8"/>
      <c r="F303" s="8"/>
      <c r="G303" s="8"/>
    </row>
    <row r="304" spans="1:7" x14ac:dyDescent="0.2">
      <c r="A304" s="38"/>
      <c r="B304" s="38"/>
      <c r="C304" s="8"/>
      <c r="D304" s="8"/>
      <c r="E304" s="8"/>
      <c r="F304" s="8"/>
      <c r="G304" s="8"/>
    </row>
    <row r="305" spans="1:7" x14ac:dyDescent="0.2">
      <c r="A305" s="38"/>
      <c r="B305" s="38"/>
      <c r="C305" s="8"/>
      <c r="D305" s="8"/>
      <c r="E305" s="8"/>
      <c r="F305" s="8"/>
      <c r="G305" s="8"/>
    </row>
    <row r="306" spans="1:7" x14ac:dyDescent="0.2">
      <c r="A306" s="38"/>
      <c r="B306" s="38"/>
      <c r="C306" s="8"/>
      <c r="D306" s="8"/>
      <c r="E306" s="8"/>
      <c r="F306" s="8"/>
      <c r="G306" s="8"/>
    </row>
    <row r="307" spans="1:7" x14ac:dyDescent="0.2">
      <c r="A307" s="38"/>
      <c r="B307" s="38"/>
      <c r="C307" s="8"/>
      <c r="D307" s="8"/>
      <c r="E307" s="8"/>
      <c r="F307" s="8"/>
      <c r="G307" s="8"/>
    </row>
    <row r="308" spans="1:7" x14ac:dyDescent="0.2">
      <c r="A308" s="38"/>
      <c r="B308" s="38"/>
      <c r="C308" s="8"/>
      <c r="D308" s="8"/>
      <c r="E308" s="8"/>
      <c r="F308" s="8"/>
      <c r="G308" s="8"/>
    </row>
    <row r="309" spans="1:7" x14ac:dyDescent="0.2">
      <c r="A309" s="38"/>
      <c r="B309" s="38"/>
      <c r="C309" s="8"/>
      <c r="D309" s="8"/>
      <c r="E309" s="8"/>
      <c r="F309" s="8"/>
      <c r="G309" s="8"/>
    </row>
    <row r="310" spans="1:7" x14ac:dyDescent="0.2">
      <c r="A310" s="38"/>
      <c r="B310" s="38"/>
      <c r="C310" s="8"/>
      <c r="D310" s="8"/>
      <c r="E310" s="8"/>
      <c r="F310" s="8"/>
      <c r="G310" s="8"/>
    </row>
    <row r="311" spans="1:7" x14ac:dyDescent="0.2">
      <c r="A311" s="38"/>
      <c r="B311" s="38"/>
      <c r="C311" s="8"/>
      <c r="D311" s="8"/>
      <c r="E311" s="8"/>
      <c r="F311" s="8"/>
      <c r="G311" s="8"/>
    </row>
    <row r="312" spans="1:7" x14ac:dyDescent="0.2">
      <c r="A312" s="38"/>
      <c r="B312" s="38"/>
      <c r="C312" s="8"/>
      <c r="D312" s="8"/>
      <c r="E312" s="8"/>
      <c r="F312" s="8"/>
      <c r="G312" s="8"/>
    </row>
    <row r="313" spans="1:7" x14ac:dyDescent="0.2">
      <c r="A313" s="38"/>
      <c r="B313" s="38"/>
      <c r="C313" s="8"/>
      <c r="D313" s="8"/>
      <c r="E313" s="8"/>
      <c r="F313" s="8"/>
      <c r="G313" s="8"/>
    </row>
    <row r="314" spans="1:7" x14ac:dyDescent="0.2">
      <c r="A314" s="38"/>
      <c r="B314" s="38"/>
      <c r="C314" s="8"/>
      <c r="D314" s="8"/>
      <c r="E314" s="8"/>
      <c r="F314" s="8"/>
      <c r="G314" s="8"/>
    </row>
    <row r="315" spans="1:7" x14ac:dyDescent="0.2">
      <c r="A315" s="38"/>
      <c r="B315" s="38"/>
      <c r="C315" s="8"/>
      <c r="D315" s="8"/>
      <c r="E315" s="8"/>
      <c r="F315" s="8"/>
      <c r="G315" s="8"/>
    </row>
    <row r="316" spans="1:7" x14ac:dyDescent="0.2">
      <c r="A316" s="38"/>
      <c r="B316" s="38"/>
      <c r="C316" s="8"/>
      <c r="D316" s="8"/>
      <c r="E316" s="8"/>
      <c r="F316" s="8"/>
      <c r="G316" s="8"/>
    </row>
    <row r="317" spans="1:7" x14ac:dyDescent="0.2">
      <c r="A317" s="38"/>
      <c r="B317" s="38"/>
      <c r="C317" s="8"/>
      <c r="D317" s="8"/>
      <c r="E317" s="8"/>
      <c r="F317" s="8"/>
      <c r="G317" s="8"/>
    </row>
    <row r="318" spans="1:7" x14ac:dyDescent="0.2">
      <c r="A318" s="38"/>
      <c r="B318" s="38"/>
      <c r="C318" s="8"/>
      <c r="D318" s="8"/>
      <c r="E318" s="8"/>
      <c r="F318" s="8"/>
      <c r="G318" s="8"/>
    </row>
    <row r="319" spans="1:7" x14ac:dyDescent="0.2">
      <c r="A319" s="38"/>
      <c r="B319" s="38"/>
      <c r="C319" s="8"/>
      <c r="D319" s="8"/>
      <c r="E319" s="8"/>
      <c r="F319" s="8"/>
      <c r="G319" s="8"/>
    </row>
    <row r="320" spans="1:7" x14ac:dyDescent="0.2">
      <c r="A320" s="38"/>
      <c r="B320" s="38"/>
      <c r="C320" s="8"/>
      <c r="D320" s="8"/>
      <c r="E320" s="8"/>
      <c r="F320" s="8"/>
      <c r="G320" s="8"/>
    </row>
    <row r="321" spans="1:7" x14ac:dyDescent="0.2">
      <c r="A321" s="38"/>
      <c r="B321" s="38"/>
      <c r="C321" s="8"/>
      <c r="D321" s="8"/>
      <c r="E321" s="8"/>
      <c r="F321" s="8"/>
      <c r="G321" s="8"/>
    </row>
    <row r="322" spans="1:7" x14ac:dyDescent="0.2">
      <c r="A322" s="38"/>
      <c r="B322" s="38"/>
      <c r="C322" s="8"/>
      <c r="D322" s="8"/>
      <c r="E322" s="8"/>
      <c r="F322" s="8"/>
      <c r="G322" s="8"/>
    </row>
    <row r="323" spans="1:7" x14ac:dyDescent="0.2">
      <c r="A323" s="38"/>
      <c r="B323" s="38"/>
      <c r="C323" s="8"/>
      <c r="D323" s="8"/>
      <c r="E323" s="8"/>
      <c r="F323" s="8"/>
      <c r="G323" s="8"/>
    </row>
    <row r="324" spans="1:7" x14ac:dyDescent="0.2">
      <c r="A324" s="38"/>
      <c r="B324" s="38"/>
      <c r="C324" s="8"/>
      <c r="D324" s="8"/>
      <c r="E324" s="8"/>
      <c r="F324" s="8"/>
      <c r="G324" s="8"/>
    </row>
    <row r="325" spans="1:7" x14ac:dyDescent="0.2">
      <c r="A325" s="38"/>
      <c r="B325" s="38"/>
      <c r="C325" s="8"/>
      <c r="D325" s="8"/>
      <c r="E325" s="8"/>
      <c r="F325" s="8"/>
      <c r="G325" s="8"/>
    </row>
    <row r="326" spans="1:7" x14ac:dyDescent="0.2">
      <c r="A326" s="38"/>
      <c r="B326" s="38"/>
      <c r="C326" s="8"/>
      <c r="D326" s="8"/>
      <c r="E326" s="8"/>
      <c r="F326" s="8"/>
      <c r="G326" s="8"/>
    </row>
    <row r="327" spans="1:7" x14ac:dyDescent="0.2">
      <c r="A327" s="38"/>
      <c r="B327" s="38"/>
      <c r="C327" s="8"/>
      <c r="D327" s="8"/>
      <c r="E327" s="8"/>
      <c r="F327" s="8"/>
      <c r="G327" s="8"/>
    </row>
    <row r="328" spans="1:7" x14ac:dyDescent="0.2">
      <c r="A328" s="38"/>
      <c r="B328" s="38"/>
      <c r="C328" s="8"/>
      <c r="D328" s="8"/>
      <c r="E328" s="8"/>
      <c r="F328" s="8"/>
      <c r="G328" s="8"/>
    </row>
    <row r="329" spans="1:7" x14ac:dyDescent="0.2">
      <c r="A329" s="38"/>
      <c r="B329" s="38"/>
      <c r="C329" s="8"/>
      <c r="D329" s="8"/>
      <c r="E329" s="8"/>
      <c r="F329" s="8"/>
      <c r="G329" s="8"/>
    </row>
    <row r="330" spans="1:7" x14ac:dyDescent="0.2">
      <c r="A330" s="38"/>
      <c r="B330" s="38"/>
      <c r="C330" s="8"/>
      <c r="D330" s="8"/>
      <c r="E330" s="8"/>
      <c r="F330" s="8"/>
      <c r="G330" s="8"/>
    </row>
    <row r="331" spans="1:7" x14ac:dyDescent="0.2">
      <c r="A331" s="38"/>
      <c r="B331" s="38"/>
      <c r="C331" s="8"/>
      <c r="D331" s="8"/>
      <c r="E331" s="8"/>
      <c r="F331" s="8"/>
      <c r="G331" s="8"/>
    </row>
    <row r="332" spans="1:7" x14ac:dyDescent="0.2">
      <c r="A332" s="38"/>
      <c r="B332" s="38"/>
      <c r="C332" s="8"/>
      <c r="D332" s="8"/>
      <c r="E332" s="8"/>
      <c r="F332" s="8"/>
      <c r="G332" s="8"/>
    </row>
    <row r="333" spans="1:7" x14ac:dyDescent="0.2">
      <c r="A333" s="38"/>
      <c r="B333" s="38"/>
      <c r="C333" s="8"/>
      <c r="D333" s="8"/>
      <c r="E333" s="8"/>
      <c r="F333" s="8"/>
      <c r="G333" s="8"/>
    </row>
    <row r="334" spans="1:7" x14ac:dyDescent="0.2">
      <c r="A334" s="38"/>
      <c r="B334" s="38"/>
      <c r="C334" s="8"/>
      <c r="D334" s="8"/>
      <c r="E334" s="8"/>
      <c r="F334" s="8"/>
      <c r="G334" s="8"/>
    </row>
    <row r="335" spans="1:7" x14ac:dyDescent="0.2">
      <c r="A335" s="38"/>
      <c r="B335" s="38"/>
      <c r="C335" s="8"/>
      <c r="D335" s="8"/>
      <c r="E335" s="8"/>
      <c r="F335" s="8"/>
      <c r="G335" s="8"/>
    </row>
    <row r="336" spans="1:7" x14ac:dyDescent="0.2">
      <c r="A336" s="38"/>
      <c r="B336" s="38"/>
      <c r="C336" s="8"/>
      <c r="D336" s="8"/>
      <c r="E336" s="8"/>
      <c r="F336" s="8"/>
      <c r="G336" s="8"/>
    </row>
    <row r="337" spans="1:7" x14ac:dyDescent="0.2">
      <c r="A337" s="38"/>
      <c r="B337" s="38"/>
      <c r="C337" s="8"/>
      <c r="D337" s="8"/>
      <c r="E337" s="8"/>
      <c r="F337" s="8"/>
      <c r="G337" s="8"/>
    </row>
    <row r="338" spans="1:7" x14ac:dyDescent="0.2">
      <c r="A338" s="38"/>
      <c r="B338" s="38"/>
      <c r="C338" s="8"/>
      <c r="D338" s="8"/>
      <c r="E338" s="8"/>
      <c r="F338" s="8"/>
      <c r="G338" s="8"/>
    </row>
    <row r="339" spans="1:7" x14ac:dyDescent="0.2">
      <c r="A339" s="38"/>
      <c r="B339" s="38"/>
      <c r="C339" s="8"/>
      <c r="D339" s="8"/>
      <c r="E339" s="8"/>
      <c r="F339" s="8"/>
      <c r="G339" s="8"/>
    </row>
    <row r="340" spans="1:7" x14ac:dyDescent="0.2">
      <c r="A340" s="38"/>
      <c r="B340" s="38"/>
      <c r="C340" s="8"/>
      <c r="D340" s="8"/>
      <c r="E340" s="8"/>
      <c r="F340" s="8"/>
      <c r="G340" s="8"/>
    </row>
    <row r="341" spans="1:7" x14ac:dyDescent="0.2">
      <c r="A341" s="38"/>
      <c r="B341" s="38"/>
      <c r="C341" s="8"/>
      <c r="D341" s="8"/>
      <c r="E341" s="8"/>
      <c r="F341" s="8"/>
      <c r="G341" s="8"/>
    </row>
    <row r="342" spans="1:7" x14ac:dyDescent="0.2">
      <c r="A342" s="38"/>
      <c r="B342" s="38"/>
      <c r="C342" s="8"/>
      <c r="D342" s="8"/>
      <c r="E342" s="8"/>
      <c r="F342" s="8"/>
      <c r="G342" s="8"/>
    </row>
    <row r="343" spans="1:7" x14ac:dyDescent="0.2">
      <c r="A343" s="38"/>
      <c r="B343" s="38"/>
      <c r="C343" s="8"/>
      <c r="D343" s="8"/>
      <c r="E343" s="8"/>
      <c r="F343" s="8"/>
      <c r="G343" s="8"/>
    </row>
    <row r="344" spans="1:7" x14ac:dyDescent="0.2">
      <c r="A344" s="38"/>
      <c r="B344" s="38"/>
      <c r="C344" s="8"/>
      <c r="D344" s="8"/>
      <c r="E344" s="8"/>
      <c r="F344" s="8"/>
      <c r="G344" s="8"/>
    </row>
    <row r="345" spans="1:7" x14ac:dyDescent="0.2">
      <c r="A345" s="38"/>
      <c r="B345" s="38"/>
      <c r="C345" s="8"/>
      <c r="D345" s="8"/>
      <c r="E345" s="8"/>
      <c r="F345" s="8"/>
      <c r="G345" s="8"/>
    </row>
    <row r="346" spans="1:7" x14ac:dyDescent="0.2">
      <c r="A346" s="38"/>
      <c r="B346" s="38"/>
      <c r="C346" s="8"/>
      <c r="D346" s="8"/>
      <c r="E346" s="8"/>
      <c r="F346" s="8"/>
      <c r="G346" s="8"/>
    </row>
    <row r="347" spans="1:7" x14ac:dyDescent="0.2">
      <c r="A347" s="38"/>
      <c r="B347" s="38"/>
      <c r="C347" s="8"/>
      <c r="D347" s="8"/>
      <c r="E347" s="8"/>
      <c r="F347" s="8"/>
      <c r="G347" s="8"/>
    </row>
    <row r="348" spans="1:7" x14ac:dyDescent="0.2">
      <c r="A348" s="38"/>
      <c r="B348" s="38"/>
      <c r="C348" s="8"/>
      <c r="D348" s="8"/>
      <c r="E348" s="8"/>
      <c r="F348" s="8"/>
      <c r="G348" s="8"/>
    </row>
    <row r="349" spans="1:7" x14ac:dyDescent="0.2">
      <c r="A349" s="38"/>
      <c r="B349" s="38"/>
      <c r="C349" s="8"/>
      <c r="D349" s="8"/>
      <c r="E349" s="8"/>
      <c r="F349" s="8"/>
      <c r="G349" s="8"/>
    </row>
    <row r="350" spans="1:7" x14ac:dyDescent="0.2">
      <c r="A350" s="38"/>
      <c r="B350" s="38"/>
      <c r="C350" s="8"/>
      <c r="D350" s="8"/>
      <c r="E350" s="8"/>
      <c r="F350" s="8"/>
      <c r="G350" s="8"/>
    </row>
    <row r="351" spans="1:7" x14ac:dyDescent="0.2">
      <c r="A351" s="38"/>
      <c r="B351" s="38"/>
      <c r="C351" s="8"/>
      <c r="D351" s="8"/>
      <c r="E351" s="8"/>
      <c r="F351" s="8"/>
      <c r="G351" s="8"/>
    </row>
    <row r="352" spans="1:7" x14ac:dyDescent="0.2">
      <c r="A352" s="38"/>
      <c r="B352" s="38"/>
      <c r="C352" s="8"/>
      <c r="D352" s="8"/>
      <c r="E352" s="8"/>
      <c r="F352" s="8"/>
      <c r="G352" s="8"/>
    </row>
    <row r="353" spans="1:7" x14ac:dyDescent="0.2">
      <c r="A353" s="38"/>
      <c r="B353" s="38"/>
      <c r="C353" s="8"/>
      <c r="D353" s="8"/>
      <c r="E353" s="8"/>
      <c r="F353" s="8"/>
      <c r="G353" s="8"/>
    </row>
    <row r="354" spans="1:7" x14ac:dyDescent="0.2">
      <c r="A354" s="38"/>
      <c r="B354" s="38"/>
      <c r="C354" s="8"/>
      <c r="D354" s="8"/>
      <c r="E354" s="8"/>
      <c r="F354" s="8"/>
      <c r="G354" s="8"/>
    </row>
    <row r="355" spans="1:7" x14ac:dyDescent="0.2">
      <c r="A355" s="38"/>
      <c r="B355" s="38"/>
      <c r="C355" s="8"/>
      <c r="D355" s="8"/>
      <c r="E355" s="8"/>
      <c r="F355" s="8"/>
      <c r="G355" s="8"/>
    </row>
    <row r="356" spans="1:7" x14ac:dyDescent="0.2">
      <c r="A356" s="38"/>
      <c r="B356" s="38"/>
      <c r="C356" s="8"/>
      <c r="D356" s="8"/>
      <c r="E356" s="8"/>
      <c r="F356" s="8"/>
      <c r="G356" s="8"/>
    </row>
    <row r="357" spans="1:7" x14ac:dyDescent="0.2">
      <c r="A357" s="38"/>
      <c r="B357" s="38"/>
      <c r="C357" s="8"/>
      <c r="D357" s="8"/>
      <c r="E357" s="8"/>
      <c r="F357" s="8"/>
      <c r="G357" s="8"/>
    </row>
    <row r="358" spans="1:7" x14ac:dyDescent="0.2">
      <c r="A358" s="38"/>
      <c r="B358" s="38"/>
      <c r="C358" s="8"/>
      <c r="D358" s="8"/>
      <c r="E358" s="8"/>
      <c r="F358" s="8"/>
      <c r="G358" s="8"/>
    </row>
    <row r="359" spans="1:7" x14ac:dyDescent="0.2">
      <c r="A359" s="38"/>
      <c r="B359" s="38"/>
      <c r="C359" s="8"/>
      <c r="D359" s="8"/>
      <c r="E359" s="8"/>
      <c r="F359" s="8"/>
      <c r="G359" s="8"/>
    </row>
    <row r="360" spans="1:7" x14ac:dyDescent="0.2">
      <c r="A360" s="38"/>
      <c r="B360" s="38"/>
      <c r="C360" s="8"/>
      <c r="D360" s="8"/>
      <c r="E360" s="8"/>
      <c r="F360" s="8"/>
      <c r="G360" s="8"/>
    </row>
    <row r="361" spans="1:7" x14ac:dyDescent="0.2">
      <c r="A361" s="38"/>
      <c r="B361" s="38"/>
      <c r="C361" s="8"/>
      <c r="D361" s="8"/>
      <c r="E361" s="8"/>
      <c r="F361" s="8"/>
      <c r="G361" s="8"/>
    </row>
    <row r="362" spans="1:7" x14ac:dyDescent="0.2">
      <c r="A362" s="38"/>
      <c r="B362" s="38"/>
      <c r="C362" s="8"/>
      <c r="D362" s="8"/>
      <c r="E362" s="8"/>
      <c r="F362" s="8"/>
      <c r="G362" s="8"/>
    </row>
    <row r="363" spans="1:7" x14ac:dyDescent="0.2">
      <c r="A363" s="38"/>
      <c r="B363" s="38"/>
      <c r="C363" s="8"/>
      <c r="D363" s="8"/>
      <c r="E363" s="8"/>
      <c r="F363" s="8"/>
      <c r="G363" s="8"/>
    </row>
    <row r="364" spans="1:7" x14ac:dyDescent="0.2">
      <c r="A364" s="38"/>
      <c r="B364" s="38"/>
      <c r="C364" s="8"/>
      <c r="D364" s="8"/>
      <c r="E364" s="8"/>
      <c r="F364" s="8"/>
      <c r="G364" s="8"/>
    </row>
    <row r="365" spans="1:7" x14ac:dyDescent="0.2">
      <c r="A365" s="38"/>
      <c r="B365" s="38"/>
      <c r="C365" s="8"/>
      <c r="D365" s="8"/>
      <c r="E365" s="8"/>
      <c r="F365" s="8"/>
      <c r="G365" s="8"/>
    </row>
    <row r="366" spans="1:7" x14ac:dyDescent="0.2">
      <c r="A366" s="38"/>
      <c r="B366" s="38"/>
      <c r="C366" s="8"/>
      <c r="D366" s="8"/>
      <c r="E366" s="8"/>
      <c r="F366" s="8"/>
      <c r="G366" s="8"/>
    </row>
    <row r="367" spans="1:7" x14ac:dyDescent="0.2">
      <c r="A367" s="38"/>
      <c r="B367" s="38"/>
      <c r="C367" s="8"/>
      <c r="D367" s="8"/>
      <c r="E367" s="8"/>
      <c r="F367" s="8"/>
      <c r="G367" s="8"/>
    </row>
    <row r="368" spans="1:7" x14ac:dyDescent="0.2">
      <c r="A368" s="38"/>
      <c r="B368" s="38"/>
      <c r="C368" s="8"/>
      <c r="D368" s="8"/>
      <c r="E368" s="8"/>
      <c r="F368" s="8"/>
      <c r="G368" s="8"/>
    </row>
    <row r="369" spans="1:7" x14ac:dyDescent="0.2">
      <c r="A369" s="38"/>
      <c r="B369" s="38"/>
      <c r="C369" s="8"/>
      <c r="D369" s="8"/>
      <c r="E369" s="8"/>
      <c r="F369" s="8"/>
      <c r="G369" s="8"/>
    </row>
    <row r="370" spans="1:7" x14ac:dyDescent="0.2">
      <c r="A370" s="38"/>
      <c r="B370" s="38"/>
      <c r="C370" s="8"/>
      <c r="D370" s="8"/>
      <c r="E370" s="8"/>
      <c r="F370" s="8"/>
      <c r="G370" s="8"/>
    </row>
    <row r="371" spans="1:7" x14ac:dyDescent="0.2">
      <c r="A371" s="38"/>
      <c r="B371" s="38"/>
      <c r="C371" s="8"/>
      <c r="D371" s="8"/>
      <c r="E371" s="8"/>
      <c r="F371" s="8"/>
      <c r="G371" s="8"/>
    </row>
    <row r="372" spans="1:7" x14ac:dyDescent="0.2">
      <c r="A372" s="38"/>
      <c r="B372" s="38"/>
      <c r="C372" s="8"/>
      <c r="D372" s="8"/>
      <c r="E372" s="8"/>
      <c r="F372" s="8"/>
      <c r="G372" s="8"/>
    </row>
    <row r="373" spans="1:7" x14ac:dyDescent="0.2">
      <c r="A373" s="38"/>
      <c r="B373" s="38"/>
      <c r="C373" s="8"/>
      <c r="D373" s="8"/>
      <c r="E373" s="8"/>
      <c r="F373" s="8"/>
      <c r="G373" s="8"/>
    </row>
    <row r="374" spans="1:7" x14ac:dyDescent="0.2">
      <c r="A374" s="38"/>
      <c r="B374" s="38"/>
      <c r="C374" s="8"/>
      <c r="D374" s="8"/>
      <c r="E374" s="8"/>
      <c r="F374" s="8"/>
      <c r="G374" s="8"/>
    </row>
    <row r="375" spans="1:7" x14ac:dyDescent="0.2">
      <c r="A375" s="38"/>
      <c r="B375" s="38"/>
      <c r="C375" s="8"/>
      <c r="D375" s="8"/>
      <c r="E375" s="8"/>
      <c r="F375" s="8"/>
      <c r="G375" s="8"/>
    </row>
    <row r="376" spans="1:7" x14ac:dyDescent="0.2">
      <c r="A376" s="38"/>
      <c r="B376" s="38"/>
      <c r="C376" s="8"/>
      <c r="D376" s="8"/>
      <c r="E376" s="8"/>
      <c r="F376" s="8"/>
      <c r="G376" s="8"/>
    </row>
    <row r="377" spans="1:7" x14ac:dyDescent="0.2">
      <c r="A377" s="38"/>
      <c r="B377" s="38"/>
      <c r="C377" s="8"/>
      <c r="D377" s="8"/>
      <c r="E377" s="8"/>
      <c r="F377" s="8"/>
      <c r="G377" s="8"/>
    </row>
    <row r="378" spans="1:7" x14ac:dyDescent="0.2">
      <c r="A378" s="38"/>
      <c r="B378" s="38"/>
      <c r="C378" s="8"/>
      <c r="D378" s="8"/>
      <c r="E378" s="8"/>
      <c r="F378" s="8"/>
      <c r="G378" s="8"/>
    </row>
    <row r="379" spans="1:7" x14ac:dyDescent="0.2">
      <c r="A379" s="38"/>
      <c r="B379" s="38"/>
      <c r="C379" s="8"/>
      <c r="D379" s="8"/>
      <c r="E379" s="8"/>
      <c r="F379" s="8"/>
      <c r="G379" s="8"/>
    </row>
    <row r="380" spans="1:7" x14ac:dyDescent="0.2">
      <c r="A380" s="38"/>
      <c r="B380" s="38"/>
      <c r="C380" s="8"/>
      <c r="D380" s="8"/>
      <c r="E380" s="8"/>
      <c r="F380" s="8"/>
      <c r="G380" s="8"/>
    </row>
    <row r="381" spans="1:7" x14ac:dyDescent="0.2">
      <c r="A381" s="38"/>
      <c r="B381" s="38"/>
      <c r="C381" s="8"/>
      <c r="D381" s="8"/>
      <c r="E381" s="8"/>
      <c r="F381" s="8"/>
      <c r="G381" s="8"/>
    </row>
    <row r="382" spans="1:7" x14ac:dyDescent="0.2">
      <c r="A382" s="38"/>
      <c r="B382" s="38"/>
      <c r="C382" s="8"/>
      <c r="D382" s="8"/>
      <c r="E382" s="8"/>
      <c r="F382" s="8"/>
      <c r="G382" s="8"/>
    </row>
    <row r="383" spans="1:7" x14ac:dyDescent="0.2">
      <c r="A383" s="38"/>
      <c r="B383" s="38"/>
      <c r="C383" s="8"/>
      <c r="D383" s="8"/>
      <c r="E383" s="8"/>
      <c r="F383" s="8"/>
      <c r="G383" s="8"/>
    </row>
    <row r="384" spans="1:7" x14ac:dyDescent="0.2">
      <c r="A384" s="38"/>
      <c r="B384" s="38"/>
      <c r="C384" s="8"/>
      <c r="D384" s="8"/>
      <c r="E384" s="8"/>
      <c r="F384" s="8"/>
      <c r="G384" s="8"/>
    </row>
    <row r="385" spans="1:7" x14ac:dyDescent="0.2">
      <c r="A385" s="38"/>
      <c r="B385" s="38"/>
      <c r="C385" s="8"/>
      <c r="D385" s="8"/>
      <c r="E385" s="8"/>
      <c r="F385" s="8"/>
      <c r="G385" s="8"/>
    </row>
    <row r="386" spans="1:7" x14ac:dyDescent="0.2">
      <c r="A386" s="38"/>
      <c r="B386" s="38"/>
      <c r="C386" s="8"/>
      <c r="D386" s="8"/>
      <c r="E386" s="8"/>
      <c r="F386" s="8"/>
      <c r="G386" s="8"/>
    </row>
    <row r="387" spans="1:7" x14ac:dyDescent="0.2">
      <c r="A387" s="38"/>
      <c r="B387" s="38"/>
      <c r="C387" s="8"/>
      <c r="D387" s="8"/>
      <c r="E387" s="8"/>
      <c r="F387" s="8"/>
      <c r="G387" s="8"/>
    </row>
    <row r="388" spans="1:7" x14ac:dyDescent="0.2">
      <c r="A388" s="38"/>
      <c r="B388" s="38"/>
      <c r="C388" s="8"/>
      <c r="D388" s="8"/>
      <c r="E388" s="8"/>
      <c r="F388" s="8"/>
      <c r="G388" s="8"/>
    </row>
    <row r="389" spans="1:7" x14ac:dyDescent="0.2">
      <c r="A389" s="38"/>
      <c r="B389" s="38"/>
      <c r="C389" s="8"/>
      <c r="D389" s="8"/>
      <c r="E389" s="8"/>
      <c r="F389" s="8"/>
      <c r="G389" s="8"/>
    </row>
    <row r="390" spans="1:7" x14ac:dyDescent="0.2">
      <c r="A390" s="38"/>
      <c r="B390" s="38"/>
      <c r="C390" s="8"/>
      <c r="D390" s="8"/>
      <c r="E390" s="8"/>
      <c r="F390" s="8"/>
      <c r="G390" s="8"/>
    </row>
    <row r="391" spans="1:7" x14ac:dyDescent="0.2">
      <c r="A391" s="38"/>
      <c r="B391" s="38"/>
      <c r="C391" s="8"/>
      <c r="D391" s="8"/>
      <c r="E391" s="8"/>
      <c r="F391" s="8"/>
      <c r="G391" s="8"/>
    </row>
    <row r="392" spans="1:7" x14ac:dyDescent="0.2">
      <c r="A392" s="38"/>
      <c r="B392" s="38"/>
      <c r="C392" s="8"/>
      <c r="D392" s="8"/>
      <c r="E392" s="8"/>
      <c r="F392" s="8"/>
      <c r="G392" s="8"/>
    </row>
    <row r="393" spans="1:7" x14ac:dyDescent="0.2">
      <c r="A393" s="38"/>
      <c r="B393" s="38"/>
      <c r="C393" s="8"/>
      <c r="D393" s="8"/>
      <c r="E393" s="8"/>
      <c r="F393" s="8"/>
      <c r="G393" s="8"/>
    </row>
    <row r="394" spans="1:7" x14ac:dyDescent="0.2">
      <c r="A394" s="38"/>
      <c r="B394" s="38"/>
      <c r="C394" s="8"/>
      <c r="D394" s="8"/>
      <c r="E394" s="8"/>
      <c r="F394" s="8"/>
      <c r="G394" s="8"/>
    </row>
    <row r="395" spans="1:7" x14ac:dyDescent="0.2">
      <c r="A395" s="38"/>
      <c r="B395" s="38"/>
      <c r="C395" s="8"/>
      <c r="D395" s="8"/>
      <c r="E395" s="8"/>
      <c r="F395" s="8"/>
      <c r="G395" s="8"/>
    </row>
    <row r="396" spans="1:7" x14ac:dyDescent="0.2">
      <c r="A396" s="38"/>
      <c r="B396" s="38"/>
      <c r="C396" s="8"/>
      <c r="D396" s="8"/>
      <c r="E396" s="8"/>
      <c r="F396" s="8"/>
      <c r="G396" s="8"/>
    </row>
    <row r="397" spans="1:7" x14ac:dyDescent="0.2">
      <c r="A397" s="38"/>
      <c r="B397" s="38"/>
      <c r="C397" s="8"/>
      <c r="D397" s="8"/>
      <c r="E397" s="8"/>
      <c r="F397" s="8"/>
      <c r="G397" s="8"/>
    </row>
    <row r="398" spans="1:7" x14ac:dyDescent="0.2">
      <c r="A398" s="38"/>
      <c r="B398" s="38"/>
      <c r="C398" s="8"/>
      <c r="D398" s="8"/>
      <c r="E398" s="8"/>
      <c r="F398" s="8"/>
      <c r="G398" s="8"/>
    </row>
    <row r="399" spans="1:7" x14ac:dyDescent="0.2">
      <c r="A399" s="38"/>
      <c r="B399" s="38"/>
      <c r="C399" s="8"/>
      <c r="D399" s="8"/>
      <c r="E399" s="8"/>
      <c r="F399" s="8"/>
      <c r="G399" s="8"/>
    </row>
    <row r="400" spans="1:7" x14ac:dyDescent="0.2">
      <c r="A400" s="38"/>
      <c r="B400" s="38"/>
      <c r="C400" s="8"/>
      <c r="D400" s="8"/>
      <c r="E400" s="8"/>
      <c r="F400" s="8"/>
      <c r="G400" s="8"/>
    </row>
    <row r="401" spans="1:7" x14ac:dyDescent="0.2">
      <c r="A401" s="38"/>
      <c r="B401" s="38"/>
      <c r="C401" s="8"/>
      <c r="D401" s="8"/>
      <c r="E401" s="8"/>
      <c r="F401" s="8"/>
      <c r="G401" s="8"/>
    </row>
    <row r="402" spans="1:7" x14ac:dyDescent="0.2">
      <c r="A402" s="38"/>
      <c r="B402" s="38"/>
      <c r="C402" s="8"/>
      <c r="D402" s="8"/>
      <c r="E402" s="8"/>
      <c r="F402" s="8"/>
      <c r="G402" s="8"/>
    </row>
    <row r="403" spans="1:7" x14ac:dyDescent="0.2">
      <c r="A403" s="38"/>
      <c r="B403" s="38"/>
      <c r="C403" s="8"/>
      <c r="D403" s="8"/>
      <c r="E403" s="8"/>
      <c r="F403" s="8"/>
      <c r="G403" s="8"/>
    </row>
    <row r="404" spans="1:7" x14ac:dyDescent="0.2">
      <c r="A404" s="38"/>
      <c r="B404" s="38"/>
      <c r="C404" s="8"/>
      <c r="D404" s="8"/>
      <c r="E404" s="8"/>
      <c r="F404" s="8"/>
      <c r="G404" s="8"/>
    </row>
    <row r="405" spans="1:7" x14ac:dyDescent="0.2">
      <c r="A405" s="38"/>
      <c r="B405" s="38"/>
      <c r="C405" s="8"/>
      <c r="D405" s="8"/>
      <c r="E405" s="8"/>
      <c r="F405" s="8"/>
      <c r="G405" s="8"/>
    </row>
    <row r="406" spans="1:7" x14ac:dyDescent="0.2">
      <c r="A406" s="38"/>
      <c r="B406" s="38"/>
      <c r="C406" s="8"/>
      <c r="D406" s="8"/>
      <c r="E406" s="8"/>
      <c r="F406" s="8"/>
      <c r="G406" s="8"/>
    </row>
    <row r="407" spans="1:7" x14ac:dyDescent="0.2">
      <c r="A407" s="38"/>
      <c r="B407" s="38"/>
      <c r="C407" s="8"/>
      <c r="D407" s="8"/>
      <c r="E407" s="8"/>
      <c r="F407" s="8"/>
      <c r="G407" s="8"/>
    </row>
    <row r="408" spans="1:7" x14ac:dyDescent="0.2">
      <c r="A408" s="38"/>
      <c r="B408" s="38"/>
      <c r="C408" s="8"/>
      <c r="D408" s="8"/>
      <c r="E408" s="8"/>
      <c r="F408" s="8"/>
      <c r="G408" s="8"/>
    </row>
    <row r="409" spans="1:7" x14ac:dyDescent="0.2">
      <c r="A409" s="38"/>
      <c r="B409" s="38"/>
      <c r="C409" s="8"/>
      <c r="D409" s="8"/>
      <c r="E409" s="8"/>
      <c r="F409" s="8"/>
      <c r="G409" s="8"/>
    </row>
    <row r="410" spans="1:7" x14ac:dyDescent="0.2">
      <c r="A410" s="38"/>
      <c r="B410" s="38"/>
      <c r="C410" s="8"/>
      <c r="D410" s="8"/>
      <c r="E410" s="8"/>
      <c r="F410" s="8"/>
      <c r="G410" s="8"/>
    </row>
    <row r="411" spans="1:7" x14ac:dyDescent="0.2">
      <c r="A411" s="38"/>
      <c r="B411" s="38"/>
      <c r="C411" s="8"/>
      <c r="D411" s="8"/>
      <c r="E411" s="8"/>
      <c r="F411" s="8"/>
      <c r="G411" s="8"/>
    </row>
    <row r="412" spans="1:7" x14ac:dyDescent="0.2">
      <c r="A412" s="38"/>
      <c r="B412" s="38"/>
      <c r="C412" s="8"/>
      <c r="D412" s="8"/>
      <c r="E412" s="8"/>
      <c r="F412" s="8"/>
      <c r="G412" s="8"/>
    </row>
    <row r="413" spans="1:7" x14ac:dyDescent="0.2">
      <c r="A413" s="38"/>
      <c r="B413" s="38"/>
      <c r="C413" s="8"/>
      <c r="D413" s="8"/>
      <c r="E413" s="8"/>
      <c r="F413" s="8"/>
      <c r="G413" s="8"/>
    </row>
    <row r="414" spans="1:7" x14ac:dyDescent="0.2">
      <c r="A414" s="38"/>
      <c r="B414" s="38"/>
      <c r="C414" s="8"/>
      <c r="D414" s="8"/>
      <c r="E414" s="8"/>
      <c r="F414" s="8"/>
      <c r="G414" s="8"/>
    </row>
    <row r="415" spans="1:7" x14ac:dyDescent="0.2">
      <c r="A415" s="38"/>
      <c r="B415" s="38"/>
      <c r="C415" s="8"/>
      <c r="D415" s="8"/>
      <c r="E415" s="8"/>
      <c r="F415" s="8"/>
      <c r="G415" s="8"/>
    </row>
    <row r="416" spans="1:7" x14ac:dyDescent="0.2">
      <c r="A416" s="38"/>
      <c r="B416" s="38"/>
      <c r="C416" s="8"/>
      <c r="D416" s="8"/>
      <c r="E416" s="8"/>
      <c r="F416" s="8"/>
      <c r="G416" s="8"/>
    </row>
    <row r="417" spans="1:7" x14ac:dyDescent="0.2">
      <c r="A417" s="38"/>
      <c r="B417" s="38"/>
      <c r="C417" s="8"/>
      <c r="D417" s="8"/>
      <c r="E417" s="8"/>
      <c r="F417" s="8"/>
      <c r="G417" s="8"/>
    </row>
    <row r="418" spans="1:7" x14ac:dyDescent="0.2">
      <c r="A418" s="38"/>
      <c r="B418" s="38"/>
      <c r="C418" s="8"/>
      <c r="D418" s="8"/>
      <c r="E418" s="8"/>
      <c r="F418" s="8"/>
      <c r="G418" s="8"/>
    </row>
    <row r="419" spans="1:7" x14ac:dyDescent="0.2">
      <c r="A419" s="38"/>
      <c r="B419" s="38"/>
      <c r="C419" s="8"/>
      <c r="D419" s="8"/>
      <c r="E419" s="8"/>
      <c r="F419" s="8"/>
      <c r="G419" s="8"/>
    </row>
    <row r="420" spans="1:7" x14ac:dyDescent="0.2">
      <c r="A420" s="38"/>
      <c r="B420" s="38"/>
      <c r="C420" s="8"/>
      <c r="D420" s="8"/>
      <c r="E420" s="8"/>
      <c r="F420" s="8"/>
      <c r="G420" s="8"/>
    </row>
    <row r="421" spans="1:7" x14ac:dyDescent="0.2">
      <c r="A421" s="38"/>
      <c r="B421" s="38"/>
      <c r="C421" s="8"/>
      <c r="D421" s="8"/>
      <c r="E421" s="8"/>
      <c r="F421" s="8"/>
      <c r="G421" s="8"/>
    </row>
    <row r="422" spans="1:7" x14ac:dyDescent="0.2">
      <c r="A422" s="38"/>
      <c r="B422" s="38"/>
      <c r="C422" s="8"/>
      <c r="D422" s="8"/>
      <c r="E422" s="8"/>
      <c r="F422" s="8"/>
      <c r="G422" s="8"/>
    </row>
    <row r="423" spans="1:7" x14ac:dyDescent="0.2">
      <c r="A423" s="38"/>
      <c r="B423" s="38"/>
      <c r="C423" s="8"/>
      <c r="D423" s="8"/>
      <c r="E423" s="8"/>
      <c r="F423" s="8"/>
      <c r="G423" s="8"/>
    </row>
    <row r="424" spans="1:7" x14ac:dyDescent="0.2">
      <c r="A424" s="38"/>
      <c r="B424" s="38"/>
      <c r="C424" s="8"/>
      <c r="D424" s="8"/>
      <c r="E424" s="8"/>
      <c r="F424" s="8"/>
      <c r="G424" s="8"/>
    </row>
    <row r="425" spans="1:7" x14ac:dyDescent="0.2">
      <c r="A425" s="38"/>
      <c r="B425" s="38"/>
      <c r="C425" s="8"/>
      <c r="D425" s="8"/>
      <c r="E425" s="8"/>
      <c r="F425" s="8"/>
      <c r="G425" s="8"/>
    </row>
    <row r="426" spans="1:7" x14ac:dyDescent="0.2">
      <c r="A426" s="38"/>
      <c r="B426" s="38"/>
      <c r="C426" s="8"/>
      <c r="D426" s="8"/>
      <c r="E426" s="8"/>
      <c r="F426" s="8"/>
      <c r="G426" s="8"/>
    </row>
    <row r="427" spans="1:7" x14ac:dyDescent="0.2">
      <c r="A427" s="38"/>
      <c r="B427" s="38"/>
      <c r="C427" s="8"/>
      <c r="D427" s="8"/>
      <c r="E427" s="8"/>
      <c r="F427" s="8"/>
      <c r="G427" s="8"/>
    </row>
    <row r="428" spans="1:7" x14ac:dyDescent="0.2">
      <c r="A428" s="38"/>
      <c r="B428" s="38"/>
      <c r="C428" s="8"/>
      <c r="D428" s="8"/>
      <c r="E428" s="8"/>
      <c r="F428" s="8"/>
      <c r="G428" s="8"/>
    </row>
    <row r="429" spans="1:7" x14ac:dyDescent="0.2">
      <c r="A429" s="38"/>
      <c r="B429" s="38"/>
      <c r="C429" s="8"/>
      <c r="D429" s="8"/>
      <c r="E429" s="8"/>
      <c r="F429" s="8"/>
      <c r="G429" s="8"/>
    </row>
    <row r="430" spans="1:7" x14ac:dyDescent="0.2">
      <c r="A430" s="38"/>
      <c r="B430" s="38"/>
      <c r="C430" s="8"/>
      <c r="D430" s="8"/>
      <c r="E430" s="8"/>
      <c r="F430" s="8"/>
      <c r="G430" s="8"/>
    </row>
    <row r="431" spans="1:7" x14ac:dyDescent="0.2">
      <c r="A431" s="38"/>
      <c r="B431" s="38"/>
      <c r="C431" s="8"/>
      <c r="D431" s="8"/>
      <c r="E431" s="8"/>
      <c r="F431" s="8"/>
      <c r="G431" s="8"/>
    </row>
    <row r="432" spans="1:7" x14ac:dyDescent="0.2">
      <c r="A432" s="38"/>
      <c r="B432" s="38"/>
      <c r="C432" s="8"/>
      <c r="D432" s="8"/>
      <c r="E432" s="8"/>
      <c r="F432" s="8"/>
      <c r="G432" s="8"/>
    </row>
    <row r="433" spans="1:7" x14ac:dyDescent="0.2">
      <c r="A433" s="38"/>
      <c r="B433" s="38"/>
      <c r="C433" s="8"/>
      <c r="D433" s="8"/>
      <c r="E433" s="8"/>
      <c r="F433" s="8"/>
      <c r="G433" s="8"/>
    </row>
    <row r="434" spans="1:7" x14ac:dyDescent="0.2">
      <c r="A434" s="38"/>
      <c r="B434" s="38"/>
      <c r="C434" s="8"/>
      <c r="D434" s="8"/>
      <c r="E434" s="8"/>
      <c r="F434" s="8"/>
      <c r="G434" s="8"/>
    </row>
    <row r="435" spans="1:7" x14ac:dyDescent="0.2">
      <c r="A435" s="38"/>
      <c r="B435" s="38"/>
      <c r="C435" s="8"/>
      <c r="D435" s="8"/>
      <c r="E435" s="8"/>
      <c r="F435" s="8"/>
      <c r="G435" s="8"/>
    </row>
    <row r="436" spans="1:7" x14ac:dyDescent="0.2">
      <c r="A436" s="38"/>
      <c r="B436" s="38"/>
      <c r="C436" s="8"/>
      <c r="D436" s="8"/>
      <c r="E436" s="8"/>
      <c r="F436" s="8"/>
      <c r="G436" s="8"/>
    </row>
    <row r="437" spans="1:7" x14ac:dyDescent="0.2">
      <c r="A437" s="38"/>
      <c r="B437" s="38"/>
      <c r="C437" s="8"/>
      <c r="D437" s="8"/>
      <c r="E437" s="8"/>
      <c r="F437" s="8"/>
      <c r="G437" s="8"/>
    </row>
    <row r="438" spans="1:7" x14ac:dyDescent="0.2">
      <c r="A438" s="38"/>
      <c r="B438" s="38"/>
      <c r="C438" s="8"/>
      <c r="D438" s="8"/>
      <c r="E438" s="8"/>
      <c r="F438" s="8"/>
      <c r="G438" s="8"/>
    </row>
    <row r="439" spans="1:7" x14ac:dyDescent="0.2">
      <c r="A439" s="38"/>
      <c r="B439" s="38"/>
      <c r="C439" s="8"/>
      <c r="D439" s="8"/>
      <c r="E439" s="8"/>
      <c r="F439" s="8"/>
      <c r="G439" s="8"/>
    </row>
    <row r="440" spans="1:7" x14ac:dyDescent="0.2">
      <c r="A440" s="38"/>
      <c r="B440" s="38"/>
      <c r="C440" s="8"/>
      <c r="D440" s="8"/>
      <c r="E440" s="8"/>
      <c r="F440" s="8"/>
      <c r="G440" s="8"/>
    </row>
    <row r="441" spans="1:7" x14ac:dyDescent="0.2">
      <c r="A441" s="38"/>
      <c r="B441" s="38"/>
      <c r="C441" s="8"/>
      <c r="D441" s="8"/>
      <c r="E441" s="8"/>
      <c r="F441" s="8"/>
      <c r="G441" s="8"/>
    </row>
    <row r="442" spans="1:7" x14ac:dyDescent="0.2">
      <c r="A442" s="38"/>
      <c r="B442" s="38"/>
      <c r="C442" s="8"/>
      <c r="D442" s="8"/>
      <c r="E442" s="8"/>
      <c r="F442" s="8"/>
      <c r="G442" s="8"/>
    </row>
    <row r="443" spans="1:7" x14ac:dyDescent="0.2">
      <c r="A443" s="38"/>
      <c r="B443" s="38"/>
      <c r="C443" s="8"/>
      <c r="D443" s="8"/>
      <c r="E443" s="8"/>
      <c r="F443" s="8"/>
      <c r="G443" s="8"/>
    </row>
    <row r="444" spans="1:7" x14ac:dyDescent="0.2">
      <c r="A444" s="38"/>
      <c r="B444" s="38"/>
      <c r="C444" s="8"/>
      <c r="D444" s="8"/>
      <c r="E444" s="8"/>
      <c r="F444" s="8"/>
      <c r="G444" s="8"/>
    </row>
    <row r="445" spans="1:7" x14ac:dyDescent="0.2">
      <c r="A445" s="38"/>
      <c r="B445" s="38"/>
      <c r="C445" s="8"/>
      <c r="D445" s="8"/>
      <c r="E445" s="8"/>
      <c r="F445" s="8"/>
      <c r="G445" s="8"/>
    </row>
    <row r="446" spans="1:7" x14ac:dyDescent="0.2">
      <c r="A446" s="38"/>
      <c r="B446" s="38"/>
      <c r="C446" s="8"/>
      <c r="D446" s="8"/>
      <c r="E446" s="8"/>
      <c r="F446" s="8"/>
      <c r="G446" s="8"/>
    </row>
    <row r="447" spans="1:7" x14ac:dyDescent="0.2">
      <c r="A447" s="38"/>
      <c r="B447" s="38"/>
      <c r="C447" s="8"/>
      <c r="D447" s="8"/>
      <c r="E447" s="8"/>
      <c r="F447" s="8"/>
      <c r="G447" s="8"/>
    </row>
    <row r="448" spans="1:7" x14ac:dyDescent="0.2">
      <c r="A448" s="38"/>
      <c r="B448" s="38"/>
      <c r="C448" s="8"/>
      <c r="D448" s="8"/>
      <c r="E448" s="8"/>
      <c r="F448" s="8"/>
      <c r="G448" s="8"/>
    </row>
    <row r="449" spans="1:7" x14ac:dyDescent="0.2">
      <c r="A449" s="38"/>
      <c r="B449" s="38"/>
      <c r="C449" s="8"/>
      <c r="D449" s="8"/>
      <c r="E449" s="8"/>
      <c r="F449" s="8"/>
      <c r="G449" s="8"/>
    </row>
    <row r="450" spans="1:7" x14ac:dyDescent="0.2">
      <c r="A450" s="38"/>
      <c r="B450" s="38"/>
      <c r="C450" s="8"/>
      <c r="D450" s="8"/>
      <c r="E450" s="8"/>
      <c r="F450" s="8"/>
      <c r="G450" s="8"/>
    </row>
    <row r="451" spans="1:7" x14ac:dyDescent="0.2">
      <c r="A451" s="38"/>
      <c r="B451" s="38"/>
      <c r="C451" s="8"/>
      <c r="D451" s="8"/>
      <c r="E451" s="8"/>
      <c r="F451" s="8"/>
      <c r="G451" s="8"/>
    </row>
    <row r="452" spans="1:7" x14ac:dyDescent="0.2">
      <c r="A452" s="38"/>
      <c r="B452" s="38"/>
      <c r="C452" s="8"/>
      <c r="D452" s="8"/>
      <c r="E452" s="8"/>
      <c r="F452" s="8"/>
      <c r="G452" s="8"/>
    </row>
    <row r="453" spans="1:7" x14ac:dyDescent="0.2">
      <c r="A453" s="38"/>
      <c r="B453" s="38"/>
      <c r="C453" s="8"/>
      <c r="D453" s="8"/>
      <c r="E453" s="8"/>
      <c r="F453" s="8"/>
      <c r="G453" s="8"/>
    </row>
    <row r="454" spans="1:7" x14ac:dyDescent="0.2">
      <c r="A454" s="38"/>
      <c r="B454" s="38"/>
      <c r="C454" s="8"/>
      <c r="D454" s="8"/>
      <c r="E454" s="8"/>
      <c r="F454" s="8"/>
      <c r="G454" s="8"/>
    </row>
    <row r="455" spans="1:7" x14ac:dyDescent="0.2">
      <c r="A455" s="38"/>
      <c r="B455" s="38"/>
      <c r="C455" s="8"/>
      <c r="D455" s="8"/>
      <c r="E455" s="8"/>
      <c r="F455" s="8"/>
      <c r="G455" s="8"/>
    </row>
    <row r="456" spans="1:7" x14ac:dyDescent="0.2">
      <c r="A456" s="38"/>
      <c r="B456" s="38"/>
      <c r="C456" s="8"/>
      <c r="D456" s="8"/>
      <c r="E456" s="8"/>
      <c r="F456" s="8"/>
      <c r="G456" s="8"/>
    </row>
    <row r="457" spans="1:7" x14ac:dyDescent="0.2">
      <c r="A457" s="38"/>
      <c r="B457" s="38"/>
      <c r="C457" s="8"/>
      <c r="D457" s="8"/>
      <c r="E457" s="8"/>
      <c r="F457" s="8"/>
      <c r="G457" s="8"/>
    </row>
    <row r="458" spans="1:7" x14ac:dyDescent="0.2">
      <c r="A458" s="38"/>
      <c r="B458" s="38"/>
      <c r="C458" s="8"/>
      <c r="D458" s="8"/>
      <c r="E458" s="8"/>
      <c r="F458" s="8"/>
      <c r="G458" s="8"/>
    </row>
    <row r="459" spans="1:7" x14ac:dyDescent="0.2">
      <c r="A459" s="38"/>
      <c r="B459" s="38"/>
      <c r="C459" s="8"/>
      <c r="D459" s="8"/>
      <c r="E459" s="8"/>
      <c r="F459" s="8"/>
      <c r="G459" s="8"/>
    </row>
    <row r="460" spans="1:7" x14ac:dyDescent="0.2">
      <c r="A460" s="38"/>
      <c r="B460" s="38"/>
      <c r="C460" s="8"/>
      <c r="D460" s="8"/>
      <c r="E460" s="8"/>
      <c r="F460" s="8"/>
      <c r="G460" s="8"/>
    </row>
    <row r="461" spans="1:7" x14ac:dyDescent="0.2">
      <c r="A461" s="38"/>
      <c r="B461" s="38"/>
      <c r="C461" s="8"/>
      <c r="D461" s="8"/>
      <c r="E461" s="8"/>
      <c r="F461" s="8"/>
      <c r="G461" s="8"/>
    </row>
    <row r="462" spans="1:7" x14ac:dyDescent="0.2">
      <c r="A462" s="38"/>
      <c r="B462" s="38"/>
      <c r="C462" s="8"/>
      <c r="D462" s="8"/>
      <c r="E462" s="8"/>
      <c r="F462" s="8"/>
      <c r="G462" s="8"/>
    </row>
    <row r="463" spans="1:7" x14ac:dyDescent="0.2">
      <c r="A463" s="38"/>
      <c r="B463" s="38"/>
      <c r="C463" s="8"/>
      <c r="D463" s="8"/>
      <c r="E463" s="8"/>
      <c r="F463" s="8"/>
      <c r="G463" s="8"/>
    </row>
    <row r="464" spans="1:7" x14ac:dyDescent="0.2">
      <c r="A464" s="38"/>
      <c r="B464" s="38"/>
      <c r="C464" s="8"/>
      <c r="D464" s="8"/>
      <c r="E464" s="8"/>
      <c r="F464" s="8"/>
      <c r="G464" s="8"/>
    </row>
    <row r="465" spans="1:7" x14ac:dyDescent="0.2">
      <c r="A465" s="38"/>
      <c r="B465" s="38"/>
      <c r="C465" s="8"/>
      <c r="D465" s="8"/>
      <c r="E465" s="8"/>
      <c r="F465" s="8"/>
      <c r="G465" s="8"/>
    </row>
    <row r="466" spans="1:7" x14ac:dyDescent="0.2">
      <c r="A466" s="38"/>
      <c r="B466" s="38"/>
      <c r="C466" s="8"/>
      <c r="D466" s="8"/>
      <c r="E466" s="8"/>
      <c r="F466" s="8"/>
      <c r="G466" s="8"/>
    </row>
    <row r="467" spans="1:7" x14ac:dyDescent="0.2">
      <c r="A467" s="38"/>
      <c r="B467" s="38"/>
      <c r="C467" s="8"/>
      <c r="D467" s="8"/>
      <c r="E467" s="8"/>
      <c r="F467" s="8"/>
      <c r="G467" s="8"/>
    </row>
    <row r="468" spans="1:7" x14ac:dyDescent="0.2">
      <c r="A468" s="38"/>
      <c r="B468" s="38"/>
      <c r="C468" s="8"/>
      <c r="D468" s="8"/>
      <c r="E468" s="8"/>
      <c r="F468" s="8"/>
      <c r="G468" s="8"/>
    </row>
    <row r="469" spans="1:7" x14ac:dyDescent="0.2">
      <c r="A469" s="38"/>
      <c r="B469" s="38"/>
      <c r="C469" s="8"/>
      <c r="D469" s="8"/>
      <c r="E469" s="8"/>
      <c r="F469" s="8"/>
      <c r="G469" s="8"/>
    </row>
    <row r="470" spans="1:7" x14ac:dyDescent="0.2">
      <c r="A470" s="38"/>
      <c r="B470" s="38"/>
      <c r="C470" s="8"/>
      <c r="D470" s="8"/>
      <c r="E470" s="8"/>
      <c r="F470" s="8"/>
      <c r="G470" s="8"/>
    </row>
    <row r="471" spans="1:7" x14ac:dyDescent="0.2">
      <c r="A471" s="38"/>
      <c r="B471" s="38"/>
      <c r="C471" s="8"/>
      <c r="D471" s="8"/>
      <c r="E471" s="8"/>
      <c r="F471" s="8"/>
      <c r="G471" s="8"/>
    </row>
    <row r="472" spans="1:7" x14ac:dyDescent="0.2">
      <c r="A472" s="38"/>
      <c r="B472" s="38"/>
      <c r="C472" s="8"/>
      <c r="D472" s="8"/>
      <c r="E472" s="8"/>
      <c r="F472" s="8"/>
      <c r="G472" s="8"/>
    </row>
    <row r="473" spans="1:7" x14ac:dyDescent="0.2">
      <c r="A473" s="38"/>
      <c r="B473" s="38"/>
      <c r="C473" s="8"/>
      <c r="D473" s="8"/>
      <c r="E473" s="8"/>
      <c r="F473" s="8"/>
      <c r="G473" s="8"/>
    </row>
    <row r="474" spans="1:7" x14ac:dyDescent="0.2">
      <c r="A474" s="38"/>
      <c r="B474" s="38"/>
      <c r="C474" s="8"/>
      <c r="D474" s="8"/>
      <c r="E474" s="8"/>
      <c r="F474" s="8"/>
      <c r="G474" s="8"/>
    </row>
    <row r="475" spans="1:7" x14ac:dyDescent="0.2">
      <c r="A475" s="38"/>
      <c r="B475" s="38"/>
      <c r="C475" s="8"/>
      <c r="D475" s="8"/>
      <c r="E475" s="8"/>
      <c r="F475" s="8"/>
      <c r="G475" s="8"/>
    </row>
    <row r="476" spans="1:7" x14ac:dyDescent="0.2">
      <c r="A476" s="38"/>
      <c r="B476" s="38"/>
      <c r="C476" s="8"/>
      <c r="D476" s="8"/>
      <c r="E476" s="8"/>
      <c r="F476" s="8"/>
      <c r="G476" s="8"/>
    </row>
    <row r="477" spans="1:7" x14ac:dyDescent="0.2">
      <c r="A477" s="38"/>
      <c r="B477" s="38"/>
      <c r="C477" s="8"/>
      <c r="D477" s="8"/>
      <c r="E477" s="8"/>
      <c r="F477" s="8"/>
      <c r="G477" s="8"/>
    </row>
    <row r="478" spans="1:7" x14ac:dyDescent="0.2">
      <c r="A478" s="38"/>
      <c r="B478" s="38"/>
      <c r="C478" s="8"/>
      <c r="D478" s="8"/>
      <c r="E478" s="8"/>
      <c r="F478" s="8"/>
      <c r="G478" s="8"/>
    </row>
    <row r="479" spans="1:7" x14ac:dyDescent="0.2">
      <c r="A479" s="38"/>
      <c r="B479" s="38"/>
      <c r="C479" s="8"/>
      <c r="D479" s="8"/>
      <c r="E479" s="8"/>
      <c r="F479" s="8"/>
      <c r="G479" s="8"/>
    </row>
    <row r="480" spans="1:7" x14ac:dyDescent="0.2">
      <c r="A480" s="38"/>
      <c r="B480" s="38"/>
      <c r="C480" s="8"/>
      <c r="D480" s="8"/>
      <c r="E480" s="8"/>
      <c r="F480" s="8"/>
      <c r="G480" s="8"/>
    </row>
    <row r="481" spans="1:7" x14ac:dyDescent="0.2">
      <c r="A481" s="38"/>
      <c r="B481" s="38"/>
      <c r="C481" s="8"/>
      <c r="D481" s="8"/>
      <c r="E481" s="8"/>
      <c r="F481" s="8"/>
      <c r="G481" s="8"/>
    </row>
    <row r="482" spans="1:7" x14ac:dyDescent="0.2">
      <c r="A482" s="38"/>
      <c r="B482" s="38"/>
      <c r="C482" s="8"/>
      <c r="D482" s="8"/>
      <c r="E482" s="8"/>
      <c r="F482" s="8"/>
      <c r="G482" s="8"/>
    </row>
    <row r="483" spans="1:7" x14ac:dyDescent="0.2">
      <c r="A483" s="38"/>
      <c r="B483" s="38"/>
      <c r="C483" s="8"/>
      <c r="D483" s="8"/>
      <c r="E483" s="8"/>
      <c r="F483" s="8"/>
      <c r="G483" s="8"/>
    </row>
    <row r="484" spans="1:7" x14ac:dyDescent="0.2">
      <c r="A484" s="38"/>
      <c r="B484" s="38"/>
      <c r="C484" s="8"/>
      <c r="D484" s="8"/>
      <c r="E484" s="8"/>
      <c r="F484" s="8"/>
      <c r="G484" s="8"/>
    </row>
    <row r="485" spans="1:7" x14ac:dyDescent="0.2">
      <c r="A485" s="38"/>
      <c r="B485" s="38"/>
      <c r="C485" s="8"/>
      <c r="D485" s="8"/>
      <c r="E485" s="8"/>
      <c r="F485" s="8"/>
      <c r="G485" s="8"/>
    </row>
    <row r="486" spans="1:7" x14ac:dyDescent="0.2">
      <c r="A486" s="38"/>
      <c r="B486" s="38"/>
      <c r="C486" s="8"/>
      <c r="D486" s="8"/>
      <c r="E486" s="8"/>
      <c r="F486" s="8"/>
      <c r="G486" s="8"/>
    </row>
    <row r="487" spans="1:7" x14ac:dyDescent="0.2">
      <c r="A487" s="38"/>
      <c r="B487" s="38"/>
      <c r="C487" s="8"/>
      <c r="D487" s="8"/>
      <c r="E487" s="8"/>
      <c r="F487" s="8"/>
      <c r="G487" s="8"/>
    </row>
    <row r="488" spans="1:7" x14ac:dyDescent="0.2">
      <c r="A488" s="38"/>
      <c r="B488" s="38"/>
      <c r="C488" s="8"/>
      <c r="D488" s="8"/>
      <c r="E488" s="8"/>
      <c r="F488" s="8"/>
      <c r="G488" s="8"/>
    </row>
    <row r="489" spans="1:7" x14ac:dyDescent="0.2">
      <c r="A489" s="38"/>
      <c r="B489" s="38"/>
      <c r="C489" s="8"/>
      <c r="D489" s="8"/>
      <c r="E489" s="8"/>
      <c r="F489" s="8"/>
      <c r="G489" s="8"/>
    </row>
    <row r="490" spans="1:7" x14ac:dyDescent="0.2">
      <c r="A490" s="38"/>
      <c r="B490" s="38"/>
      <c r="C490" s="8"/>
      <c r="D490" s="8"/>
      <c r="E490" s="8"/>
      <c r="F490" s="8"/>
      <c r="G490" s="8"/>
    </row>
    <row r="491" spans="1:7" x14ac:dyDescent="0.2">
      <c r="A491" s="38"/>
      <c r="B491" s="38"/>
      <c r="C491" s="8"/>
      <c r="D491" s="8"/>
      <c r="E491" s="8"/>
      <c r="F491" s="8"/>
      <c r="G491" s="8"/>
    </row>
    <row r="492" spans="1:7" x14ac:dyDescent="0.2">
      <c r="A492" s="38"/>
      <c r="B492" s="38"/>
      <c r="C492" s="8"/>
      <c r="D492" s="8"/>
      <c r="E492" s="8"/>
      <c r="F492" s="8"/>
      <c r="G492" s="8"/>
    </row>
    <row r="493" spans="1:7" x14ac:dyDescent="0.2">
      <c r="A493" s="38"/>
      <c r="B493" s="38"/>
      <c r="C493" s="8"/>
      <c r="D493" s="8"/>
      <c r="E493" s="8"/>
      <c r="F493" s="8"/>
      <c r="G493" s="8"/>
    </row>
    <row r="494" spans="1:7" x14ac:dyDescent="0.2">
      <c r="A494" s="38"/>
      <c r="B494" s="38"/>
      <c r="C494" s="8"/>
      <c r="D494" s="8"/>
      <c r="E494" s="8"/>
      <c r="F494" s="8"/>
      <c r="G494" s="8"/>
    </row>
    <row r="495" spans="1:7" x14ac:dyDescent="0.2">
      <c r="A495" s="38"/>
      <c r="B495" s="38"/>
      <c r="C495" s="8"/>
      <c r="D495" s="8"/>
      <c r="E495" s="8"/>
      <c r="F495" s="8"/>
      <c r="G495" s="8"/>
    </row>
    <row r="496" spans="1:7" x14ac:dyDescent="0.2">
      <c r="A496" s="38"/>
      <c r="B496" s="38"/>
      <c r="C496" s="8"/>
      <c r="D496" s="8"/>
      <c r="E496" s="8"/>
      <c r="F496" s="8"/>
      <c r="G496" s="8"/>
    </row>
    <row r="497" spans="1:7" x14ac:dyDescent="0.2">
      <c r="A497" s="38"/>
      <c r="B497" s="38"/>
      <c r="C497" s="8"/>
      <c r="D497" s="8"/>
      <c r="E497" s="8"/>
      <c r="F497" s="8"/>
      <c r="G497" s="8"/>
    </row>
    <row r="498" spans="1:7" x14ac:dyDescent="0.2">
      <c r="A498" s="38"/>
      <c r="B498" s="38"/>
      <c r="C498" s="8"/>
      <c r="D498" s="8"/>
      <c r="E498" s="8"/>
      <c r="F498" s="8"/>
      <c r="G498" s="8"/>
    </row>
    <row r="499" spans="1:7" x14ac:dyDescent="0.2">
      <c r="A499" s="38"/>
      <c r="B499" s="38"/>
      <c r="C499" s="8"/>
      <c r="D499" s="8"/>
      <c r="E499" s="8"/>
      <c r="F499" s="8"/>
      <c r="G499" s="8"/>
    </row>
    <row r="500" spans="1:7" x14ac:dyDescent="0.2">
      <c r="A500" s="38"/>
      <c r="B500" s="38"/>
      <c r="C500" s="8"/>
      <c r="D500" s="8"/>
      <c r="E500" s="8"/>
      <c r="F500" s="8"/>
      <c r="G500" s="8"/>
    </row>
    <row r="501" spans="1:7" x14ac:dyDescent="0.2">
      <c r="A501" s="38"/>
      <c r="B501" s="38"/>
      <c r="C501" s="8"/>
      <c r="D501" s="8"/>
      <c r="E501" s="8"/>
      <c r="F501" s="8"/>
      <c r="G501" s="8"/>
    </row>
    <row r="502" spans="1:7" x14ac:dyDescent="0.2">
      <c r="A502" s="38"/>
      <c r="B502" s="38"/>
      <c r="C502" s="8"/>
      <c r="D502" s="8"/>
      <c r="E502" s="8"/>
      <c r="F502" s="8"/>
      <c r="G502" s="8"/>
    </row>
    <row r="503" spans="1:7" x14ac:dyDescent="0.2">
      <c r="A503" s="38"/>
      <c r="B503" s="38"/>
      <c r="C503" s="8"/>
      <c r="D503" s="8"/>
      <c r="E503" s="8"/>
      <c r="F503" s="8"/>
      <c r="G503" s="8"/>
    </row>
    <row r="504" spans="1:7" x14ac:dyDescent="0.2">
      <c r="A504" s="38"/>
      <c r="B504" s="38"/>
      <c r="C504" s="8"/>
      <c r="D504" s="8"/>
      <c r="E504" s="8"/>
      <c r="F504" s="8"/>
      <c r="G504" s="8"/>
    </row>
    <row r="505" spans="1:7" x14ac:dyDescent="0.2">
      <c r="A505" s="38"/>
      <c r="B505" s="38"/>
      <c r="C505" s="8"/>
      <c r="D505" s="8"/>
      <c r="E505" s="8"/>
      <c r="F505" s="8"/>
      <c r="G505" s="8"/>
    </row>
    <row r="506" spans="1:7" x14ac:dyDescent="0.2">
      <c r="A506" s="38"/>
      <c r="B506" s="38"/>
      <c r="C506" s="8"/>
      <c r="D506" s="8"/>
      <c r="E506" s="8"/>
      <c r="F506" s="8"/>
      <c r="G506" s="8"/>
    </row>
    <row r="507" spans="1:7" x14ac:dyDescent="0.2">
      <c r="A507" s="38"/>
      <c r="B507" s="38"/>
      <c r="C507" s="8"/>
      <c r="D507" s="8"/>
      <c r="E507" s="8"/>
      <c r="F507" s="8"/>
      <c r="G507" s="8"/>
    </row>
    <row r="508" spans="1:7" x14ac:dyDescent="0.2">
      <c r="A508" s="38"/>
      <c r="B508" s="38"/>
      <c r="C508" s="8"/>
      <c r="D508" s="8"/>
      <c r="E508" s="8"/>
      <c r="F508" s="8"/>
      <c r="G508" s="8"/>
    </row>
    <row r="509" spans="1:7" x14ac:dyDescent="0.2">
      <c r="A509" s="38"/>
      <c r="B509" s="38"/>
      <c r="C509" s="8"/>
      <c r="D509" s="8"/>
      <c r="E509" s="8"/>
      <c r="F509" s="8"/>
      <c r="G509" s="8"/>
    </row>
    <row r="510" spans="1:7" x14ac:dyDescent="0.2">
      <c r="A510" s="38"/>
      <c r="B510" s="38"/>
      <c r="C510" s="8"/>
      <c r="D510" s="8"/>
      <c r="E510" s="8"/>
      <c r="F510" s="8"/>
      <c r="G510" s="8"/>
    </row>
    <row r="511" spans="1:7" x14ac:dyDescent="0.2">
      <c r="A511" s="38"/>
      <c r="B511" s="38"/>
      <c r="C511" s="8"/>
      <c r="D511" s="8"/>
      <c r="E511" s="8"/>
      <c r="F511" s="8"/>
      <c r="G511" s="8"/>
    </row>
    <row r="512" spans="1:7" x14ac:dyDescent="0.2">
      <c r="A512" s="38"/>
      <c r="B512" s="38"/>
      <c r="C512" s="8"/>
      <c r="D512" s="8"/>
      <c r="E512" s="8"/>
      <c r="F512" s="8"/>
      <c r="G512" s="8"/>
    </row>
    <row r="513" spans="1:7" x14ac:dyDescent="0.2">
      <c r="A513" s="38"/>
      <c r="B513" s="38"/>
      <c r="C513" s="8"/>
      <c r="D513" s="8"/>
      <c r="E513" s="8"/>
      <c r="F513" s="8"/>
      <c r="G513" s="8"/>
    </row>
    <row r="514" spans="1:7" x14ac:dyDescent="0.2">
      <c r="A514" s="38"/>
      <c r="B514" s="38"/>
      <c r="C514" s="8"/>
      <c r="D514" s="8"/>
      <c r="E514" s="8"/>
      <c r="F514" s="8"/>
      <c r="G514" s="8"/>
    </row>
    <row r="515" spans="1:7" x14ac:dyDescent="0.2">
      <c r="A515" s="38"/>
      <c r="B515" s="38"/>
      <c r="C515" s="8"/>
      <c r="D515" s="8"/>
      <c r="E515" s="8"/>
      <c r="F515" s="8"/>
      <c r="G515" s="8"/>
    </row>
    <row r="516" spans="1:7" x14ac:dyDescent="0.2">
      <c r="A516" s="38"/>
      <c r="B516" s="38"/>
      <c r="C516" s="8"/>
      <c r="D516" s="8"/>
      <c r="E516" s="8"/>
      <c r="F516" s="8"/>
      <c r="G516" s="8"/>
    </row>
    <row r="517" spans="1:7" x14ac:dyDescent="0.2">
      <c r="A517" s="38"/>
      <c r="B517" s="38"/>
      <c r="C517" s="8"/>
      <c r="D517" s="8"/>
      <c r="E517" s="8"/>
      <c r="F517" s="8"/>
      <c r="G517" s="8"/>
    </row>
    <row r="518" spans="1:7" x14ac:dyDescent="0.2">
      <c r="A518" s="38"/>
      <c r="B518" s="38"/>
      <c r="C518" s="8"/>
      <c r="D518" s="8"/>
      <c r="E518" s="8"/>
      <c r="F518" s="8"/>
      <c r="G518" s="8"/>
    </row>
    <row r="519" spans="1:7" x14ac:dyDescent="0.2">
      <c r="A519" s="38"/>
      <c r="B519" s="38"/>
      <c r="C519" s="8"/>
      <c r="D519" s="8"/>
      <c r="E519" s="8"/>
      <c r="F519" s="8"/>
      <c r="G519" s="8"/>
    </row>
    <row r="520" spans="1:7" x14ac:dyDescent="0.2">
      <c r="A520" s="38"/>
      <c r="B520" s="38"/>
      <c r="C520" s="8"/>
      <c r="D520" s="8"/>
      <c r="E520" s="8"/>
      <c r="F520" s="8"/>
      <c r="G520" s="8"/>
    </row>
    <row r="521" spans="1:7" x14ac:dyDescent="0.2">
      <c r="A521" s="38"/>
      <c r="B521" s="38"/>
      <c r="C521" s="8"/>
      <c r="D521" s="8"/>
      <c r="E521" s="8"/>
      <c r="F521" s="8"/>
      <c r="G521" s="8"/>
    </row>
    <row r="522" spans="1:7" x14ac:dyDescent="0.2">
      <c r="A522" s="38"/>
      <c r="B522" s="38"/>
      <c r="C522" s="8"/>
      <c r="D522" s="8"/>
      <c r="E522" s="8"/>
      <c r="F522" s="8"/>
      <c r="G522" s="8"/>
    </row>
    <row r="523" spans="1:7" x14ac:dyDescent="0.2">
      <c r="A523" s="38"/>
      <c r="B523" s="38"/>
      <c r="C523" s="8"/>
      <c r="D523" s="8"/>
      <c r="E523" s="8"/>
      <c r="F523" s="8"/>
      <c r="G523" s="8"/>
    </row>
    <row r="524" spans="1:7" x14ac:dyDescent="0.2">
      <c r="A524" s="38"/>
      <c r="B524" s="38"/>
      <c r="C524" s="8"/>
      <c r="D524" s="8"/>
      <c r="E524" s="8"/>
      <c r="F524" s="8"/>
      <c r="G524" s="8"/>
    </row>
    <row r="525" spans="1:7" x14ac:dyDescent="0.2">
      <c r="A525" s="38"/>
      <c r="B525" s="38"/>
      <c r="C525" s="8"/>
      <c r="D525" s="8"/>
      <c r="E525" s="8"/>
      <c r="F525" s="8"/>
      <c r="G525" s="8"/>
    </row>
    <row r="526" spans="1:7" x14ac:dyDescent="0.2">
      <c r="A526" s="38"/>
      <c r="B526" s="38"/>
      <c r="C526" s="8"/>
      <c r="D526" s="8"/>
      <c r="E526" s="8"/>
      <c r="F526" s="8"/>
      <c r="G526" s="8"/>
    </row>
    <row r="527" spans="1:7" x14ac:dyDescent="0.2">
      <c r="A527" s="38"/>
      <c r="B527" s="38"/>
      <c r="C527" s="8"/>
      <c r="D527" s="8"/>
      <c r="E527" s="8"/>
      <c r="F527" s="8"/>
      <c r="G527" s="8"/>
    </row>
    <row r="528" spans="1:7" x14ac:dyDescent="0.2">
      <c r="A528" s="38"/>
      <c r="B528" s="38"/>
      <c r="C528" s="8"/>
      <c r="D528" s="8"/>
      <c r="E528" s="8"/>
      <c r="F528" s="8"/>
      <c r="G528" s="8"/>
    </row>
    <row r="529" spans="1:7" x14ac:dyDescent="0.2">
      <c r="A529" s="38"/>
      <c r="B529" s="38"/>
      <c r="C529" s="8"/>
      <c r="D529" s="8"/>
      <c r="E529" s="8"/>
      <c r="F529" s="8"/>
      <c r="G529" s="8"/>
    </row>
    <row r="530" spans="1:7" x14ac:dyDescent="0.2">
      <c r="A530" s="38"/>
      <c r="B530" s="38"/>
      <c r="C530" s="8"/>
      <c r="D530" s="8"/>
      <c r="E530" s="8"/>
      <c r="F530" s="8"/>
      <c r="G530" s="8"/>
    </row>
    <row r="531" spans="1:7" x14ac:dyDescent="0.2">
      <c r="A531" s="38"/>
      <c r="B531" s="38"/>
      <c r="C531" s="8"/>
      <c r="D531" s="8"/>
      <c r="E531" s="8"/>
      <c r="F531" s="8"/>
      <c r="G531" s="8"/>
    </row>
    <row r="532" spans="1:7" x14ac:dyDescent="0.2">
      <c r="A532" s="38"/>
      <c r="B532" s="38"/>
      <c r="C532" s="8"/>
      <c r="D532" s="8"/>
      <c r="E532" s="8"/>
      <c r="F532" s="8"/>
      <c r="G532" s="8"/>
    </row>
    <row r="533" spans="1:7" x14ac:dyDescent="0.2">
      <c r="A533" s="38"/>
      <c r="B533" s="38"/>
      <c r="C533" s="8"/>
      <c r="D533" s="8"/>
      <c r="E533" s="8"/>
      <c r="F533" s="8"/>
      <c r="G533" s="8"/>
    </row>
    <row r="534" spans="1:7" x14ac:dyDescent="0.2">
      <c r="A534" s="38"/>
      <c r="B534" s="38"/>
      <c r="C534" s="8"/>
      <c r="D534" s="8"/>
      <c r="E534" s="8"/>
      <c r="F534" s="8"/>
      <c r="G534" s="8"/>
    </row>
    <row r="535" spans="1:7" x14ac:dyDescent="0.2">
      <c r="A535" s="38"/>
      <c r="B535" s="38"/>
      <c r="C535" s="8"/>
      <c r="D535" s="8"/>
      <c r="E535" s="8"/>
      <c r="F535" s="8"/>
      <c r="G535" s="8"/>
    </row>
    <row r="536" spans="1:7" x14ac:dyDescent="0.2">
      <c r="A536" s="38"/>
      <c r="B536" s="38"/>
      <c r="C536" s="8"/>
      <c r="D536" s="8"/>
      <c r="E536" s="8"/>
      <c r="F536" s="8"/>
      <c r="G536" s="8"/>
    </row>
    <row r="537" spans="1:7" x14ac:dyDescent="0.2">
      <c r="A537" s="38"/>
      <c r="B537" s="38"/>
      <c r="C537" s="8"/>
      <c r="D537" s="8"/>
      <c r="E537" s="8"/>
      <c r="F537" s="8"/>
      <c r="G537" s="8"/>
    </row>
    <row r="538" spans="1:7" x14ac:dyDescent="0.2">
      <c r="A538" s="38"/>
      <c r="B538" s="38"/>
      <c r="C538" s="8"/>
      <c r="D538" s="8"/>
      <c r="E538" s="8"/>
      <c r="F538" s="8"/>
      <c r="G538" s="8"/>
    </row>
    <row r="539" spans="1:7" x14ac:dyDescent="0.2">
      <c r="A539" s="38"/>
      <c r="B539" s="38"/>
      <c r="C539" s="8"/>
      <c r="D539" s="8"/>
      <c r="E539" s="8"/>
      <c r="F539" s="8"/>
      <c r="G539" s="8"/>
    </row>
    <row r="540" spans="1:7" x14ac:dyDescent="0.2">
      <c r="A540" s="38"/>
      <c r="B540" s="38"/>
      <c r="C540" s="8"/>
      <c r="D540" s="8"/>
      <c r="E540" s="8"/>
      <c r="F540" s="8"/>
      <c r="G540" s="8"/>
    </row>
    <row r="541" spans="1:7" x14ac:dyDescent="0.2">
      <c r="A541" s="38"/>
      <c r="B541" s="38"/>
      <c r="C541" s="8"/>
      <c r="D541" s="8"/>
      <c r="E541" s="8"/>
      <c r="F541" s="8"/>
      <c r="G541" s="8"/>
    </row>
    <row r="542" spans="1:7" x14ac:dyDescent="0.2">
      <c r="A542" s="38"/>
      <c r="B542" s="38"/>
      <c r="C542" s="8"/>
      <c r="D542" s="8"/>
      <c r="E542" s="8"/>
      <c r="F542" s="8"/>
      <c r="G542" s="8"/>
    </row>
    <row r="543" spans="1:7" x14ac:dyDescent="0.2">
      <c r="A543" s="38"/>
      <c r="B543" s="38"/>
      <c r="C543" s="8"/>
      <c r="D543" s="8"/>
      <c r="E543" s="8"/>
      <c r="F543" s="8"/>
      <c r="G543" s="8"/>
    </row>
    <row r="544" spans="1:7" x14ac:dyDescent="0.2">
      <c r="A544" s="38"/>
      <c r="B544" s="38"/>
      <c r="C544" s="8"/>
      <c r="D544" s="8"/>
      <c r="E544" s="8"/>
      <c r="F544" s="8"/>
      <c r="G544" s="8"/>
    </row>
    <row r="545" spans="1:7" x14ac:dyDescent="0.2">
      <c r="A545" s="38"/>
      <c r="B545" s="38"/>
      <c r="C545" s="8"/>
      <c r="D545" s="8"/>
      <c r="E545" s="8"/>
      <c r="F545" s="8"/>
      <c r="G545" s="8"/>
    </row>
    <row r="546" spans="1:7" x14ac:dyDescent="0.2">
      <c r="A546" s="38"/>
      <c r="B546" s="38"/>
      <c r="C546" s="8"/>
      <c r="D546" s="8"/>
      <c r="E546" s="8"/>
      <c r="F546" s="8"/>
      <c r="G546" s="8"/>
    </row>
    <row r="547" spans="1:7" x14ac:dyDescent="0.2">
      <c r="A547" s="38"/>
      <c r="B547" s="38"/>
      <c r="C547" s="8"/>
      <c r="D547" s="8"/>
      <c r="E547" s="8"/>
      <c r="F547" s="8"/>
      <c r="G547" s="8"/>
    </row>
    <row r="548" spans="1:7" x14ac:dyDescent="0.2">
      <c r="A548" s="38"/>
      <c r="B548" s="38"/>
      <c r="C548" s="8"/>
      <c r="D548" s="8"/>
      <c r="E548" s="8"/>
      <c r="F548" s="8"/>
      <c r="G548" s="8"/>
    </row>
    <row r="549" spans="1:7" x14ac:dyDescent="0.2">
      <c r="A549" s="38"/>
      <c r="B549" s="38"/>
      <c r="C549" s="8"/>
      <c r="D549" s="8"/>
      <c r="E549" s="8"/>
      <c r="F549" s="8"/>
      <c r="G549" s="8"/>
    </row>
    <row r="550" spans="1:7" x14ac:dyDescent="0.2">
      <c r="A550" s="38"/>
      <c r="B550" s="38"/>
      <c r="C550" s="8"/>
      <c r="D550" s="8"/>
      <c r="E550" s="8"/>
      <c r="F550" s="8"/>
      <c r="G550" s="8"/>
    </row>
    <row r="551" spans="1:7" x14ac:dyDescent="0.2">
      <c r="A551" s="38"/>
      <c r="B551" s="38"/>
      <c r="C551" s="8"/>
      <c r="D551" s="8"/>
      <c r="E551" s="8"/>
      <c r="F551" s="8"/>
      <c r="G551" s="8"/>
    </row>
    <row r="552" spans="1:7" x14ac:dyDescent="0.2">
      <c r="A552" s="38"/>
      <c r="B552" s="38"/>
      <c r="C552" s="8"/>
      <c r="D552" s="8"/>
      <c r="E552" s="8"/>
      <c r="F552" s="8"/>
      <c r="G552" s="8"/>
    </row>
    <row r="553" spans="1:7" x14ac:dyDescent="0.2">
      <c r="A553" s="38"/>
      <c r="B553" s="38"/>
      <c r="C553" s="8"/>
      <c r="D553" s="8"/>
      <c r="E553" s="8"/>
      <c r="F553" s="8"/>
      <c r="G553" s="8"/>
    </row>
    <row r="554" spans="1:7" x14ac:dyDescent="0.2">
      <c r="A554" s="38"/>
      <c r="B554" s="38"/>
      <c r="C554" s="8"/>
      <c r="D554" s="8"/>
      <c r="E554" s="8"/>
      <c r="F554" s="8"/>
      <c r="G554" s="8"/>
    </row>
    <row r="555" spans="1:7" x14ac:dyDescent="0.2">
      <c r="A555" s="38"/>
      <c r="B555" s="38"/>
      <c r="C555" s="8"/>
      <c r="D555" s="8"/>
      <c r="E555" s="8"/>
      <c r="F555" s="8"/>
      <c r="G555" s="8"/>
    </row>
    <row r="556" spans="1:7" x14ac:dyDescent="0.2">
      <c r="A556" s="38"/>
      <c r="B556" s="38"/>
      <c r="C556" s="8"/>
      <c r="D556" s="8"/>
      <c r="E556" s="8"/>
      <c r="F556" s="8"/>
      <c r="G556" s="8"/>
    </row>
    <row r="557" spans="1:7" x14ac:dyDescent="0.2">
      <c r="A557" s="38"/>
      <c r="B557" s="38"/>
      <c r="C557" s="8"/>
      <c r="D557" s="8"/>
      <c r="E557" s="8"/>
      <c r="F557" s="8"/>
      <c r="G557" s="8"/>
    </row>
    <row r="558" spans="1:7" x14ac:dyDescent="0.2">
      <c r="A558" s="38"/>
      <c r="B558" s="38"/>
      <c r="C558" s="8"/>
      <c r="D558" s="8"/>
      <c r="E558" s="8"/>
      <c r="F558" s="8"/>
      <c r="G558" s="8"/>
    </row>
    <row r="559" spans="1:7" x14ac:dyDescent="0.2">
      <c r="A559" s="38"/>
      <c r="B559" s="38"/>
      <c r="C559" s="8"/>
      <c r="D559" s="8"/>
      <c r="E559" s="8"/>
      <c r="F559" s="8"/>
      <c r="G559" s="8"/>
    </row>
    <row r="560" spans="1:7" x14ac:dyDescent="0.2">
      <c r="A560" s="38"/>
      <c r="B560" s="38"/>
      <c r="C560" s="8"/>
      <c r="D560" s="8"/>
      <c r="E560" s="8"/>
      <c r="F560" s="8"/>
      <c r="G560" s="8"/>
    </row>
    <row r="561" spans="1:7" x14ac:dyDescent="0.2">
      <c r="A561" s="38"/>
      <c r="B561" s="38"/>
      <c r="C561" s="8"/>
      <c r="D561" s="8"/>
      <c r="E561" s="8"/>
      <c r="F561" s="8"/>
      <c r="G561" s="8"/>
    </row>
    <row r="562" spans="1:7" x14ac:dyDescent="0.2">
      <c r="A562" s="38"/>
      <c r="B562" s="38"/>
      <c r="C562" s="8"/>
      <c r="D562" s="8"/>
      <c r="E562" s="8"/>
      <c r="F562" s="8"/>
      <c r="G562" s="8"/>
    </row>
    <row r="563" spans="1:7" x14ac:dyDescent="0.2">
      <c r="A563" s="38"/>
      <c r="B563" s="38"/>
      <c r="C563" s="8"/>
      <c r="D563" s="8"/>
      <c r="E563" s="8"/>
      <c r="F563" s="8"/>
      <c r="G563" s="8"/>
    </row>
    <row r="564" spans="1:7" x14ac:dyDescent="0.2">
      <c r="A564" s="38"/>
      <c r="B564" s="38"/>
      <c r="C564" s="8"/>
      <c r="D564" s="8"/>
      <c r="E564" s="8"/>
      <c r="F564" s="8"/>
      <c r="G564" s="8"/>
    </row>
    <row r="565" spans="1:7" x14ac:dyDescent="0.2">
      <c r="A565" s="38"/>
      <c r="B565" s="38"/>
      <c r="C565" s="8"/>
      <c r="D565" s="8"/>
      <c r="E565" s="8"/>
      <c r="F565" s="8"/>
      <c r="G565" s="8"/>
    </row>
    <row r="566" spans="1:7" x14ac:dyDescent="0.2">
      <c r="A566" s="38"/>
      <c r="B566" s="38"/>
      <c r="C566" s="8"/>
      <c r="D566" s="8"/>
      <c r="E566" s="8"/>
      <c r="F566" s="8"/>
      <c r="G566" s="8"/>
    </row>
    <row r="567" spans="1:7" x14ac:dyDescent="0.2">
      <c r="A567" s="38"/>
      <c r="B567" s="38"/>
      <c r="C567" s="8"/>
      <c r="D567" s="8"/>
      <c r="E567" s="8"/>
      <c r="F567" s="8"/>
      <c r="G567" s="8"/>
    </row>
    <row r="568" spans="1:7" x14ac:dyDescent="0.2">
      <c r="A568" s="38"/>
      <c r="B568" s="38"/>
      <c r="C568" s="8"/>
      <c r="D568" s="8"/>
      <c r="E568" s="8"/>
      <c r="F568" s="8"/>
      <c r="G568" s="8"/>
    </row>
    <row r="569" spans="1:7" x14ac:dyDescent="0.2">
      <c r="A569" s="38"/>
      <c r="B569" s="38"/>
      <c r="C569" s="8"/>
      <c r="D569" s="8"/>
      <c r="E569" s="8"/>
      <c r="F569" s="8"/>
      <c r="G569" s="8"/>
    </row>
    <row r="570" spans="1:7" x14ac:dyDescent="0.2">
      <c r="A570" s="38"/>
      <c r="B570" s="38"/>
      <c r="C570" s="8"/>
      <c r="D570" s="8"/>
      <c r="E570" s="8"/>
      <c r="F570" s="8"/>
      <c r="G570" s="8"/>
    </row>
    <row r="571" spans="1:7" x14ac:dyDescent="0.2">
      <c r="A571" s="38"/>
      <c r="B571" s="38"/>
      <c r="C571" s="8"/>
      <c r="D571" s="8"/>
      <c r="E571" s="8"/>
      <c r="F571" s="8"/>
      <c r="G571" s="8"/>
    </row>
    <row r="572" spans="1:7" x14ac:dyDescent="0.2">
      <c r="A572" s="38"/>
      <c r="B572" s="38"/>
      <c r="C572" s="8"/>
      <c r="D572" s="8"/>
      <c r="E572" s="8"/>
      <c r="F572" s="8"/>
      <c r="G572" s="8"/>
    </row>
    <row r="573" spans="1:7" x14ac:dyDescent="0.2">
      <c r="A573" s="38"/>
      <c r="B573" s="38"/>
      <c r="C573" s="8"/>
      <c r="D573" s="8"/>
      <c r="E573" s="8"/>
      <c r="F573" s="8"/>
      <c r="G573" s="8"/>
    </row>
    <row r="574" spans="1:7" x14ac:dyDescent="0.2">
      <c r="A574" s="38"/>
      <c r="B574" s="38"/>
      <c r="C574" s="8"/>
      <c r="D574" s="8"/>
      <c r="E574" s="8"/>
      <c r="F574" s="8"/>
      <c r="G574" s="8"/>
    </row>
    <row r="575" spans="1:7" x14ac:dyDescent="0.2">
      <c r="A575" s="38"/>
      <c r="B575" s="38"/>
      <c r="C575" s="8"/>
      <c r="D575" s="8"/>
      <c r="E575" s="8"/>
      <c r="F575" s="8"/>
      <c r="G575" s="8"/>
    </row>
    <row r="576" spans="1:7" x14ac:dyDescent="0.2">
      <c r="A576" s="38"/>
      <c r="B576" s="38"/>
      <c r="C576" s="8"/>
      <c r="D576" s="8"/>
      <c r="E576" s="8"/>
      <c r="F576" s="8"/>
      <c r="G576" s="8"/>
    </row>
    <row r="577" spans="1:7" x14ac:dyDescent="0.2">
      <c r="A577" s="38"/>
      <c r="B577" s="38"/>
      <c r="C577" s="8"/>
      <c r="D577" s="8"/>
      <c r="E577" s="8"/>
      <c r="F577" s="8"/>
      <c r="G577" s="8"/>
    </row>
    <row r="578" spans="1:7" x14ac:dyDescent="0.2">
      <c r="A578" s="38"/>
      <c r="B578" s="38"/>
      <c r="C578" s="8"/>
      <c r="D578" s="8"/>
      <c r="E578" s="8"/>
      <c r="F578" s="8"/>
      <c r="G578" s="8"/>
    </row>
    <row r="579" spans="1:7" x14ac:dyDescent="0.2">
      <c r="A579" s="38"/>
      <c r="B579" s="38"/>
      <c r="C579" s="8"/>
      <c r="D579" s="8"/>
      <c r="E579" s="8"/>
      <c r="F579" s="8"/>
      <c r="G579" s="8"/>
    </row>
    <row r="580" spans="1:7" x14ac:dyDescent="0.2">
      <c r="A580" s="38"/>
      <c r="B580" s="38"/>
      <c r="C580" s="8"/>
      <c r="D580" s="8"/>
      <c r="E580" s="8"/>
      <c r="F580" s="8"/>
      <c r="G580" s="8"/>
    </row>
    <row r="581" spans="1:7" x14ac:dyDescent="0.2">
      <c r="A581" s="38"/>
      <c r="B581" s="38"/>
      <c r="C581" s="8"/>
      <c r="D581" s="8"/>
      <c r="E581" s="8"/>
      <c r="F581" s="8"/>
      <c r="G581" s="8"/>
    </row>
    <row r="582" spans="1:7" x14ac:dyDescent="0.2">
      <c r="A582" s="38"/>
      <c r="B582" s="38"/>
      <c r="C582" s="8"/>
      <c r="D582" s="8"/>
      <c r="E582" s="8"/>
      <c r="F582" s="8"/>
      <c r="G582" s="8"/>
    </row>
    <row r="583" spans="1:7" x14ac:dyDescent="0.2">
      <c r="A583" s="38"/>
      <c r="B583" s="38"/>
      <c r="C583" s="8"/>
      <c r="D583" s="8"/>
      <c r="E583" s="8"/>
      <c r="F583" s="8"/>
      <c r="G583" s="8"/>
    </row>
    <row r="584" spans="1:7" x14ac:dyDescent="0.2">
      <c r="A584" s="38"/>
      <c r="B584" s="38"/>
      <c r="C584" s="8"/>
      <c r="D584" s="8"/>
      <c r="E584" s="8"/>
      <c r="F584" s="8"/>
      <c r="G584" s="8"/>
    </row>
    <row r="585" spans="1:7" x14ac:dyDescent="0.2">
      <c r="A585" s="38"/>
      <c r="B585" s="38"/>
      <c r="C585" s="8"/>
      <c r="D585" s="8"/>
      <c r="E585" s="8"/>
      <c r="F585" s="8"/>
      <c r="G585" s="8"/>
    </row>
    <row r="586" spans="1:7" x14ac:dyDescent="0.2">
      <c r="A586" s="38"/>
      <c r="B586" s="38"/>
      <c r="C586" s="8"/>
      <c r="D586" s="8"/>
      <c r="E586" s="8"/>
      <c r="F586" s="8"/>
      <c r="G586" s="8"/>
    </row>
    <row r="587" spans="1:7" x14ac:dyDescent="0.2">
      <c r="A587" s="38"/>
      <c r="B587" s="38"/>
      <c r="C587" s="8"/>
      <c r="D587" s="8"/>
      <c r="E587" s="8"/>
      <c r="F587" s="8"/>
      <c r="G587" s="8"/>
    </row>
    <row r="588" spans="1:7" x14ac:dyDescent="0.2">
      <c r="A588" s="38"/>
      <c r="B588" s="38"/>
      <c r="C588" s="8"/>
      <c r="D588" s="8"/>
      <c r="E588" s="8"/>
      <c r="F588" s="8"/>
      <c r="G588" s="8"/>
    </row>
    <row r="589" spans="1:7" x14ac:dyDescent="0.2">
      <c r="A589" s="38"/>
      <c r="B589" s="38"/>
      <c r="C589" s="8"/>
      <c r="D589" s="8"/>
      <c r="E589" s="8"/>
      <c r="F589" s="8"/>
      <c r="G589" s="8"/>
    </row>
    <row r="590" spans="1:7" x14ac:dyDescent="0.2">
      <c r="A590" s="38"/>
      <c r="B590" s="38"/>
      <c r="C590" s="8"/>
      <c r="D590" s="8"/>
      <c r="E590" s="8"/>
      <c r="F590" s="8"/>
      <c r="G590" s="8"/>
    </row>
    <row r="591" spans="1:7" x14ac:dyDescent="0.2">
      <c r="A591" s="38"/>
      <c r="B591" s="38"/>
      <c r="C591" s="8"/>
      <c r="D591" s="8"/>
      <c r="E591" s="8"/>
      <c r="F591" s="8"/>
      <c r="G591" s="8"/>
    </row>
    <row r="592" spans="1:7" x14ac:dyDescent="0.2">
      <c r="A592" s="38"/>
      <c r="B592" s="38"/>
      <c r="C592" s="8"/>
      <c r="D592" s="8"/>
      <c r="E592" s="8"/>
      <c r="F592" s="8"/>
      <c r="G592" s="8"/>
    </row>
    <row r="593" spans="1:7" x14ac:dyDescent="0.2">
      <c r="A593" s="38"/>
      <c r="B593" s="38"/>
      <c r="C593" s="8"/>
      <c r="D593" s="8"/>
      <c r="E593" s="8"/>
      <c r="F593" s="8"/>
      <c r="G593" s="8"/>
    </row>
    <row r="594" spans="1:7" x14ac:dyDescent="0.2">
      <c r="A594" s="38"/>
      <c r="B594" s="38"/>
      <c r="C594" s="8"/>
      <c r="D594" s="8"/>
      <c r="E594" s="8"/>
      <c r="F594" s="8"/>
      <c r="G594" s="8"/>
    </row>
    <row r="595" spans="1:7" x14ac:dyDescent="0.2">
      <c r="A595" s="38"/>
      <c r="B595" s="38"/>
      <c r="C595" s="8"/>
      <c r="D595" s="8"/>
      <c r="E595" s="8"/>
      <c r="F595" s="8"/>
      <c r="G595" s="8"/>
    </row>
    <row r="596" spans="1:7" x14ac:dyDescent="0.2">
      <c r="A596" s="38"/>
      <c r="B596" s="38"/>
      <c r="C596" s="8"/>
      <c r="D596" s="8"/>
      <c r="E596" s="8"/>
      <c r="F596" s="8"/>
      <c r="G596" s="8"/>
    </row>
    <row r="597" spans="1:7" x14ac:dyDescent="0.2">
      <c r="A597" s="38"/>
      <c r="B597" s="38"/>
      <c r="C597" s="8"/>
      <c r="D597" s="8"/>
      <c r="E597" s="8"/>
      <c r="F597" s="8"/>
      <c r="G597" s="8"/>
    </row>
    <row r="598" spans="1:7" x14ac:dyDescent="0.2">
      <c r="A598" s="38"/>
      <c r="B598" s="38"/>
      <c r="C598" s="8"/>
      <c r="D598" s="8"/>
      <c r="E598" s="8"/>
      <c r="F598" s="8"/>
      <c r="G598" s="8"/>
    </row>
    <row r="599" spans="1:7" x14ac:dyDescent="0.2">
      <c r="A599" s="38"/>
      <c r="B599" s="38"/>
      <c r="C599" s="8"/>
      <c r="D599" s="8"/>
      <c r="E599" s="8"/>
      <c r="F599" s="8"/>
      <c r="G599" s="8"/>
    </row>
    <row r="600" spans="1:7" x14ac:dyDescent="0.2">
      <c r="A600" s="38"/>
      <c r="B600" s="38"/>
      <c r="C600" s="8"/>
      <c r="D600" s="8"/>
      <c r="E600" s="8"/>
      <c r="F600" s="8"/>
      <c r="G600" s="8"/>
    </row>
    <row r="601" spans="1:7" x14ac:dyDescent="0.2">
      <c r="A601" s="38"/>
      <c r="B601" s="38"/>
      <c r="C601" s="8"/>
      <c r="D601" s="8"/>
      <c r="E601" s="8"/>
      <c r="F601" s="8"/>
      <c r="G601" s="8"/>
    </row>
    <row r="602" spans="1:7" x14ac:dyDescent="0.2">
      <c r="A602" s="38"/>
      <c r="B602" s="38"/>
      <c r="C602" s="8"/>
      <c r="D602" s="8"/>
      <c r="E602" s="8"/>
      <c r="F602" s="8"/>
      <c r="G602" s="8"/>
    </row>
    <row r="603" spans="1:7" x14ac:dyDescent="0.2">
      <c r="A603" s="38"/>
      <c r="B603" s="38"/>
      <c r="C603" s="8"/>
      <c r="D603" s="8"/>
      <c r="E603" s="8"/>
      <c r="F603" s="8"/>
      <c r="G603" s="8"/>
    </row>
    <row r="604" spans="1:7" x14ac:dyDescent="0.2">
      <c r="A604" s="38"/>
      <c r="B604" s="38"/>
      <c r="C604" s="8"/>
      <c r="D604" s="8"/>
      <c r="E604" s="8"/>
      <c r="F604" s="8"/>
      <c r="G604" s="8"/>
    </row>
    <row r="605" spans="1:7" x14ac:dyDescent="0.2">
      <c r="A605" s="38"/>
      <c r="B605" s="38"/>
      <c r="C605" s="8"/>
      <c r="D605" s="8"/>
      <c r="E605" s="8"/>
      <c r="F605" s="8"/>
      <c r="G605" s="8"/>
    </row>
    <row r="606" spans="1:7" x14ac:dyDescent="0.2">
      <c r="A606" s="38"/>
      <c r="B606" s="38"/>
      <c r="C606" s="8"/>
      <c r="D606" s="8"/>
      <c r="E606" s="8"/>
      <c r="F606" s="8"/>
      <c r="G606" s="8"/>
    </row>
    <row r="607" spans="1:7" x14ac:dyDescent="0.2">
      <c r="A607" s="38"/>
      <c r="B607" s="38"/>
      <c r="C607" s="8"/>
      <c r="D607" s="8"/>
      <c r="E607" s="8"/>
      <c r="F607" s="8"/>
      <c r="G607" s="8"/>
    </row>
    <row r="608" spans="1:7" x14ac:dyDescent="0.2">
      <c r="A608" s="38"/>
      <c r="B608" s="38"/>
      <c r="C608" s="8"/>
      <c r="D608" s="8"/>
      <c r="E608" s="8"/>
      <c r="F608" s="8"/>
      <c r="G608" s="8"/>
    </row>
    <row r="609" spans="1:7" x14ac:dyDescent="0.2">
      <c r="A609" s="38"/>
      <c r="B609" s="38"/>
      <c r="C609" s="8"/>
      <c r="D609" s="8"/>
      <c r="E609" s="8"/>
      <c r="F609" s="8"/>
      <c r="G609" s="8"/>
    </row>
    <row r="610" spans="1:7" x14ac:dyDescent="0.2">
      <c r="A610" s="38"/>
      <c r="B610" s="38"/>
      <c r="C610" s="8"/>
      <c r="D610" s="8"/>
      <c r="E610" s="8"/>
      <c r="F610" s="8"/>
      <c r="G610" s="8"/>
    </row>
    <row r="611" spans="1:7" x14ac:dyDescent="0.2">
      <c r="A611" s="38"/>
      <c r="B611" s="38"/>
      <c r="C611" s="8"/>
      <c r="D611" s="8"/>
      <c r="E611" s="8"/>
      <c r="F611" s="8"/>
      <c r="G611" s="8"/>
    </row>
    <row r="612" spans="1:7" x14ac:dyDescent="0.2">
      <c r="A612" s="38"/>
      <c r="B612" s="38"/>
      <c r="C612" s="8"/>
      <c r="D612" s="8"/>
      <c r="E612" s="8"/>
      <c r="F612" s="8"/>
      <c r="G612" s="8"/>
    </row>
    <row r="613" spans="1:7" x14ac:dyDescent="0.2">
      <c r="A613" s="38"/>
      <c r="B613" s="38"/>
      <c r="C613" s="8"/>
      <c r="D613" s="8"/>
      <c r="E613" s="8"/>
      <c r="F613" s="8"/>
      <c r="G613" s="8"/>
    </row>
    <row r="614" spans="1:7" x14ac:dyDescent="0.2">
      <c r="A614" s="38"/>
      <c r="B614" s="38"/>
      <c r="C614" s="8"/>
      <c r="D614" s="8"/>
      <c r="E614" s="8"/>
      <c r="F614" s="8"/>
      <c r="G614" s="8"/>
    </row>
    <row r="615" spans="1:7" x14ac:dyDescent="0.2">
      <c r="A615" s="38"/>
      <c r="B615" s="38"/>
      <c r="C615" s="8"/>
      <c r="D615" s="8"/>
      <c r="E615" s="8"/>
      <c r="F615" s="8"/>
      <c r="G615" s="8"/>
    </row>
    <row r="616" spans="1:7" x14ac:dyDescent="0.2">
      <c r="A616" s="38"/>
      <c r="B616" s="38"/>
      <c r="C616" s="8"/>
      <c r="D616" s="8"/>
      <c r="E616" s="8"/>
      <c r="F616" s="8"/>
      <c r="G616" s="8"/>
    </row>
    <row r="617" spans="1:7" x14ac:dyDescent="0.2">
      <c r="A617" s="38"/>
      <c r="B617" s="38"/>
      <c r="C617" s="8"/>
      <c r="D617" s="8"/>
      <c r="E617" s="8"/>
      <c r="F617" s="8"/>
      <c r="G617" s="8"/>
    </row>
    <row r="618" spans="1:7" x14ac:dyDescent="0.2">
      <c r="A618" s="38"/>
      <c r="B618" s="38"/>
      <c r="C618" s="8"/>
      <c r="D618" s="8"/>
      <c r="E618" s="8"/>
      <c r="F618" s="8"/>
      <c r="G618" s="8"/>
    </row>
    <row r="619" spans="1:7" x14ac:dyDescent="0.2">
      <c r="A619" s="38"/>
      <c r="B619" s="38"/>
      <c r="C619" s="8"/>
      <c r="D619" s="8"/>
      <c r="E619" s="8"/>
      <c r="F619" s="8"/>
      <c r="G619" s="8"/>
    </row>
    <row r="620" spans="1:7" x14ac:dyDescent="0.2">
      <c r="A620" s="38"/>
      <c r="B620" s="38"/>
      <c r="C620" s="8"/>
      <c r="D620" s="8"/>
      <c r="E620" s="8"/>
      <c r="F620" s="8"/>
      <c r="G620" s="8"/>
    </row>
    <row r="621" spans="1:7" x14ac:dyDescent="0.2">
      <c r="A621" s="38"/>
      <c r="B621" s="38"/>
      <c r="C621" s="8"/>
      <c r="D621" s="8"/>
      <c r="E621" s="8"/>
      <c r="F621" s="8"/>
      <c r="G621" s="8"/>
    </row>
    <row r="622" spans="1:7" x14ac:dyDescent="0.2">
      <c r="A622" s="38"/>
      <c r="B622" s="38"/>
      <c r="C622" s="8"/>
      <c r="D622" s="8"/>
      <c r="E622" s="8"/>
      <c r="F622" s="8"/>
      <c r="G622" s="8"/>
    </row>
    <row r="623" spans="1:7" x14ac:dyDescent="0.2">
      <c r="A623" s="38"/>
      <c r="B623" s="38"/>
      <c r="C623" s="8"/>
      <c r="D623" s="8"/>
      <c r="E623" s="8"/>
      <c r="F623" s="8"/>
      <c r="G623" s="8"/>
    </row>
    <row r="624" spans="1:7" x14ac:dyDescent="0.2">
      <c r="A624" s="38"/>
      <c r="B624" s="38"/>
      <c r="C624" s="8"/>
      <c r="D624" s="8"/>
      <c r="E624" s="8"/>
      <c r="F624" s="8"/>
      <c r="G624" s="8"/>
    </row>
    <row r="625" spans="1:7" x14ac:dyDescent="0.2">
      <c r="A625" s="38"/>
      <c r="B625" s="38"/>
      <c r="C625" s="8"/>
      <c r="D625" s="8"/>
      <c r="E625" s="8"/>
      <c r="F625" s="8"/>
      <c r="G625" s="8"/>
    </row>
    <row r="626" spans="1:7" x14ac:dyDescent="0.2">
      <c r="A626" s="38"/>
      <c r="B626" s="38"/>
      <c r="C626" s="8"/>
      <c r="D626" s="8"/>
      <c r="E626" s="8"/>
      <c r="F626" s="8"/>
      <c r="G626" s="8"/>
    </row>
    <row r="627" spans="1:7" x14ac:dyDescent="0.2">
      <c r="A627" s="38"/>
      <c r="B627" s="38"/>
      <c r="C627" s="8"/>
      <c r="D627" s="8"/>
      <c r="E627" s="8"/>
      <c r="F627" s="8"/>
      <c r="G627" s="8"/>
    </row>
    <row r="628" spans="1:7" x14ac:dyDescent="0.2">
      <c r="A628" s="38"/>
      <c r="B628" s="38"/>
      <c r="C628" s="8"/>
      <c r="D628" s="8"/>
      <c r="E628" s="8"/>
      <c r="F628" s="8"/>
      <c r="G628" s="8"/>
    </row>
    <row r="629" spans="1:7" x14ac:dyDescent="0.2">
      <c r="A629" s="38"/>
      <c r="B629" s="38"/>
      <c r="C629" s="8"/>
      <c r="D629" s="8"/>
      <c r="E629" s="8"/>
      <c r="F629" s="8"/>
      <c r="G629" s="8"/>
    </row>
    <row r="630" spans="1:7" x14ac:dyDescent="0.2">
      <c r="A630" s="38"/>
      <c r="B630" s="38"/>
      <c r="C630" s="8"/>
      <c r="D630" s="8"/>
      <c r="E630" s="8"/>
      <c r="F630" s="8"/>
      <c r="G630" s="8"/>
    </row>
    <row r="631" spans="1:7" x14ac:dyDescent="0.2">
      <c r="A631" s="38"/>
      <c r="B631" s="38"/>
      <c r="C631" s="8"/>
      <c r="D631" s="8"/>
      <c r="E631" s="8"/>
      <c r="F631" s="8"/>
      <c r="G631" s="8"/>
    </row>
    <row r="632" spans="1:7" x14ac:dyDescent="0.2">
      <c r="A632" s="38"/>
      <c r="B632" s="38"/>
      <c r="C632" s="8"/>
      <c r="D632" s="8"/>
      <c r="E632" s="8"/>
      <c r="F632" s="8"/>
      <c r="G632" s="8"/>
    </row>
    <row r="633" spans="1:7" x14ac:dyDescent="0.2">
      <c r="A633" s="38"/>
      <c r="B633" s="38"/>
      <c r="C633" s="8"/>
      <c r="D633" s="8"/>
      <c r="E633" s="8"/>
      <c r="F633" s="8"/>
      <c r="G633" s="8"/>
    </row>
    <row r="634" spans="1:7" x14ac:dyDescent="0.2">
      <c r="A634" s="38"/>
      <c r="B634" s="38"/>
      <c r="C634" s="8"/>
      <c r="D634" s="8"/>
      <c r="E634" s="8"/>
      <c r="F634" s="8"/>
      <c r="G634" s="8"/>
    </row>
    <row r="635" spans="1:7" x14ac:dyDescent="0.2">
      <c r="A635" s="38"/>
      <c r="B635" s="38"/>
      <c r="C635" s="8"/>
      <c r="D635" s="8"/>
      <c r="E635" s="8"/>
      <c r="F635" s="8"/>
      <c r="G635" s="8"/>
    </row>
    <row r="636" spans="1:7" x14ac:dyDescent="0.2">
      <c r="A636" s="38"/>
      <c r="B636" s="38"/>
      <c r="C636" s="8"/>
      <c r="D636" s="8"/>
      <c r="E636" s="8"/>
      <c r="F636" s="8"/>
      <c r="G636" s="8"/>
    </row>
    <row r="637" spans="1:7" x14ac:dyDescent="0.2">
      <c r="A637" s="38"/>
      <c r="B637" s="38"/>
      <c r="C637" s="8"/>
      <c r="D637" s="8"/>
      <c r="E637" s="8"/>
      <c r="F637" s="8"/>
      <c r="G637" s="8"/>
    </row>
    <row r="638" spans="1:7" x14ac:dyDescent="0.2">
      <c r="A638" s="38"/>
      <c r="B638" s="38"/>
      <c r="C638" s="8"/>
      <c r="D638" s="8"/>
      <c r="E638" s="8"/>
      <c r="F638" s="8"/>
      <c r="G638" s="8"/>
    </row>
    <row r="639" spans="1:7" x14ac:dyDescent="0.2">
      <c r="A639" s="38"/>
      <c r="B639" s="38"/>
      <c r="C639" s="8"/>
      <c r="D639" s="8"/>
      <c r="E639" s="8"/>
      <c r="F639" s="8"/>
      <c r="G639" s="8"/>
    </row>
    <row r="640" spans="1:7" x14ac:dyDescent="0.2">
      <c r="A640" s="38"/>
      <c r="B640" s="38"/>
      <c r="C640" s="8"/>
      <c r="D640" s="8"/>
      <c r="E640" s="8"/>
      <c r="F640" s="8"/>
      <c r="G640" s="8"/>
    </row>
    <row r="641" spans="1:7" x14ac:dyDescent="0.2">
      <c r="A641" s="38"/>
      <c r="B641" s="38"/>
      <c r="C641" s="8"/>
      <c r="D641" s="8"/>
      <c r="E641" s="8"/>
      <c r="F641" s="8"/>
      <c r="G641" s="8"/>
    </row>
    <row r="642" spans="1:7" x14ac:dyDescent="0.2">
      <c r="A642" s="38"/>
      <c r="B642" s="38"/>
      <c r="C642" s="8"/>
      <c r="D642" s="8"/>
      <c r="E642" s="8"/>
      <c r="F642" s="8"/>
      <c r="G642" s="8"/>
    </row>
    <row r="643" spans="1:7" x14ac:dyDescent="0.2">
      <c r="A643" s="38"/>
      <c r="B643" s="38"/>
      <c r="C643" s="8"/>
      <c r="D643" s="8"/>
      <c r="E643" s="8"/>
      <c r="F643" s="8"/>
      <c r="G643" s="8"/>
    </row>
    <row r="644" spans="1:7" x14ac:dyDescent="0.2">
      <c r="A644" s="38"/>
      <c r="B644" s="38"/>
      <c r="C644" s="8"/>
      <c r="D644" s="8"/>
      <c r="E644" s="8"/>
      <c r="F644" s="8"/>
      <c r="G644" s="8"/>
    </row>
    <row r="645" spans="1:7" x14ac:dyDescent="0.2">
      <c r="A645" s="38"/>
      <c r="B645" s="38"/>
      <c r="C645" s="8"/>
      <c r="D645" s="8"/>
      <c r="E645" s="8"/>
      <c r="F645" s="8"/>
      <c r="G645" s="8"/>
    </row>
    <row r="646" spans="1:7" x14ac:dyDescent="0.2">
      <c r="A646" s="38"/>
      <c r="B646" s="38"/>
      <c r="C646" s="8"/>
      <c r="D646" s="8"/>
      <c r="E646" s="8"/>
      <c r="F646" s="8"/>
      <c r="G646" s="8"/>
    </row>
    <row r="647" spans="1:7" x14ac:dyDescent="0.2">
      <c r="A647" s="38"/>
      <c r="B647" s="38"/>
      <c r="C647" s="8"/>
      <c r="D647" s="8"/>
      <c r="E647" s="8"/>
      <c r="F647" s="8"/>
      <c r="G647" s="8"/>
    </row>
    <row r="648" spans="1:7" x14ac:dyDescent="0.2">
      <c r="A648" s="38"/>
      <c r="B648" s="38"/>
      <c r="C648" s="8"/>
      <c r="D648" s="8"/>
      <c r="E648" s="8"/>
      <c r="F648" s="8"/>
      <c r="G648" s="8"/>
    </row>
    <row r="649" spans="1:7" x14ac:dyDescent="0.2">
      <c r="A649" s="38"/>
      <c r="B649" s="38"/>
      <c r="C649" s="8"/>
      <c r="D649" s="8"/>
      <c r="E649" s="8"/>
      <c r="F649" s="8"/>
      <c r="G649" s="8"/>
    </row>
    <row r="650" spans="1:7" x14ac:dyDescent="0.2">
      <c r="A650" s="38"/>
      <c r="B650" s="38"/>
      <c r="C650" s="8"/>
      <c r="D650" s="8"/>
      <c r="E650" s="8"/>
      <c r="F650" s="8"/>
      <c r="G650" s="8"/>
    </row>
    <row r="651" spans="1:7" x14ac:dyDescent="0.2">
      <c r="A651" s="38"/>
      <c r="B651" s="38"/>
      <c r="C651" s="8"/>
      <c r="D651" s="8"/>
      <c r="E651" s="8"/>
      <c r="F651" s="8"/>
      <c r="G651" s="8"/>
    </row>
    <row r="652" spans="1:7" x14ac:dyDescent="0.2">
      <c r="A652" s="38"/>
      <c r="B652" s="38"/>
      <c r="C652" s="8"/>
      <c r="D652" s="8"/>
      <c r="E652" s="8"/>
      <c r="F652" s="8"/>
      <c r="G652" s="8"/>
    </row>
    <row r="653" spans="1:7" x14ac:dyDescent="0.2">
      <c r="A653" s="38"/>
      <c r="B653" s="38"/>
      <c r="C653" s="8"/>
      <c r="D653" s="8"/>
      <c r="E653" s="8"/>
      <c r="F653" s="8"/>
      <c r="G653" s="8"/>
    </row>
    <row r="654" spans="1:7" x14ac:dyDescent="0.2">
      <c r="A654" s="38"/>
      <c r="B654" s="38"/>
      <c r="C654" s="8"/>
      <c r="D654" s="8"/>
      <c r="E654" s="8"/>
      <c r="F654" s="8"/>
      <c r="G654" s="8"/>
    </row>
    <row r="655" spans="1:7" x14ac:dyDescent="0.2">
      <c r="A655" s="38"/>
      <c r="B655" s="38"/>
      <c r="C655" s="8"/>
      <c r="D655" s="8"/>
      <c r="E655" s="8"/>
      <c r="F655" s="8"/>
      <c r="G655" s="8"/>
    </row>
    <row r="656" spans="1:7" x14ac:dyDescent="0.2">
      <c r="A656" s="38"/>
      <c r="B656" s="38"/>
      <c r="C656" s="8"/>
      <c r="D656" s="8"/>
      <c r="E656" s="8"/>
      <c r="F656" s="8"/>
      <c r="G656" s="8"/>
    </row>
    <row r="657" spans="1:7" x14ac:dyDescent="0.2">
      <c r="A657" s="38"/>
      <c r="B657" s="38"/>
      <c r="C657" s="8"/>
      <c r="D657" s="8"/>
      <c r="E657" s="8"/>
      <c r="F657" s="8"/>
      <c r="G657" s="8"/>
    </row>
    <row r="658" spans="1:7" x14ac:dyDescent="0.2">
      <c r="A658" s="38"/>
      <c r="B658" s="38"/>
      <c r="C658" s="8"/>
      <c r="D658" s="8"/>
      <c r="E658" s="8"/>
      <c r="F658" s="8"/>
      <c r="G658" s="8"/>
    </row>
    <row r="659" spans="1:7" x14ac:dyDescent="0.2">
      <c r="A659" s="38"/>
      <c r="B659" s="38"/>
      <c r="C659" s="8"/>
      <c r="D659" s="8"/>
      <c r="E659" s="8"/>
      <c r="F659" s="8"/>
      <c r="G659" s="8"/>
    </row>
    <row r="660" spans="1:7" x14ac:dyDescent="0.2">
      <c r="A660" s="38"/>
      <c r="B660" s="38"/>
      <c r="C660" s="8"/>
      <c r="D660" s="8"/>
      <c r="E660" s="8"/>
      <c r="F660" s="8"/>
      <c r="G660" s="8"/>
    </row>
    <row r="661" spans="1:7" x14ac:dyDescent="0.2">
      <c r="A661" s="38"/>
      <c r="B661" s="38"/>
      <c r="C661" s="8"/>
      <c r="D661" s="8"/>
      <c r="E661" s="8"/>
      <c r="F661" s="8"/>
      <c r="G661" s="8"/>
    </row>
    <row r="662" spans="1:7" x14ac:dyDescent="0.2">
      <c r="A662" s="38"/>
      <c r="B662" s="38"/>
      <c r="C662" s="8"/>
      <c r="D662" s="8"/>
      <c r="E662" s="8"/>
      <c r="F662" s="8"/>
      <c r="G662" s="8"/>
    </row>
    <row r="663" spans="1:7" x14ac:dyDescent="0.2">
      <c r="A663" s="38"/>
      <c r="B663" s="38"/>
      <c r="C663" s="8"/>
      <c r="D663" s="8"/>
      <c r="E663" s="8"/>
      <c r="F663" s="8"/>
      <c r="G663" s="8"/>
    </row>
    <row r="664" spans="1:7" x14ac:dyDescent="0.2">
      <c r="A664" s="38"/>
      <c r="B664" s="38"/>
      <c r="C664" s="8"/>
      <c r="D664" s="8"/>
      <c r="E664" s="8"/>
      <c r="F664" s="8"/>
      <c r="G664" s="8"/>
    </row>
    <row r="665" spans="1:7" x14ac:dyDescent="0.2">
      <c r="A665" s="38"/>
      <c r="B665" s="38"/>
      <c r="C665" s="8"/>
      <c r="D665" s="8"/>
      <c r="E665" s="8"/>
      <c r="F665" s="8"/>
      <c r="G665" s="8"/>
    </row>
    <row r="666" spans="1:7" x14ac:dyDescent="0.2">
      <c r="A666" s="38"/>
      <c r="B666" s="38"/>
      <c r="C666" s="8"/>
      <c r="D666" s="8"/>
      <c r="E666" s="8"/>
      <c r="F666" s="8"/>
      <c r="G666" s="8"/>
    </row>
    <row r="667" spans="1:7" x14ac:dyDescent="0.2">
      <c r="A667" s="38"/>
      <c r="B667" s="38"/>
      <c r="C667" s="8"/>
      <c r="D667" s="8"/>
      <c r="E667" s="8"/>
      <c r="F667" s="8"/>
      <c r="G667" s="8"/>
    </row>
    <row r="668" spans="1:7" x14ac:dyDescent="0.2">
      <c r="A668" s="38"/>
      <c r="B668" s="38"/>
      <c r="C668" s="8"/>
      <c r="D668" s="8"/>
      <c r="E668" s="8"/>
      <c r="F668" s="8"/>
      <c r="G668" s="8"/>
    </row>
    <row r="669" spans="1:7" x14ac:dyDescent="0.2">
      <c r="A669" s="38"/>
      <c r="B669" s="38"/>
      <c r="C669" s="8"/>
      <c r="D669" s="8"/>
      <c r="E669" s="8"/>
      <c r="F669" s="8"/>
      <c r="G669" s="8"/>
    </row>
    <row r="670" spans="1:7" x14ac:dyDescent="0.2">
      <c r="A670" s="38"/>
      <c r="B670" s="38"/>
      <c r="C670" s="8"/>
      <c r="D670" s="8"/>
      <c r="E670" s="8"/>
      <c r="F670" s="8"/>
      <c r="G670" s="8"/>
    </row>
    <row r="671" spans="1:7" x14ac:dyDescent="0.2">
      <c r="A671" s="38"/>
      <c r="B671" s="38"/>
      <c r="C671" s="8"/>
      <c r="D671" s="8"/>
      <c r="E671" s="8"/>
      <c r="F671" s="8"/>
      <c r="G671" s="8"/>
    </row>
    <row r="672" spans="1:7" x14ac:dyDescent="0.2">
      <c r="A672" s="38"/>
      <c r="B672" s="38"/>
      <c r="C672" s="8"/>
      <c r="D672" s="8"/>
      <c r="E672" s="8"/>
      <c r="F672" s="8"/>
      <c r="G672" s="8"/>
    </row>
    <row r="673" spans="1:7" x14ac:dyDescent="0.2">
      <c r="A673" s="38"/>
      <c r="B673" s="38"/>
      <c r="C673" s="8"/>
      <c r="D673" s="8"/>
      <c r="E673" s="8"/>
      <c r="F673" s="8"/>
      <c r="G673" s="8"/>
    </row>
    <row r="674" spans="1:7" x14ac:dyDescent="0.2">
      <c r="A674" s="38"/>
      <c r="B674" s="38"/>
      <c r="C674" s="8"/>
      <c r="D674" s="8"/>
      <c r="E674" s="8"/>
      <c r="F674" s="8"/>
      <c r="G674" s="8"/>
    </row>
    <row r="675" spans="1:7" x14ac:dyDescent="0.2">
      <c r="A675" s="38"/>
      <c r="B675" s="38"/>
      <c r="C675" s="8"/>
      <c r="D675" s="8"/>
      <c r="E675" s="8"/>
      <c r="F675" s="8"/>
      <c r="G675" s="8"/>
    </row>
    <row r="676" spans="1:7" x14ac:dyDescent="0.2">
      <c r="A676" s="38"/>
      <c r="B676" s="38"/>
      <c r="C676" s="8"/>
      <c r="D676" s="8"/>
      <c r="E676" s="8"/>
      <c r="F676" s="8"/>
      <c r="G676" s="8"/>
    </row>
    <row r="677" spans="1:7" x14ac:dyDescent="0.2">
      <c r="A677" s="38"/>
      <c r="B677" s="38"/>
      <c r="C677" s="8"/>
      <c r="D677" s="8"/>
      <c r="E677" s="8"/>
      <c r="F677" s="8"/>
      <c r="G677" s="8"/>
    </row>
    <row r="678" spans="1:7" x14ac:dyDescent="0.2">
      <c r="A678" s="38"/>
      <c r="B678" s="38"/>
      <c r="C678" s="8"/>
      <c r="D678" s="8"/>
      <c r="E678" s="8"/>
      <c r="F678" s="8"/>
      <c r="G678" s="8"/>
    </row>
    <row r="679" spans="1:7" x14ac:dyDescent="0.2">
      <c r="A679" s="38"/>
      <c r="B679" s="38"/>
      <c r="C679" s="8"/>
      <c r="D679" s="8"/>
      <c r="E679" s="8"/>
      <c r="F679" s="8"/>
      <c r="G679" s="8"/>
    </row>
    <row r="680" spans="1:7" x14ac:dyDescent="0.2">
      <c r="A680" s="38"/>
      <c r="B680" s="38"/>
      <c r="C680" s="8"/>
      <c r="D680" s="8"/>
      <c r="E680" s="8"/>
      <c r="F680" s="8"/>
      <c r="G680" s="8"/>
    </row>
    <row r="681" spans="1:7" x14ac:dyDescent="0.2">
      <c r="A681" s="38"/>
      <c r="B681" s="38"/>
      <c r="C681" s="8"/>
      <c r="D681" s="8"/>
      <c r="E681" s="8"/>
      <c r="F681" s="8"/>
      <c r="G681" s="8"/>
    </row>
    <row r="682" spans="1:7" x14ac:dyDescent="0.2">
      <c r="A682" s="38"/>
      <c r="B682" s="38"/>
      <c r="C682" s="8"/>
      <c r="D682" s="8"/>
      <c r="E682" s="8"/>
      <c r="F682" s="8"/>
      <c r="G682" s="8"/>
    </row>
    <row r="683" spans="1:7" x14ac:dyDescent="0.2">
      <c r="A683" s="38"/>
      <c r="B683" s="38"/>
      <c r="C683" s="8"/>
      <c r="D683" s="8"/>
      <c r="E683" s="8"/>
      <c r="F683" s="8"/>
      <c r="G683" s="8"/>
    </row>
    <row r="684" spans="1:7" x14ac:dyDescent="0.2">
      <c r="A684" s="38"/>
      <c r="B684" s="38"/>
      <c r="C684" s="8"/>
      <c r="D684" s="8"/>
      <c r="E684" s="8"/>
      <c r="F684" s="8"/>
      <c r="G684" s="8"/>
    </row>
    <row r="685" spans="1:7" x14ac:dyDescent="0.2">
      <c r="A685" s="38"/>
      <c r="B685" s="38"/>
      <c r="C685" s="8"/>
      <c r="D685" s="8"/>
      <c r="E685" s="8"/>
      <c r="F685" s="8"/>
      <c r="G685" s="8"/>
    </row>
    <row r="686" spans="1:7" x14ac:dyDescent="0.2">
      <c r="A686" s="38"/>
      <c r="B686" s="38"/>
      <c r="C686" s="8"/>
      <c r="D686" s="8"/>
      <c r="E686" s="8"/>
      <c r="F686" s="8"/>
      <c r="G686" s="8"/>
    </row>
    <row r="687" spans="1:7" x14ac:dyDescent="0.2">
      <c r="A687" s="38"/>
      <c r="B687" s="38"/>
      <c r="C687" s="8"/>
      <c r="D687" s="8"/>
      <c r="E687" s="8"/>
      <c r="F687" s="8"/>
      <c r="G687" s="8"/>
    </row>
    <row r="688" spans="1:7" x14ac:dyDescent="0.2">
      <c r="A688" s="38"/>
      <c r="B688" s="38"/>
      <c r="C688" s="8"/>
      <c r="D688" s="8"/>
      <c r="E688" s="8"/>
      <c r="F688" s="8"/>
      <c r="G688" s="8"/>
    </row>
    <row r="689" spans="1:7" x14ac:dyDescent="0.2">
      <c r="A689" s="38"/>
      <c r="B689" s="38"/>
      <c r="C689" s="8"/>
      <c r="D689" s="8"/>
      <c r="E689" s="8"/>
      <c r="F689" s="8"/>
      <c r="G689" s="8"/>
    </row>
    <row r="690" spans="1:7" x14ac:dyDescent="0.2">
      <c r="A690" s="38"/>
      <c r="B690" s="38"/>
      <c r="C690" s="8"/>
      <c r="D690" s="8"/>
      <c r="E690" s="8"/>
      <c r="F690" s="8"/>
      <c r="G690" s="8"/>
    </row>
    <row r="691" spans="1:7" x14ac:dyDescent="0.2">
      <c r="A691" s="38"/>
      <c r="B691" s="38"/>
      <c r="C691" s="8"/>
      <c r="D691" s="8"/>
      <c r="E691" s="8"/>
      <c r="F691" s="8"/>
      <c r="G691" s="8"/>
    </row>
    <row r="692" spans="1:7" x14ac:dyDescent="0.2">
      <c r="A692" s="38"/>
      <c r="B692" s="38"/>
      <c r="C692" s="8"/>
      <c r="D692" s="8"/>
      <c r="E692" s="8"/>
      <c r="F692" s="8"/>
      <c r="G692" s="8"/>
    </row>
    <row r="693" spans="1:7" x14ac:dyDescent="0.2">
      <c r="A693" s="38"/>
      <c r="B693" s="38"/>
      <c r="C693" s="8"/>
      <c r="D693" s="8"/>
      <c r="E693" s="8"/>
      <c r="F693" s="8"/>
      <c r="G693" s="8"/>
    </row>
    <row r="694" spans="1:7" x14ac:dyDescent="0.2">
      <c r="A694" s="38"/>
      <c r="B694" s="38"/>
      <c r="C694" s="8"/>
      <c r="D694" s="8"/>
      <c r="E694" s="8"/>
      <c r="F694" s="8"/>
      <c r="G694" s="8"/>
    </row>
    <row r="695" spans="1:7" x14ac:dyDescent="0.2">
      <c r="A695" s="38"/>
      <c r="B695" s="38"/>
      <c r="C695" s="8"/>
      <c r="D695" s="8"/>
      <c r="E695" s="8"/>
      <c r="F695" s="8"/>
      <c r="G695" s="8"/>
    </row>
    <row r="696" spans="1:7" x14ac:dyDescent="0.2">
      <c r="A696" s="38"/>
      <c r="B696" s="38"/>
      <c r="C696" s="8"/>
      <c r="D696" s="8"/>
      <c r="E696" s="8"/>
      <c r="F696" s="8"/>
      <c r="G696" s="8"/>
    </row>
    <row r="697" spans="1:7" x14ac:dyDescent="0.2">
      <c r="A697" s="38"/>
      <c r="B697" s="38"/>
      <c r="C697" s="8"/>
      <c r="D697" s="8"/>
      <c r="E697" s="8"/>
      <c r="F697" s="8"/>
      <c r="G697" s="8"/>
    </row>
    <row r="698" spans="1:7" x14ac:dyDescent="0.2">
      <c r="A698" s="38"/>
      <c r="B698" s="38"/>
      <c r="C698" s="8"/>
      <c r="D698" s="8"/>
      <c r="E698" s="8"/>
      <c r="F698" s="8"/>
      <c r="G698" s="8"/>
    </row>
    <row r="699" spans="1:7" x14ac:dyDescent="0.2">
      <c r="A699" s="38"/>
      <c r="B699" s="38"/>
      <c r="C699" s="8"/>
      <c r="D699" s="8"/>
      <c r="E699" s="8"/>
      <c r="F699" s="8"/>
      <c r="G699" s="8"/>
    </row>
    <row r="700" spans="1:7" x14ac:dyDescent="0.2">
      <c r="A700" s="38"/>
      <c r="B700" s="38"/>
      <c r="C700" s="8"/>
      <c r="D700" s="8"/>
      <c r="E700" s="8"/>
      <c r="F700" s="8"/>
      <c r="G700" s="8"/>
    </row>
    <row r="701" spans="1:7" x14ac:dyDescent="0.2">
      <c r="A701" s="38"/>
      <c r="B701" s="38"/>
      <c r="C701" s="8"/>
      <c r="D701" s="8"/>
      <c r="E701" s="8"/>
      <c r="F701" s="8"/>
      <c r="G701" s="8"/>
    </row>
    <row r="702" spans="1:7" x14ac:dyDescent="0.2">
      <c r="A702" s="38"/>
      <c r="B702" s="38"/>
      <c r="C702" s="8"/>
      <c r="D702" s="8"/>
      <c r="E702" s="8"/>
      <c r="F702" s="8"/>
      <c r="G702" s="8"/>
    </row>
    <row r="703" spans="1:7" x14ac:dyDescent="0.2">
      <c r="A703" s="38"/>
      <c r="B703" s="38"/>
      <c r="C703" s="8"/>
      <c r="D703" s="8"/>
      <c r="E703" s="8"/>
      <c r="F703" s="8"/>
      <c r="G703" s="8"/>
    </row>
    <row r="704" spans="1:7" x14ac:dyDescent="0.2">
      <c r="A704" s="38"/>
      <c r="B704" s="38"/>
      <c r="C704" s="8"/>
      <c r="D704" s="8"/>
      <c r="E704" s="8"/>
      <c r="F704" s="8"/>
      <c r="G704" s="8"/>
    </row>
    <row r="705" spans="1:7" x14ac:dyDescent="0.2">
      <c r="A705" s="38"/>
      <c r="B705" s="38"/>
      <c r="C705" s="8"/>
      <c r="D705" s="8"/>
      <c r="E705" s="8"/>
      <c r="F705" s="8"/>
      <c r="G705" s="8"/>
    </row>
    <row r="706" spans="1:7" x14ac:dyDescent="0.2">
      <c r="A706" s="38"/>
      <c r="B706" s="38"/>
      <c r="C706" s="8"/>
      <c r="D706" s="8"/>
      <c r="E706" s="8"/>
      <c r="F706" s="8"/>
      <c r="G706" s="8"/>
    </row>
    <row r="707" spans="1:7" x14ac:dyDescent="0.2">
      <c r="A707" s="38"/>
      <c r="B707" s="38"/>
      <c r="C707" s="8"/>
      <c r="D707" s="8"/>
      <c r="E707" s="8"/>
      <c r="F707" s="8"/>
      <c r="G707" s="8"/>
    </row>
    <row r="708" spans="1:7" x14ac:dyDescent="0.2">
      <c r="A708" s="38"/>
      <c r="B708" s="38"/>
      <c r="C708" s="8"/>
      <c r="D708" s="8"/>
      <c r="E708" s="8"/>
      <c r="F708" s="8"/>
      <c r="G708" s="8"/>
    </row>
    <row r="709" spans="1:7" x14ac:dyDescent="0.2">
      <c r="A709" s="38"/>
      <c r="B709" s="38"/>
      <c r="C709" s="8"/>
      <c r="D709" s="8"/>
      <c r="E709" s="8"/>
      <c r="F709" s="8"/>
      <c r="G709" s="8"/>
    </row>
    <row r="710" spans="1:7" x14ac:dyDescent="0.2">
      <c r="A710" s="38"/>
      <c r="B710" s="38"/>
      <c r="C710" s="8"/>
      <c r="D710" s="8"/>
      <c r="E710" s="8"/>
      <c r="F710" s="8"/>
      <c r="G710" s="8"/>
    </row>
    <row r="711" spans="1:7" x14ac:dyDescent="0.2">
      <c r="A711" s="38"/>
      <c r="B711" s="38"/>
      <c r="C711" s="8"/>
      <c r="D711" s="8"/>
      <c r="E711" s="8"/>
      <c r="F711" s="8"/>
      <c r="G711" s="8"/>
    </row>
    <row r="712" spans="1:7" x14ac:dyDescent="0.2">
      <c r="A712" s="38"/>
      <c r="B712" s="38"/>
      <c r="C712" s="8"/>
      <c r="D712" s="8"/>
      <c r="E712" s="8"/>
      <c r="F712" s="8"/>
      <c r="G712" s="8"/>
    </row>
    <row r="713" spans="1:7" x14ac:dyDescent="0.2">
      <c r="A713" s="38"/>
      <c r="B713" s="38"/>
      <c r="C713" s="8"/>
      <c r="D713" s="8"/>
      <c r="E713" s="8"/>
      <c r="F713" s="8"/>
      <c r="G713" s="8"/>
    </row>
    <row r="714" spans="1:7" x14ac:dyDescent="0.2">
      <c r="A714" s="38"/>
      <c r="B714" s="38"/>
      <c r="C714" s="8"/>
      <c r="D714" s="8"/>
      <c r="E714" s="8"/>
      <c r="F714" s="8"/>
      <c r="G714" s="8"/>
    </row>
    <row r="715" spans="1:7" x14ac:dyDescent="0.2">
      <c r="A715" s="38"/>
      <c r="B715" s="38"/>
      <c r="C715" s="8"/>
      <c r="D715" s="8"/>
      <c r="E715" s="8"/>
      <c r="F715" s="8"/>
      <c r="G715" s="8"/>
    </row>
    <row r="716" spans="1:7" x14ac:dyDescent="0.2">
      <c r="A716" s="38"/>
      <c r="B716" s="38"/>
      <c r="C716" s="8"/>
      <c r="D716" s="8"/>
      <c r="E716" s="8"/>
      <c r="F716" s="8"/>
      <c r="G716" s="8"/>
    </row>
    <row r="717" spans="1:7" x14ac:dyDescent="0.2">
      <c r="A717" s="38"/>
      <c r="B717" s="38"/>
      <c r="C717" s="8"/>
      <c r="D717" s="8"/>
      <c r="E717" s="8"/>
      <c r="F717" s="8"/>
      <c r="G717" s="8"/>
    </row>
    <row r="718" spans="1:7" x14ac:dyDescent="0.2">
      <c r="A718" s="38"/>
      <c r="B718" s="38"/>
      <c r="C718" s="8"/>
      <c r="D718" s="8"/>
      <c r="E718" s="8"/>
      <c r="F718" s="8"/>
      <c r="G718" s="8"/>
    </row>
    <row r="719" spans="1:7" x14ac:dyDescent="0.2">
      <c r="A719" s="38"/>
      <c r="B719" s="38"/>
      <c r="C719" s="8"/>
      <c r="D719" s="8"/>
      <c r="E719" s="8"/>
      <c r="F719" s="8"/>
      <c r="G719" s="8"/>
    </row>
    <row r="720" spans="1:7" x14ac:dyDescent="0.2">
      <c r="A720" s="38"/>
      <c r="B720" s="38"/>
      <c r="C720" s="8"/>
      <c r="D720" s="8"/>
      <c r="E720" s="8"/>
      <c r="F720" s="8"/>
      <c r="G720" s="8"/>
    </row>
    <row r="721" spans="1:7" x14ac:dyDescent="0.2">
      <c r="A721" s="38"/>
      <c r="B721" s="38"/>
      <c r="C721" s="8"/>
      <c r="D721" s="8"/>
      <c r="E721" s="8"/>
      <c r="F721" s="8"/>
      <c r="G721" s="8"/>
    </row>
    <row r="722" spans="1:7" x14ac:dyDescent="0.2">
      <c r="A722" s="38"/>
      <c r="B722" s="38"/>
      <c r="C722" s="8"/>
      <c r="D722" s="8"/>
      <c r="E722" s="8"/>
      <c r="F722" s="8"/>
      <c r="G722" s="8"/>
    </row>
    <row r="723" spans="1:7" x14ac:dyDescent="0.2">
      <c r="A723" s="38"/>
      <c r="B723" s="38"/>
      <c r="C723" s="8"/>
      <c r="D723" s="8"/>
      <c r="E723" s="8"/>
      <c r="F723" s="8"/>
      <c r="G723" s="8"/>
    </row>
    <row r="724" spans="1:7" x14ac:dyDescent="0.2">
      <c r="A724" s="38"/>
      <c r="B724" s="38"/>
      <c r="C724" s="8"/>
      <c r="D724" s="8"/>
      <c r="E724" s="8"/>
      <c r="F724" s="8"/>
      <c r="G724" s="8"/>
    </row>
    <row r="725" spans="1:7" x14ac:dyDescent="0.2">
      <c r="A725" s="38"/>
      <c r="B725" s="38"/>
      <c r="C725" s="8"/>
      <c r="D725" s="8"/>
      <c r="E725" s="8"/>
      <c r="F725" s="8"/>
      <c r="G725" s="8"/>
    </row>
    <row r="726" spans="1:7" x14ac:dyDescent="0.2">
      <c r="A726" s="38"/>
      <c r="B726" s="38"/>
      <c r="C726" s="8"/>
      <c r="D726" s="8"/>
      <c r="E726" s="8"/>
      <c r="F726" s="8"/>
      <c r="G726" s="8"/>
    </row>
    <row r="727" spans="1:7" x14ac:dyDescent="0.2">
      <c r="A727" s="38"/>
      <c r="B727" s="38"/>
      <c r="C727" s="8"/>
      <c r="D727" s="8"/>
      <c r="E727" s="8"/>
      <c r="F727" s="8"/>
      <c r="G727" s="8"/>
    </row>
    <row r="728" spans="1:7" x14ac:dyDescent="0.2">
      <c r="A728" s="38"/>
      <c r="B728" s="38"/>
      <c r="C728" s="8"/>
      <c r="D728" s="8"/>
      <c r="E728" s="8"/>
      <c r="F728" s="8"/>
      <c r="G728" s="8"/>
    </row>
    <row r="729" spans="1:7" x14ac:dyDescent="0.2">
      <c r="A729" s="38"/>
      <c r="B729" s="38"/>
      <c r="C729" s="8"/>
      <c r="D729" s="8"/>
      <c r="E729" s="8"/>
      <c r="F729" s="8"/>
      <c r="G729" s="8"/>
    </row>
    <row r="730" spans="1:7" x14ac:dyDescent="0.2">
      <c r="A730" s="38"/>
      <c r="B730" s="38"/>
      <c r="C730" s="8"/>
      <c r="D730" s="8"/>
      <c r="E730" s="8"/>
      <c r="F730" s="8"/>
      <c r="G730" s="8"/>
    </row>
    <row r="731" spans="1:7" x14ac:dyDescent="0.2">
      <c r="A731" s="38"/>
      <c r="B731" s="38"/>
      <c r="C731" s="8"/>
      <c r="D731" s="8"/>
      <c r="E731" s="8"/>
      <c r="F731" s="8"/>
      <c r="G731" s="8"/>
    </row>
    <row r="732" spans="1:7" x14ac:dyDescent="0.2">
      <c r="A732" s="38"/>
      <c r="B732" s="38"/>
      <c r="C732" s="8"/>
      <c r="D732" s="8"/>
      <c r="E732" s="8"/>
      <c r="F732" s="8"/>
      <c r="G732" s="8"/>
    </row>
    <row r="733" spans="1:7" x14ac:dyDescent="0.2">
      <c r="A733" s="38"/>
      <c r="B733" s="38"/>
      <c r="C733" s="8"/>
      <c r="D733" s="8"/>
      <c r="E733" s="8"/>
      <c r="F733" s="8"/>
      <c r="G733" s="8"/>
    </row>
    <row r="734" spans="1:7" x14ac:dyDescent="0.2">
      <c r="A734" s="38"/>
      <c r="B734" s="38"/>
      <c r="C734" s="8"/>
      <c r="D734" s="8"/>
      <c r="E734" s="8"/>
      <c r="F734" s="8"/>
      <c r="G734" s="8"/>
    </row>
    <row r="735" spans="1:7" x14ac:dyDescent="0.2">
      <c r="A735" s="38"/>
      <c r="B735" s="38"/>
      <c r="C735" s="8"/>
      <c r="D735" s="8"/>
      <c r="E735" s="8"/>
      <c r="F735" s="8"/>
      <c r="G735" s="8"/>
    </row>
    <row r="736" spans="1:7" x14ac:dyDescent="0.2">
      <c r="A736" s="38"/>
      <c r="B736" s="38"/>
      <c r="C736" s="8"/>
      <c r="D736" s="8"/>
      <c r="E736" s="8"/>
      <c r="F736" s="8"/>
      <c r="G736" s="8"/>
    </row>
    <row r="737" spans="1:7" x14ac:dyDescent="0.2">
      <c r="A737" s="38"/>
      <c r="B737" s="38"/>
      <c r="C737" s="8"/>
      <c r="D737" s="8"/>
      <c r="E737" s="8"/>
      <c r="F737" s="8"/>
      <c r="G737" s="8"/>
    </row>
    <row r="738" spans="1:7" x14ac:dyDescent="0.2">
      <c r="A738" s="38"/>
      <c r="B738" s="38"/>
      <c r="C738" s="8"/>
      <c r="D738" s="8"/>
      <c r="E738" s="8"/>
      <c r="F738" s="8"/>
      <c r="G738" s="8"/>
    </row>
    <row r="739" spans="1:7" x14ac:dyDescent="0.2">
      <c r="A739" s="38"/>
      <c r="B739" s="38"/>
      <c r="C739" s="8"/>
      <c r="D739" s="8"/>
      <c r="E739" s="8"/>
      <c r="F739" s="8"/>
      <c r="G739" s="8"/>
    </row>
    <row r="740" spans="1:7" x14ac:dyDescent="0.2">
      <c r="A740" s="38"/>
      <c r="B740" s="38"/>
      <c r="C740" s="8"/>
      <c r="D740" s="8"/>
      <c r="E740" s="8"/>
      <c r="F740" s="8"/>
      <c r="G740" s="8"/>
    </row>
    <row r="741" spans="1:7" x14ac:dyDescent="0.2">
      <c r="A741" s="38"/>
      <c r="B741" s="38"/>
      <c r="C741" s="8"/>
      <c r="D741" s="8"/>
      <c r="E741" s="8"/>
      <c r="F741" s="8"/>
      <c r="G741" s="8"/>
    </row>
    <row r="742" spans="1:7" x14ac:dyDescent="0.2">
      <c r="A742" s="38"/>
      <c r="B742" s="38"/>
      <c r="C742" s="8"/>
      <c r="D742" s="8"/>
      <c r="E742" s="8"/>
      <c r="F742" s="8"/>
      <c r="G742" s="8"/>
    </row>
    <row r="743" spans="1:7" x14ac:dyDescent="0.2">
      <c r="A743" s="38"/>
      <c r="B743" s="38"/>
      <c r="C743" s="8"/>
      <c r="D743" s="8"/>
      <c r="E743" s="8"/>
      <c r="F743" s="8"/>
      <c r="G743" s="8"/>
    </row>
    <row r="744" spans="1:7" x14ac:dyDescent="0.2">
      <c r="A744" s="38"/>
      <c r="B744" s="38"/>
      <c r="C744" s="8"/>
      <c r="D744" s="8"/>
      <c r="E744" s="8"/>
      <c r="F744" s="8"/>
      <c r="G744" s="8"/>
    </row>
    <row r="745" spans="1:7" x14ac:dyDescent="0.2">
      <c r="A745" s="38"/>
      <c r="B745" s="38"/>
      <c r="C745" s="8"/>
      <c r="D745" s="8"/>
      <c r="E745" s="8"/>
      <c r="F745" s="8"/>
      <c r="G745" s="8"/>
    </row>
    <row r="746" spans="1:7" x14ac:dyDescent="0.2">
      <c r="A746" s="38"/>
      <c r="B746" s="38"/>
      <c r="C746" s="8"/>
      <c r="D746" s="8"/>
      <c r="E746" s="8"/>
      <c r="F746" s="8"/>
      <c r="G746" s="8"/>
    </row>
    <row r="747" spans="1:7" x14ac:dyDescent="0.2">
      <c r="A747" s="38"/>
      <c r="B747" s="38"/>
      <c r="C747" s="8"/>
      <c r="D747" s="8"/>
      <c r="E747" s="8"/>
      <c r="F747" s="8"/>
      <c r="G747" s="8"/>
    </row>
    <row r="748" spans="1:7" x14ac:dyDescent="0.2">
      <c r="A748" s="38"/>
      <c r="B748" s="38"/>
      <c r="C748" s="8"/>
      <c r="D748" s="8"/>
      <c r="E748" s="8"/>
      <c r="F748" s="8"/>
      <c r="G748" s="8"/>
    </row>
    <row r="749" spans="1:7" x14ac:dyDescent="0.2">
      <c r="A749" s="38"/>
      <c r="B749" s="38"/>
      <c r="C749" s="8"/>
      <c r="D749" s="8"/>
      <c r="E749" s="8"/>
      <c r="F749" s="8"/>
      <c r="G749" s="8"/>
    </row>
    <row r="750" spans="1:7" x14ac:dyDescent="0.2">
      <c r="A750" s="38"/>
      <c r="B750" s="38"/>
      <c r="C750" s="8"/>
      <c r="D750" s="8"/>
      <c r="E750" s="8"/>
      <c r="F750" s="8"/>
      <c r="G750" s="8"/>
    </row>
    <row r="751" spans="1:7" x14ac:dyDescent="0.2">
      <c r="A751" s="38"/>
      <c r="B751" s="38"/>
      <c r="C751" s="8"/>
      <c r="D751" s="8"/>
      <c r="E751" s="8"/>
      <c r="F751" s="8"/>
      <c r="G751" s="8"/>
    </row>
    <row r="752" spans="1:7" x14ac:dyDescent="0.2">
      <c r="A752" s="38"/>
      <c r="B752" s="38"/>
      <c r="C752" s="8"/>
      <c r="D752" s="8"/>
      <c r="E752" s="8"/>
      <c r="F752" s="8"/>
      <c r="G752" s="8"/>
    </row>
    <row r="753" spans="1:7" x14ac:dyDescent="0.2">
      <c r="A753" s="38"/>
      <c r="B753" s="38"/>
      <c r="C753" s="8"/>
      <c r="D753" s="8"/>
      <c r="E753" s="8"/>
      <c r="F753" s="8"/>
      <c r="G753" s="8"/>
    </row>
    <row r="754" spans="1:7" x14ac:dyDescent="0.2">
      <c r="A754" s="38"/>
      <c r="B754" s="38"/>
      <c r="C754" s="8"/>
      <c r="D754" s="8"/>
      <c r="E754" s="8"/>
      <c r="F754" s="8"/>
      <c r="G754" s="8"/>
    </row>
    <row r="755" spans="1:7" x14ac:dyDescent="0.2">
      <c r="A755" s="38"/>
      <c r="B755" s="38"/>
      <c r="C755" s="8"/>
      <c r="D755" s="8"/>
      <c r="E755" s="8"/>
      <c r="F755" s="8"/>
      <c r="G755" s="8"/>
    </row>
    <row r="756" spans="1:7" x14ac:dyDescent="0.2">
      <c r="A756" s="38"/>
      <c r="B756" s="38"/>
      <c r="C756" s="8"/>
      <c r="D756" s="8"/>
      <c r="E756" s="8"/>
      <c r="F756" s="8"/>
      <c r="G756" s="8"/>
    </row>
    <row r="757" spans="1:7" x14ac:dyDescent="0.2">
      <c r="A757" s="38"/>
      <c r="B757" s="38"/>
      <c r="C757" s="8"/>
      <c r="D757" s="8"/>
      <c r="E757" s="8"/>
      <c r="F757" s="8"/>
      <c r="G757" s="8"/>
    </row>
    <row r="758" spans="1:7" x14ac:dyDescent="0.2">
      <c r="A758" s="38"/>
      <c r="B758" s="38"/>
      <c r="C758" s="8"/>
      <c r="D758" s="8"/>
      <c r="E758" s="8"/>
      <c r="F758" s="8"/>
      <c r="G758" s="8"/>
    </row>
    <row r="759" spans="1:7" x14ac:dyDescent="0.2">
      <c r="A759" s="38"/>
      <c r="B759" s="38"/>
      <c r="C759" s="8"/>
      <c r="D759" s="8"/>
      <c r="E759" s="8"/>
      <c r="F759" s="8"/>
      <c r="G759" s="8"/>
    </row>
    <row r="760" spans="1:7" x14ac:dyDescent="0.2">
      <c r="A760" s="38"/>
      <c r="B760" s="38"/>
      <c r="C760" s="8"/>
      <c r="D760" s="8"/>
      <c r="E760" s="8"/>
      <c r="F760" s="8"/>
      <c r="G760" s="8"/>
    </row>
    <row r="761" spans="1:7" x14ac:dyDescent="0.2">
      <c r="A761" s="38"/>
      <c r="B761" s="38"/>
      <c r="C761" s="8"/>
      <c r="D761" s="8"/>
      <c r="E761" s="8"/>
      <c r="F761" s="8"/>
      <c r="G761" s="8"/>
    </row>
    <row r="762" spans="1:7" x14ac:dyDescent="0.2">
      <c r="A762" s="38"/>
      <c r="B762" s="38"/>
      <c r="C762" s="8"/>
      <c r="D762" s="8"/>
      <c r="E762" s="8"/>
      <c r="F762" s="8"/>
      <c r="G762" s="8"/>
    </row>
    <row r="763" spans="1:7" x14ac:dyDescent="0.2">
      <c r="A763" s="38"/>
      <c r="B763" s="38"/>
      <c r="C763" s="8"/>
      <c r="D763" s="8"/>
      <c r="E763" s="8"/>
      <c r="F763" s="8"/>
      <c r="G763" s="8"/>
    </row>
    <row r="764" spans="1:7" x14ac:dyDescent="0.2">
      <c r="A764" s="38"/>
      <c r="B764" s="38"/>
      <c r="C764" s="8"/>
      <c r="D764" s="8"/>
      <c r="E764" s="8"/>
      <c r="F764" s="8"/>
      <c r="G764" s="8"/>
    </row>
    <row r="765" spans="1:7" x14ac:dyDescent="0.2">
      <c r="A765" s="38"/>
      <c r="B765" s="38"/>
      <c r="C765" s="8"/>
      <c r="D765" s="8"/>
      <c r="E765" s="8"/>
      <c r="F765" s="8"/>
      <c r="G765" s="8"/>
    </row>
    <row r="766" spans="1:7" x14ac:dyDescent="0.2">
      <c r="A766" s="38"/>
      <c r="B766" s="38"/>
      <c r="C766" s="8"/>
      <c r="D766" s="8"/>
      <c r="E766" s="8"/>
      <c r="F766" s="8"/>
      <c r="G766" s="8"/>
    </row>
    <row r="767" spans="1:7" x14ac:dyDescent="0.2">
      <c r="A767" s="38"/>
      <c r="B767" s="38"/>
      <c r="C767" s="8"/>
      <c r="D767" s="8"/>
      <c r="E767" s="8"/>
      <c r="F767" s="8"/>
      <c r="G767" s="8"/>
    </row>
    <row r="768" spans="1:7" x14ac:dyDescent="0.2">
      <c r="A768" s="38"/>
      <c r="B768" s="38"/>
      <c r="C768" s="8"/>
      <c r="D768" s="8"/>
      <c r="E768" s="8"/>
      <c r="F768" s="8"/>
      <c r="G768" s="8"/>
    </row>
    <row r="769" spans="1:7" x14ac:dyDescent="0.2">
      <c r="A769" s="38"/>
      <c r="B769" s="38"/>
      <c r="C769" s="8"/>
      <c r="D769" s="8"/>
      <c r="E769" s="8"/>
      <c r="F769" s="8"/>
      <c r="G769" s="8"/>
    </row>
    <row r="770" spans="1:7" x14ac:dyDescent="0.2">
      <c r="A770" s="38"/>
      <c r="B770" s="38"/>
      <c r="C770" s="8"/>
      <c r="D770" s="8"/>
      <c r="E770" s="8"/>
      <c r="F770" s="8"/>
      <c r="G770" s="8"/>
    </row>
    <row r="771" spans="1:7" x14ac:dyDescent="0.2">
      <c r="A771" s="38"/>
      <c r="B771" s="38"/>
      <c r="C771" s="8"/>
      <c r="D771" s="8"/>
      <c r="E771" s="8"/>
      <c r="F771" s="8"/>
      <c r="G771" s="8"/>
    </row>
    <row r="772" spans="1:7" x14ac:dyDescent="0.2">
      <c r="A772" s="38"/>
      <c r="B772" s="38"/>
      <c r="C772" s="8"/>
      <c r="D772" s="8"/>
      <c r="E772" s="8"/>
      <c r="F772" s="8"/>
      <c r="G772" s="8"/>
    </row>
    <row r="773" spans="1:7" x14ac:dyDescent="0.2">
      <c r="A773" s="38"/>
      <c r="B773" s="38"/>
      <c r="C773" s="8"/>
      <c r="D773" s="8"/>
      <c r="E773" s="8"/>
      <c r="F773" s="8"/>
      <c r="G773" s="8"/>
    </row>
    <row r="774" spans="1:7" x14ac:dyDescent="0.2">
      <c r="A774" s="38"/>
      <c r="B774" s="38"/>
      <c r="C774" s="8"/>
      <c r="D774" s="8"/>
      <c r="E774" s="8"/>
      <c r="F774" s="8"/>
      <c r="G774" s="8"/>
    </row>
    <row r="775" spans="1:7" x14ac:dyDescent="0.2">
      <c r="A775" s="38"/>
      <c r="B775" s="38"/>
      <c r="C775" s="8"/>
      <c r="D775" s="8"/>
      <c r="E775" s="8"/>
      <c r="F775" s="8"/>
      <c r="G775" s="8"/>
    </row>
    <row r="776" spans="1:7" x14ac:dyDescent="0.2">
      <c r="A776" s="38"/>
      <c r="B776" s="38"/>
      <c r="C776" s="8"/>
      <c r="D776" s="8"/>
      <c r="E776" s="8"/>
      <c r="F776" s="8"/>
      <c r="G776" s="8"/>
    </row>
    <row r="777" spans="1:7" x14ac:dyDescent="0.2">
      <c r="A777" s="38"/>
      <c r="B777" s="38"/>
      <c r="C777" s="8"/>
      <c r="D777" s="8"/>
      <c r="E777" s="8"/>
      <c r="F777" s="8"/>
      <c r="G777" s="8"/>
    </row>
    <row r="778" spans="1:7" x14ac:dyDescent="0.2">
      <c r="A778" s="38"/>
      <c r="B778" s="38"/>
      <c r="C778" s="8"/>
      <c r="D778" s="8"/>
      <c r="E778" s="8"/>
      <c r="F778" s="8"/>
      <c r="G778" s="8"/>
    </row>
    <row r="779" spans="1:7" x14ac:dyDescent="0.2">
      <c r="A779" s="38"/>
      <c r="B779" s="38"/>
      <c r="C779" s="8"/>
      <c r="D779" s="8"/>
      <c r="E779" s="8"/>
      <c r="F779" s="8"/>
      <c r="G779" s="8"/>
    </row>
    <row r="780" spans="1:7" x14ac:dyDescent="0.2">
      <c r="A780" s="38"/>
      <c r="B780" s="38"/>
      <c r="C780" s="8"/>
      <c r="D780" s="8"/>
      <c r="E780" s="8"/>
      <c r="F780" s="8"/>
      <c r="G780" s="8"/>
    </row>
    <row r="781" spans="1:7" x14ac:dyDescent="0.2">
      <c r="A781" s="38"/>
      <c r="B781" s="38"/>
      <c r="C781" s="8"/>
      <c r="D781" s="8"/>
      <c r="E781" s="8"/>
      <c r="F781" s="8"/>
      <c r="G781" s="8"/>
    </row>
    <row r="782" spans="1:7" x14ac:dyDescent="0.2">
      <c r="A782" s="38"/>
      <c r="B782" s="38"/>
      <c r="C782" s="8"/>
      <c r="D782" s="8"/>
      <c r="E782" s="8"/>
      <c r="F782" s="8"/>
      <c r="G782" s="8"/>
    </row>
    <row r="783" spans="1:7" x14ac:dyDescent="0.2">
      <c r="A783" s="38"/>
      <c r="B783" s="38"/>
      <c r="C783" s="8"/>
      <c r="D783" s="8"/>
      <c r="E783" s="8"/>
      <c r="F783" s="8"/>
      <c r="G783" s="8"/>
    </row>
    <row r="784" spans="1:7" x14ac:dyDescent="0.2">
      <c r="A784" s="38"/>
      <c r="B784" s="38"/>
      <c r="C784" s="8"/>
      <c r="D784" s="8"/>
      <c r="E784" s="8"/>
      <c r="F784" s="8"/>
      <c r="G784" s="8"/>
    </row>
    <row r="785" spans="1:7" x14ac:dyDescent="0.2">
      <c r="A785" s="38"/>
      <c r="B785" s="38"/>
      <c r="C785" s="8"/>
      <c r="D785" s="8"/>
      <c r="E785" s="8"/>
      <c r="F785" s="8"/>
      <c r="G785" s="8"/>
    </row>
    <row r="786" spans="1:7" x14ac:dyDescent="0.2">
      <c r="A786" s="38"/>
      <c r="B786" s="38"/>
      <c r="C786" s="8"/>
      <c r="D786" s="8"/>
      <c r="E786" s="8"/>
      <c r="F786" s="8"/>
      <c r="G786" s="8"/>
    </row>
    <row r="787" spans="1:7" x14ac:dyDescent="0.2">
      <c r="A787" s="38"/>
      <c r="B787" s="38"/>
      <c r="C787" s="8"/>
      <c r="D787" s="8"/>
      <c r="E787" s="8"/>
      <c r="F787" s="8"/>
      <c r="G787" s="8"/>
    </row>
    <row r="788" spans="1:7" x14ac:dyDescent="0.2">
      <c r="A788" s="38"/>
      <c r="B788" s="38"/>
      <c r="C788" s="8"/>
      <c r="D788" s="8"/>
      <c r="E788" s="8"/>
      <c r="F788" s="8"/>
      <c r="G788" s="8"/>
    </row>
    <row r="789" spans="1:7" x14ac:dyDescent="0.2">
      <c r="A789" s="38"/>
      <c r="B789" s="38"/>
      <c r="C789" s="8"/>
      <c r="D789" s="8"/>
      <c r="E789" s="8"/>
      <c r="F789" s="8"/>
      <c r="G789" s="8"/>
    </row>
    <row r="790" spans="1:7" x14ac:dyDescent="0.2">
      <c r="A790" s="38"/>
      <c r="B790" s="38"/>
      <c r="C790" s="8"/>
      <c r="D790" s="8"/>
      <c r="E790" s="8"/>
      <c r="F790" s="8"/>
      <c r="G790" s="8"/>
    </row>
    <row r="791" spans="1:7" x14ac:dyDescent="0.2">
      <c r="A791" s="38"/>
      <c r="B791" s="38"/>
      <c r="C791" s="8"/>
      <c r="D791" s="8"/>
      <c r="E791" s="8"/>
      <c r="F791" s="8"/>
      <c r="G791" s="8"/>
    </row>
    <row r="792" spans="1:7" x14ac:dyDescent="0.2">
      <c r="A792" s="38"/>
      <c r="B792" s="38"/>
      <c r="C792" s="8"/>
      <c r="D792" s="8"/>
      <c r="E792" s="8"/>
      <c r="F792" s="8"/>
      <c r="G792" s="8"/>
    </row>
    <row r="793" spans="1:7" x14ac:dyDescent="0.2">
      <c r="A793" s="38"/>
      <c r="B793" s="38"/>
      <c r="C793" s="8"/>
      <c r="D793" s="8"/>
      <c r="E793" s="8"/>
      <c r="F793" s="8"/>
      <c r="G793" s="8"/>
    </row>
    <row r="794" spans="1:7" x14ac:dyDescent="0.2">
      <c r="A794" s="38"/>
      <c r="B794" s="38"/>
      <c r="C794" s="8"/>
      <c r="D794" s="8"/>
      <c r="E794" s="8"/>
      <c r="F794" s="8"/>
      <c r="G794" s="8"/>
    </row>
    <row r="795" spans="1:7" x14ac:dyDescent="0.2">
      <c r="A795" s="38"/>
      <c r="B795" s="38"/>
      <c r="C795" s="8"/>
      <c r="D795" s="8"/>
      <c r="E795" s="8"/>
      <c r="F795" s="8"/>
      <c r="G795" s="8"/>
    </row>
    <row r="796" spans="1:7" x14ac:dyDescent="0.2">
      <c r="A796" s="38"/>
      <c r="B796" s="38"/>
      <c r="C796" s="8"/>
      <c r="D796" s="8"/>
      <c r="E796" s="8"/>
      <c r="F796" s="8"/>
      <c r="G796" s="8"/>
    </row>
    <row r="797" spans="1:7" x14ac:dyDescent="0.2">
      <c r="A797" s="38"/>
      <c r="B797" s="38"/>
      <c r="C797" s="8"/>
      <c r="D797" s="8"/>
      <c r="E797" s="8"/>
      <c r="F797" s="8"/>
      <c r="G797" s="8"/>
    </row>
    <row r="798" spans="1:7" x14ac:dyDescent="0.2">
      <c r="A798" s="38"/>
      <c r="B798" s="38"/>
      <c r="C798" s="8"/>
      <c r="D798" s="8"/>
      <c r="E798" s="8"/>
      <c r="F798" s="8"/>
      <c r="G798" s="8"/>
    </row>
    <row r="799" spans="1:7" x14ac:dyDescent="0.2">
      <c r="A799" s="38"/>
      <c r="B799" s="38"/>
      <c r="C799" s="8"/>
      <c r="D799" s="8"/>
      <c r="E799" s="8"/>
      <c r="F799" s="8"/>
      <c r="G799" s="8"/>
    </row>
    <row r="800" spans="1:7" x14ac:dyDescent="0.2">
      <c r="A800" s="38"/>
      <c r="B800" s="38"/>
      <c r="C800" s="8"/>
      <c r="D800" s="8"/>
      <c r="E800" s="8"/>
      <c r="F800" s="8"/>
      <c r="G800" s="8"/>
    </row>
    <row r="801" spans="1:7" x14ac:dyDescent="0.2">
      <c r="A801" s="38"/>
      <c r="B801" s="38"/>
      <c r="C801" s="8"/>
      <c r="D801" s="8"/>
      <c r="E801" s="8"/>
      <c r="F801" s="8"/>
      <c r="G801" s="8"/>
    </row>
    <row r="802" spans="1:7" x14ac:dyDescent="0.2">
      <c r="A802" s="38"/>
      <c r="B802" s="38"/>
      <c r="C802" s="8"/>
      <c r="D802" s="8"/>
      <c r="E802" s="8"/>
      <c r="F802" s="8"/>
      <c r="G802" s="8"/>
    </row>
    <row r="803" spans="1:7" x14ac:dyDescent="0.2">
      <c r="A803" s="38"/>
      <c r="B803" s="38"/>
      <c r="C803" s="8"/>
      <c r="D803" s="8"/>
      <c r="E803" s="8"/>
      <c r="F803" s="8"/>
      <c r="G803" s="8"/>
    </row>
    <row r="804" spans="1:7" x14ac:dyDescent="0.2">
      <c r="A804" s="38"/>
      <c r="B804" s="38"/>
      <c r="C804" s="8"/>
      <c r="D804" s="8"/>
      <c r="E804" s="8"/>
      <c r="F804" s="8"/>
      <c r="G804" s="8"/>
    </row>
    <row r="805" spans="1:7" x14ac:dyDescent="0.2">
      <c r="A805" s="38"/>
      <c r="B805" s="38"/>
      <c r="C805" s="8"/>
      <c r="D805" s="8"/>
      <c r="E805" s="8"/>
      <c r="F805" s="8"/>
      <c r="G805" s="8"/>
    </row>
    <row r="806" spans="1:7" x14ac:dyDescent="0.2">
      <c r="A806" s="38"/>
      <c r="B806" s="38"/>
      <c r="C806" s="8"/>
      <c r="D806" s="8"/>
      <c r="E806" s="8"/>
      <c r="F806" s="8"/>
      <c r="G806" s="8"/>
    </row>
    <row r="807" spans="1:7" x14ac:dyDescent="0.2">
      <c r="A807" s="38"/>
      <c r="B807" s="38"/>
      <c r="C807" s="8"/>
      <c r="D807" s="8"/>
      <c r="E807" s="8"/>
      <c r="F807" s="8"/>
      <c r="G807" s="8"/>
    </row>
    <row r="808" spans="1:7" x14ac:dyDescent="0.2">
      <c r="A808" s="38"/>
      <c r="B808" s="38"/>
      <c r="C808" s="8"/>
      <c r="D808" s="8"/>
      <c r="E808" s="8"/>
      <c r="F808" s="8"/>
    </row>
    <row r="809" spans="1:7" x14ac:dyDescent="0.2">
      <c r="A809" s="38"/>
      <c r="B809" s="38"/>
      <c r="C809" s="8"/>
      <c r="D809" s="8"/>
      <c r="E809" s="8"/>
      <c r="F809" s="8"/>
    </row>
    <row r="810" spans="1:7" x14ac:dyDescent="0.2">
      <c r="A810" s="38"/>
      <c r="B810" s="38"/>
      <c r="C810" s="8"/>
      <c r="D810" s="8"/>
      <c r="E810" s="8"/>
      <c r="F810" s="8"/>
    </row>
    <row r="811" spans="1:7" x14ac:dyDescent="0.2">
      <c r="A811" s="38"/>
      <c r="B811" s="38"/>
      <c r="C811" s="8"/>
      <c r="D811" s="8"/>
      <c r="E811" s="8"/>
      <c r="F811" s="8"/>
    </row>
    <row r="812" spans="1:7" x14ac:dyDescent="0.2">
      <c r="A812" s="38"/>
      <c r="B812" s="38"/>
      <c r="C812" s="8"/>
      <c r="D812" s="8"/>
      <c r="E812" s="8"/>
      <c r="F812" s="8"/>
    </row>
    <row r="813" spans="1:7" x14ac:dyDescent="0.2">
      <c r="A813" s="38"/>
      <c r="B813" s="38"/>
      <c r="C813" s="8"/>
      <c r="D813" s="8"/>
      <c r="E813" s="8"/>
      <c r="F813" s="8"/>
    </row>
    <row r="814" spans="1:7" x14ac:dyDescent="0.2">
      <c r="A814" s="38"/>
      <c r="B814" s="38"/>
      <c r="C814" s="8"/>
      <c r="D814" s="8"/>
      <c r="E814" s="8"/>
      <c r="F814" s="8"/>
    </row>
    <row r="815" spans="1:7" x14ac:dyDescent="0.2">
      <c r="A815" s="38"/>
      <c r="B815" s="38"/>
      <c r="C815" s="8"/>
      <c r="D815" s="8"/>
      <c r="E815" s="8"/>
      <c r="F815" s="8"/>
    </row>
    <row r="816" spans="1:7" x14ac:dyDescent="0.2">
      <c r="A816" s="38"/>
      <c r="B816" s="38"/>
      <c r="C816" s="8"/>
      <c r="D816" s="8"/>
      <c r="E816" s="8"/>
      <c r="F816" s="8"/>
    </row>
    <row r="817" spans="1:6" x14ac:dyDescent="0.2">
      <c r="A817" s="38"/>
      <c r="B817" s="38"/>
      <c r="C817" s="8"/>
      <c r="D817" s="8"/>
      <c r="E817" s="8"/>
      <c r="F817" s="8"/>
    </row>
    <row r="818" spans="1:6" x14ac:dyDescent="0.2">
      <c r="A818" s="38"/>
      <c r="B818" s="38"/>
      <c r="C818" s="8"/>
      <c r="D818" s="8"/>
      <c r="E818" s="8"/>
      <c r="F818" s="8"/>
    </row>
    <row r="819" spans="1:6" x14ac:dyDescent="0.2">
      <c r="A819" s="38"/>
      <c r="B819" s="38"/>
      <c r="C819" s="8"/>
      <c r="D819" s="8"/>
      <c r="E819" s="8"/>
      <c r="F819" s="8"/>
    </row>
    <row r="820" spans="1:6" x14ac:dyDescent="0.2">
      <c r="A820" s="38"/>
      <c r="B820" s="38"/>
      <c r="C820" s="8"/>
      <c r="D820" s="8"/>
      <c r="E820" s="8"/>
      <c r="F820" s="8"/>
    </row>
    <row r="821" spans="1:6" x14ac:dyDescent="0.2">
      <c r="A821" s="38"/>
      <c r="B821" s="38"/>
      <c r="C821" s="8"/>
      <c r="D821" s="8"/>
      <c r="E821" s="8"/>
      <c r="F821" s="8"/>
    </row>
    <row r="822" spans="1:6" x14ac:dyDescent="0.2">
      <c r="A822" s="38"/>
      <c r="B822" s="38"/>
      <c r="C822" s="8"/>
      <c r="D822" s="8"/>
      <c r="E822" s="8"/>
      <c r="F822" s="8"/>
    </row>
    <row r="823" spans="1:6" x14ac:dyDescent="0.2">
      <c r="A823" s="38"/>
      <c r="B823" s="38"/>
      <c r="C823" s="8"/>
      <c r="D823" s="8"/>
      <c r="E823" s="8"/>
      <c r="F823" s="8"/>
    </row>
    <row r="824" spans="1:6" x14ac:dyDescent="0.2">
      <c r="A824" s="38"/>
      <c r="B824" s="38"/>
      <c r="C824" s="8"/>
      <c r="D824" s="8"/>
      <c r="E824" s="8"/>
      <c r="F824" s="8"/>
    </row>
    <row r="825" spans="1:6" x14ac:dyDescent="0.2">
      <c r="A825" s="38"/>
      <c r="B825" s="38"/>
      <c r="C825" s="8"/>
      <c r="D825" s="8"/>
      <c r="E825" s="8"/>
      <c r="F825" s="8"/>
    </row>
    <row r="826" spans="1:6" x14ac:dyDescent="0.2">
      <c r="A826" s="38"/>
      <c r="B826" s="38"/>
      <c r="C826" s="8"/>
      <c r="D826" s="8"/>
      <c r="E826" s="8"/>
      <c r="F826" s="8"/>
    </row>
    <row r="827" spans="1:6" x14ac:dyDescent="0.2">
      <c r="A827" s="38"/>
      <c r="B827" s="38"/>
      <c r="C827" s="8"/>
      <c r="D827" s="8"/>
      <c r="E827" s="8"/>
      <c r="F827" s="8"/>
    </row>
    <row r="828" spans="1:6" x14ac:dyDescent="0.2">
      <c r="A828" s="38"/>
      <c r="B828" s="38"/>
      <c r="C828" s="8"/>
      <c r="D828" s="8"/>
      <c r="E828" s="8"/>
      <c r="F828" s="8"/>
    </row>
    <row r="829" spans="1:6" x14ac:dyDescent="0.2">
      <c r="A829" s="38"/>
      <c r="B829" s="38"/>
      <c r="C829" s="8"/>
      <c r="D829" s="8"/>
      <c r="E829" s="8"/>
      <c r="F829" s="8"/>
    </row>
    <row r="830" spans="1:6" x14ac:dyDescent="0.2">
      <c r="A830" s="38"/>
      <c r="B830" s="38"/>
      <c r="C830" s="8"/>
      <c r="D830" s="8"/>
      <c r="E830" s="8"/>
      <c r="F830" s="8"/>
    </row>
    <row r="831" spans="1:6" x14ac:dyDescent="0.2">
      <c r="A831" s="38"/>
      <c r="B831" s="38"/>
      <c r="C831" s="8"/>
      <c r="D831" s="8"/>
      <c r="E831" s="8"/>
      <c r="F831" s="8"/>
    </row>
    <row r="832" spans="1:6" x14ac:dyDescent="0.2">
      <c r="A832" s="38"/>
      <c r="B832" s="38"/>
      <c r="C832" s="8"/>
      <c r="D832" s="8"/>
      <c r="E832" s="8"/>
      <c r="F832" s="8"/>
    </row>
    <row r="833" spans="1:6" x14ac:dyDescent="0.2">
      <c r="A833" s="38"/>
      <c r="B833" s="38"/>
      <c r="C833" s="8"/>
      <c r="D833" s="8"/>
      <c r="E833" s="8"/>
      <c r="F833" s="8"/>
    </row>
    <row r="834" spans="1:6" x14ac:dyDescent="0.2">
      <c r="A834" s="38"/>
      <c r="B834" s="38"/>
      <c r="C834" s="8"/>
      <c r="D834" s="8"/>
      <c r="E834" s="8"/>
      <c r="F834" s="8"/>
    </row>
    <row r="835" spans="1:6" x14ac:dyDescent="0.2">
      <c r="A835" s="38"/>
      <c r="B835" s="38"/>
      <c r="C835" s="8"/>
      <c r="D835" s="8"/>
      <c r="E835" s="8"/>
      <c r="F835" s="8"/>
    </row>
    <row r="836" spans="1:6" x14ac:dyDescent="0.2">
      <c r="A836" s="38"/>
      <c r="B836" s="38"/>
      <c r="C836" s="8"/>
      <c r="D836" s="8"/>
      <c r="E836" s="8"/>
      <c r="F836" s="8"/>
    </row>
    <row r="837" spans="1:6" x14ac:dyDescent="0.2">
      <c r="A837" s="38"/>
      <c r="B837" s="38"/>
      <c r="C837" s="8"/>
      <c r="D837" s="8"/>
      <c r="E837" s="8"/>
      <c r="F837" s="8"/>
    </row>
    <row r="838" spans="1:6" x14ac:dyDescent="0.2">
      <c r="A838" s="38"/>
      <c r="B838" s="38"/>
      <c r="C838" s="8"/>
      <c r="D838" s="8"/>
      <c r="E838" s="8"/>
      <c r="F838" s="8"/>
    </row>
    <row r="839" spans="1:6" x14ac:dyDescent="0.2">
      <c r="A839" s="38"/>
      <c r="B839" s="38"/>
      <c r="C839" s="8"/>
      <c r="D839" s="8"/>
      <c r="E839" s="8"/>
      <c r="F839" s="8"/>
    </row>
    <row r="840" spans="1:6" x14ac:dyDescent="0.2">
      <c r="A840" s="38"/>
      <c r="B840" s="38"/>
      <c r="C840" s="8"/>
      <c r="D840" s="8"/>
      <c r="E840" s="8"/>
      <c r="F840" s="8"/>
    </row>
    <row r="841" spans="1:6" x14ac:dyDescent="0.2">
      <c r="A841" s="38"/>
      <c r="B841" s="38"/>
      <c r="C841" s="8"/>
      <c r="D841" s="8"/>
      <c r="E841" s="8"/>
      <c r="F841" s="8"/>
    </row>
    <row r="842" spans="1:6" x14ac:dyDescent="0.2">
      <c r="A842" s="38"/>
      <c r="B842" s="38"/>
      <c r="C842" s="8"/>
      <c r="D842" s="8"/>
      <c r="E842" s="8"/>
      <c r="F842" s="8"/>
    </row>
    <row r="843" spans="1:6" x14ac:dyDescent="0.2">
      <c r="A843" s="38"/>
      <c r="B843" s="38"/>
      <c r="C843" s="8"/>
      <c r="D843" s="8"/>
      <c r="E843" s="8"/>
      <c r="F843" s="8"/>
    </row>
    <row r="844" spans="1:6" x14ac:dyDescent="0.2">
      <c r="A844" s="38"/>
      <c r="B844" s="38"/>
      <c r="C844" s="8"/>
      <c r="D844" s="8"/>
      <c r="E844" s="8"/>
      <c r="F844" s="8"/>
    </row>
    <row r="845" spans="1:6" x14ac:dyDescent="0.2">
      <c r="A845" s="38"/>
      <c r="B845" s="38"/>
      <c r="C845" s="8"/>
      <c r="D845" s="8"/>
      <c r="E845" s="8"/>
      <c r="F845" s="8"/>
    </row>
    <row r="846" spans="1:6" x14ac:dyDescent="0.2">
      <c r="A846" s="38"/>
      <c r="B846" s="38"/>
      <c r="C846" s="8"/>
      <c r="D846" s="8"/>
      <c r="E846" s="8"/>
      <c r="F846" s="8"/>
    </row>
    <row r="847" spans="1:6" x14ac:dyDescent="0.2">
      <c r="A847" s="38"/>
      <c r="B847" s="38"/>
      <c r="C847" s="8"/>
      <c r="D847" s="8"/>
      <c r="E847" s="8"/>
      <c r="F847" s="8"/>
    </row>
    <row r="848" spans="1:6" x14ac:dyDescent="0.2">
      <c r="A848" s="38"/>
      <c r="B848" s="38"/>
      <c r="C848" s="8"/>
      <c r="D848" s="8"/>
      <c r="E848" s="8"/>
      <c r="F848" s="8"/>
    </row>
    <row r="849" spans="1:6" x14ac:dyDescent="0.2">
      <c r="A849" s="38"/>
      <c r="B849" s="38"/>
      <c r="C849" s="8"/>
      <c r="D849" s="8"/>
      <c r="E849" s="8"/>
      <c r="F849" s="8"/>
    </row>
    <row r="850" spans="1:6" x14ac:dyDescent="0.2">
      <c r="A850" s="38"/>
      <c r="B850" s="38"/>
      <c r="C850" s="8"/>
      <c r="D850" s="8"/>
      <c r="E850" s="8"/>
      <c r="F850" s="8"/>
    </row>
    <row r="851" spans="1:6" x14ac:dyDescent="0.2">
      <c r="A851" s="38"/>
      <c r="B851" s="38"/>
      <c r="C851" s="8"/>
      <c r="D851" s="8"/>
      <c r="E851" s="8"/>
      <c r="F851" s="8"/>
    </row>
    <row r="852" spans="1:6" x14ac:dyDescent="0.2">
      <c r="A852" s="38"/>
      <c r="B852" s="38"/>
      <c r="C852" s="8"/>
      <c r="D852" s="8"/>
      <c r="E852" s="8"/>
      <c r="F852" s="8"/>
    </row>
    <row r="853" spans="1:6" x14ac:dyDescent="0.2">
      <c r="A853" s="38"/>
      <c r="B853" s="38"/>
      <c r="C853" s="8"/>
      <c r="D853" s="8"/>
      <c r="E853" s="8"/>
      <c r="F853" s="8"/>
    </row>
    <row r="854" spans="1:6" x14ac:dyDescent="0.2">
      <c r="A854" s="38"/>
      <c r="B854" s="38"/>
      <c r="C854" s="8"/>
      <c r="D854" s="8"/>
      <c r="E854" s="8"/>
      <c r="F854" s="8"/>
    </row>
    <row r="855" spans="1:6" x14ac:dyDescent="0.2">
      <c r="A855" s="38"/>
      <c r="B855" s="38"/>
      <c r="C855" s="8"/>
      <c r="D855" s="8"/>
      <c r="E855" s="8"/>
      <c r="F855" s="8"/>
    </row>
    <row r="856" spans="1:6" x14ac:dyDescent="0.2">
      <c r="A856" s="38"/>
      <c r="B856" s="38"/>
      <c r="C856" s="8"/>
      <c r="D856" s="8"/>
      <c r="E856" s="8"/>
      <c r="F856" s="8"/>
    </row>
    <row r="857" spans="1:6" x14ac:dyDescent="0.2">
      <c r="A857" s="38"/>
      <c r="B857" s="38"/>
      <c r="C857" s="8"/>
      <c r="D857" s="8"/>
      <c r="E857" s="8"/>
      <c r="F857" s="8"/>
    </row>
    <row r="858" spans="1:6" x14ac:dyDescent="0.2">
      <c r="A858" s="38"/>
      <c r="B858" s="38"/>
      <c r="C858" s="8"/>
      <c r="D858" s="8"/>
      <c r="E858" s="8"/>
      <c r="F858" s="8"/>
    </row>
    <row r="859" spans="1:6" x14ac:dyDescent="0.2">
      <c r="A859" s="38"/>
      <c r="B859" s="38"/>
      <c r="C859" s="8"/>
      <c r="D859" s="8"/>
      <c r="E859" s="8"/>
      <c r="F859" s="8"/>
    </row>
    <row r="860" spans="1:6" x14ac:dyDescent="0.2">
      <c r="A860" s="38"/>
      <c r="B860" s="38"/>
      <c r="C860" s="8"/>
      <c r="D860" s="8"/>
      <c r="E860" s="8"/>
      <c r="F860" s="8"/>
    </row>
    <row r="861" spans="1:6" x14ac:dyDescent="0.2">
      <c r="A861" s="38"/>
      <c r="B861" s="38"/>
      <c r="C861" s="8"/>
      <c r="D861" s="8"/>
      <c r="E861" s="8"/>
      <c r="F861" s="8"/>
    </row>
    <row r="862" spans="1:6" x14ac:dyDescent="0.2">
      <c r="A862" s="38"/>
      <c r="B862" s="38"/>
      <c r="C862" s="8"/>
      <c r="D862" s="8"/>
      <c r="E862" s="8"/>
      <c r="F862" s="8"/>
    </row>
    <row r="863" spans="1:6" x14ac:dyDescent="0.2">
      <c r="A863" s="38"/>
      <c r="B863" s="38"/>
      <c r="C863" s="8"/>
      <c r="D863" s="8"/>
      <c r="E863" s="8"/>
      <c r="F863" s="8"/>
    </row>
    <row r="864" spans="1:6" x14ac:dyDescent="0.2">
      <c r="A864" s="38"/>
      <c r="B864" s="38"/>
      <c r="C864" s="8"/>
      <c r="D864" s="8"/>
      <c r="E864" s="8"/>
      <c r="F864" s="8"/>
    </row>
    <row r="865" spans="1:6" x14ac:dyDescent="0.2">
      <c r="A865" s="38"/>
      <c r="B865" s="38"/>
      <c r="C865" s="8"/>
      <c r="D865" s="8"/>
      <c r="E865" s="8"/>
      <c r="F865" s="8"/>
    </row>
    <row r="866" spans="1:6" x14ac:dyDescent="0.2">
      <c r="A866" s="38"/>
      <c r="B866" s="38"/>
      <c r="C866" s="8"/>
      <c r="D866" s="8"/>
      <c r="E866" s="8"/>
      <c r="F866" s="8"/>
    </row>
    <row r="867" spans="1:6" x14ac:dyDescent="0.2">
      <c r="A867" s="38"/>
      <c r="B867" s="38"/>
      <c r="C867" s="8"/>
      <c r="D867" s="8"/>
      <c r="E867" s="8"/>
      <c r="F867" s="8"/>
    </row>
    <row r="868" spans="1:6" x14ac:dyDescent="0.2">
      <c r="A868" s="38"/>
      <c r="B868" s="38"/>
      <c r="C868" s="8"/>
      <c r="D868" s="8"/>
      <c r="E868" s="8"/>
      <c r="F868" s="8"/>
    </row>
    <row r="869" spans="1:6" x14ac:dyDescent="0.2">
      <c r="A869" s="38"/>
      <c r="B869" s="38"/>
      <c r="C869" s="8"/>
      <c r="D869" s="8"/>
      <c r="E869" s="8"/>
      <c r="F869" s="8"/>
    </row>
    <row r="870" spans="1:6" x14ac:dyDescent="0.2">
      <c r="A870" s="38"/>
      <c r="B870" s="38"/>
      <c r="C870" s="8"/>
      <c r="D870" s="8"/>
      <c r="E870" s="8"/>
      <c r="F870" s="8"/>
    </row>
    <row r="871" spans="1:6" x14ac:dyDescent="0.2">
      <c r="A871" s="38"/>
      <c r="B871" s="38"/>
      <c r="C871" s="8"/>
      <c r="D871" s="8"/>
      <c r="E871" s="8"/>
      <c r="F871" s="8"/>
    </row>
    <row r="872" spans="1:6" x14ac:dyDescent="0.2">
      <c r="A872" s="38"/>
      <c r="B872" s="38"/>
      <c r="C872" s="8"/>
      <c r="D872" s="8"/>
      <c r="E872" s="8"/>
      <c r="F872" s="8"/>
    </row>
    <row r="873" spans="1:6" x14ac:dyDescent="0.2">
      <c r="A873" s="38"/>
      <c r="B873" s="38"/>
      <c r="C873" s="8"/>
      <c r="D873" s="8"/>
      <c r="E873" s="8"/>
      <c r="F873" s="8"/>
    </row>
    <row r="874" spans="1:6" x14ac:dyDescent="0.2">
      <c r="A874" s="38"/>
      <c r="B874" s="38"/>
      <c r="C874" s="8"/>
      <c r="D874" s="8"/>
      <c r="E874" s="8"/>
      <c r="F874" s="8"/>
    </row>
    <row r="875" spans="1:6" x14ac:dyDescent="0.2">
      <c r="A875" s="38"/>
      <c r="B875" s="38"/>
      <c r="C875" s="8"/>
      <c r="D875" s="8"/>
      <c r="E875" s="8"/>
      <c r="F875" s="8"/>
    </row>
    <row r="876" spans="1:6" x14ac:dyDescent="0.2">
      <c r="A876" s="38"/>
      <c r="B876" s="38"/>
      <c r="C876" s="8"/>
      <c r="D876" s="8"/>
      <c r="E876" s="8"/>
      <c r="F876" s="8"/>
    </row>
    <row r="877" spans="1:6" x14ac:dyDescent="0.2">
      <c r="A877" s="38"/>
      <c r="B877" s="38"/>
      <c r="C877" s="8"/>
      <c r="D877" s="8"/>
      <c r="E877" s="8"/>
      <c r="F877" s="8"/>
    </row>
    <row r="878" spans="1:6" x14ac:dyDescent="0.2">
      <c r="A878" s="38"/>
      <c r="B878" s="38"/>
      <c r="C878" s="8"/>
      <c r="D878" s="8"/>
      <c r="E878" s="8"/>
      <c r="F878" s="8"/>
    </row>
    <row r="879" spans="1:6" x14ac:dyDescent="0.2">
      <c r="A879" s="38"/>
      <c r="B879" s="38"/>
      <c r="C879" s="8"/>
      <c r="D879" s="8"/>
      <c r="E879" s="8"/>
      <c r="F879" s="8"/>
    </row>
    <row r="880" spans="1:6" x14ac:dyDescent="0.2">
      <c r="A880" s="38"/>
      <c r="B880" s="38"/>
      <c r="C880" s="8"/>
      <c r="D880" s="8"/>
      <c r="E880" s="8"/>
      <c r="F880" s="8"/>
    </row>
    <row r="881" spans="1:6" x14ac:dyDescent="0.2">
      <c r="A881" s="38"/>
      <c r="B881" s="38"/>
      <c r="C881" s="8"/>
      <c r="D881" s="8"/>
      <c r="E881" s="8"/>
      <c r="F881" s="8"/>
    </row>
    <row r="882" spans="1:6" x14ac:dyDescent="0.2">
      <c r="A882" s="38"/>
      <c r="B882" s="38"/>
      <c r="C882" s="8"/>
      <c r="D882" s="8"/>
      <c r="E882" s="8"/>
      <c r="F882" s="8"/>
    </row>
    <row r="883" spans="1:6" x14ac:dyDescent="0.2">
      <c r="A883" s="38"/>
      <c r="B883" s="38"/>
      <c r="C883" s="8"/>
      <c r="D883" s="8"/>
      <c r="E883" s="8"/>
      <c r="F883" s="8"/>
    </row>
    <row r="884" spans="1:6" x14ac:dyDescent="0.2">
      <c r="A884" s="38"/>
      <c r="B884" s="38"/>
      <c r="C884" s="8"/>
      <c r="D884" s="8"/>
      <c r="E884" s="8"/>
      <c r="F884" s="8"/>
    </row>
    <row r="885" spans="1:6" x14ac:dyDescent="0.2">
      <c r="A885" s="38"/>
      <c r="B885" s="38"/>
      <c r="C885" s="8"/>
      <c r="D885" s="8"/>
      <c r="E885" s="8"/>
      <c r="F885" s="8"/>
    </row>
    <row r="886" spans="1:6" x14ac:dyDescent="0.2">
      <c r="A886" s="38"/>
      <c r="B886" s="38"/>
      <c r="C886" s="8"/>
      <c r="D886" s="8"/>
      <c r="E886" s="8"/>
      <c r="F886" s="8"/>
    </row>
    <row r="887" spans="1:6" x14ac:dyDescent="0.2">
      <c r="A887" s="38"/>
      <c r="B887" s="38"/>
      <c r="C887" s="8"/>
      <c r="D887" s="8"/>
      <c r="E887" s="8"/>
      <c r="F887" s="8"/>
    </row>
    <row r="888" spans="1:6" x14ac:dyDescent="0.2">
      <c r="A888" s="38"/>
      <c r="B888" s="38"/>
      <c r="C888" s="8"/>
      <c r="D888" s="8"/>
      <c r="E888" s="8"/>
      <c r="F888" s="8"/>
    </row>
    <row r="889" spans="1:6" x14ac:dyDescent="0.2">
      <c r="A889" s="38"/>
      <c r="B889" s="38"/>
      <c r="C889" s="8"/>
      <c r="D889" s="8"/>
      <c r="E889" s="8"/>
      <c r="F889" s="8"/>
    </row>
    <row r="890" spans="1:6" x14ac:dyDescent="0.2">
      <c r="A890" s="38"/>
      <c r="B890" s="38"/>
      <c r="C890" s="8"/>
      <c r="D890" s="8"/>
      <c r="E890" s="8"/>
      <c r="F890" s="8"/>
    </row>
    <row r="891" spans="1:6" x14ac:dyDescent="0.2">
      <c r="A891" s="38"/>
      <c r="B891" s="38"/>
      <c r="C891" s="8"/>
      <c r="D891" s="8"/>
      <c r="E891" s="8"/>
      <c r="F891" s="8"/>
    </row>
    <row r="892" spans="1:6" x14ac:dyDescent="0.2">
      <c r="A892" s="38"/>
      <c r="B892" s="38"/>
      <c r="C892" s="8"/>
      <c r="D892" s="8"/>
      <c r="E892" s="8"/>
      <c r="F892" s="8"/>
    </row>
    <row r="893" spans="1:6" x14ac:dyDescent="0.2">
      <c r="A893" s="38"/>
      <c r="B893" s="38"/>
      <c r="C893" s="8"/>
      <c r="D893" s="8"/>
      <c r="E893" s="8"/>
      <c r="F893" s="8"/>
    </row>
    <row r="894" spans="1:6" x14ac:dyDescent="0.2">
      <c r="A894" s="38"/>
      <c r="B894" s="38"/>
      <c r="C894" s="8"/>
      <c r="D894" s="8"/>
      <c r="E894" s="8"/>
      <c r="F894" s="8"/>
    </row>
    <row r="895" spans="1:6" x14ac:dyDescent="0.2">
      <c r="A895" s="38"/>
      <c r="B895" s="38"/>
      <c r="C895" s="8"/>
      <c r="D895" s="8"/>
      <c r="E895" s="8"/>
      <c r="F895" s="8"/>
    </row>
    <row r="896" spans="1:6" x14ac:dyDescent="0.2">
      <c r="A896" s="38"/>
      <c r="B896" s="38"/>
      <c r="C896" s="8"/>
      <c r="D896" s="8"/>
      <c r="E896" s="8"/>
      <c r="F896" s="8"/>
    </row>
    <row r="897" spans="1:6" x14ac:dyDescent="0.2">
      <c r="A897" s="38"/>
      <c r="B897" s="38"/>
      <c r="C897" s="8"/>
      <c r="D897" s="8"/>
      <c r="E897" s="8"/>
      <c r="F897" s="8"/>
    </row>
    <row r="898" spans="1:6" x14ac:dyDescent="0.2">
      <c r="A898" s="38"/>
      <c r="B898" s="38"/>
      <c r="C898" s="8"/>
      <c r="D898" s="8"/>
      <c r="E898" s="8"/>
      <c r="F898" s="8"/>
    </row>
    <row r="899" spans="1:6" x14ac:dyDescent="0.2">
      <c r="A899" s="38"/>
      <c r="B899" s="38"/>
      <c r="C899" s="8"/>
      <c r="D899" s="8"/>
      <c r="E899" s="8"/>
      <c r="F899" s="8"/>
    </row>
    <row r="900" spans="1:6" x14ac:dyDescent="0.2">
      <c r="A900" s="38"/>
      <c r="B900" s="38"/>
      <c r="C900" s="8"/>
      <c r="D900" s="8"/>
      <c r="E900" s="8"/>
      <c r="F900" s="8"/>
    </row>
    <row r="901" spans="1:6" x14ac:dyDescent="0.2">
      <c r="A901" s="38"/>
      <c r="B901" s="38"/>
      <c r="C901" s="8"/>
      <c r="D901" s="8"/>
      <c r="E901" s="8"/>
      <c r="F901" s="8"/>
    </row>
    <row r="902" spans="1:6" x14ac:dyDescent="0.2">
      <c r="A902" s="38"/>
      <c r="B902" s="38"/>
      <c r="C902" s="8"/>
      <c r="D902" s="8"/>
      <c r="E902" s="8"/>
      <c r="F902" s="8"/>
    </row>
    <row r="903" spans="1:6" x14ac:dyDescent="0.2">
      <c r="A903" s="38"/>
      <c r="B903" s="38"/>
      <c r="C903" s="8"/>
      <c r="D903" s="8"/>
      <c r="E903" s="8"/>
      <c r="F903" s="8"/>
    </row>
    <row r="904" spans="1:6" x14ac:dyDescent="0.2">
      <c r="A904" s="38"/>
      <c r="B904" s="38"/>
      <c r="C904" s="8"/>
      <c r="D904" s="8"/>
      <c r="E904" s="8"/>
      <c r="F904" s="8"/>
    </row>
    <row r="905" spans="1:6" x14ac:dyDescent="0.2">
      <c r="A905" s="38"/>
      <c r="B905" s="38"/>
      <c r="C905" s="8"/>
      <c r="D905" s="8"/>
      <c r="E905" s="8"/>
      <c r="F905" s="8"/>
    </row>
    <row r="906" spans="1:6" x14ac:dyDescent="0.2">
      <c r="A906" s="38"/>
      <c r="B906" s="38"/>
      <c r="C906" s="8"/>
      <c r="D906" s="8"/>
      <c r="E906" s="8"/>
      <c r="F906" s="8"/>
    </row>
    <row r="907" spans="1:6" x14ac:dyDescent="0.2">
      <c r="A907" s="38"/>
      <c r="B907" s="38"/>
      <c r="C907" s="8"/>
      <c r="D907" s="8"/>
      <c r="E907" s="8"/>
      <c r="F907" s="8"/>
    </row>
    <row r="908" spans="1:6" x14ac:dyDescent="0.2">
      <c r="A908" s="38"/>
      <c r="B908" s="38"/>
      <c r="C908" s="8"/>
      <c r="D908" s="8"/>
      <c r="E908" s="8"/>
      <c r="F908" s="8"/>
    </row>
    <row r="909" spans="1:6" x14ac:dyDescent="0.2">
      <c r="A909" s="38"/>
      <c r="B909" s="38"/>
      <c r="C909" s="8"/>
      <c r="D909" s="8"/>
      <c r="E909" s="8"/>
      <c r="F909" s="8"/>
    </row>
    <row r="910" spans="1:6" x14ac:dyDescent="0.2">
      <c r="A910" s="38"/>
      <c r="B910" s="38"/>
      <c r="C910" s="8"/>
      <c r="D910" s="8"/>
      <c r="E910" s="8"/>
      <c r="F910" s="8"/>
    </row>
    <row r="911" spans="1:6" x14ac:dyDescent="0.2">
      <c r="A911" s="38"/>
      <c r="B911" s="38"/>
      <c r="C911" s="8"/>
      <c r="D911" s="8"/>
      <c r="E911" s="8"/>
      <c r="F911" s="8"/>
    </row>
    <row r="912" spans="1:6" x14ac:dyDescent="0.2">
      <c r="A912" s="38"/>
      <c r="B912" s="38"/>
      <c r="C912" s="8"/>
      <c r="D912" s="8"/>
      <c r="E912" s="8"/>
      <c r="F912" s="8"/>
    </row>
    <row r="913" spans="1:6" x14ac:dyDescent="0.2">
      <c r="A913" s="38"/>
      <c r="B913" s="38"/>
      <c r="C913" s="8"/>
      <c r="D913" s="8"/>
      <c r="E913" s="8"/>
      <c r="F913" s="8"/>
    </row>
    <row r="914" spans="1:6" x14ac:dyDescent="0.2">
      <c r="A914" s="38"/>
      <c r="B914" s="38"/>
      <c r="C914" s="8"/>
      <c r="D914" s="8"/>
      <c r="E914" s="8"/>
      <c r="F914" s="8"/>
    </row>
    <row r="915" spans="1:6" x14ac:dyDescent="0.2">
      <c r="A915" s="38"/>
      <c r="B915" s="38"/>
      <c r="C915" s="8"/>
      <c r="D915" s="8"/>
      <c r="E915" s="8"/>
      <c r="F915" s="8"/>
    </row>
    <row r="916" spans="1:6" x14ac:dyDescent="0.2">
      <c r="A916" s="38"/>
      <c r="B916" s="38"/>
      <c r="C916" s="8"/>
      <c r="D916" s="8"/>
      <c r="E916" s="8"/>
      <c r="F916" s="8"/>
    </row>
    <row r="917" spans="1:6" x14ac:dyDescent="0.2">
      <c r="A917" s="38"/>
      <c r="B917" s="38"/>
      <c r="C917" s="8"/>
      <c r="D917" s="8"/>
      <c r="E917" s="8"/>
      <c r="F917" s="8"/>
    </row>
    <row r="918" spans="1:6" x14ac:dyDescent="0.2">
      <c r="A918" s="38"/>
      <c r="B918" s="38"/>
      <c r="C918" s="8"/>
      <c r="D918" s="8"/>
      <c r="E918" s="8"/>
      <c r="F918" s="8"/>
    </row>
    <row r="919" spans="1:6" x14ac:dyDescent="0.2">
      <c r="A919" s="38"/>
      <c r="B919" s="38"/>
      <c r="C919" s="8"/>
      <c r="D919" s="8"/>
      <c r="E919" s="8"/>
      <c r="F919" s="8"/>
    </row>
    <row r="920" spans="1:6" x14ac:dyDescent="0.2">
      <c r="A920" s="38"/>
      <c r="B920" s="38"/>
      <c r="C920" s="8"/>
      <c r="D920" s="8"/>
      <c r="E920" s="8"/>
      <c r="F920" s="8"/>
    </row>
    <row r="921" spans="1:6" x14ac:dyDescent="0.2">
      <c r="A921" s="38"/>
      <c r="B921" s="38"/>
      <c r="C921" s="8"/>
      <c r="D921" s="8"/>
      <c r="E921" s="8"/>
      <c r="F921" s="8"/>
    </row>
    <row r="922" spans="1:6" x14ac:dyDescent="0.2">
      <c r="A922" s="38"/>
      <c r="B922" s="38"/>
      <c r="C922" s="8"/>
      <c r="D922" s="8"/>
      <c r="E922" s="8"/>
      <c r="F922" s="8"/>
    </row>
    <row r="923" spans="1:6" x14ac:dyDescent="0.2">
      <c r="A923" s="38"/>
      <c r="B923" s="38"/>
      <c r="C923" s="8"/>
      <c r="D923" s="8"/>
      <c r="E923" s="8"/>
      <c r="F923" s="8"/>
    </row>
    <row r="924" spans="1:6" x14ac:dyDescent="0.2">
      <c r="A924" s="38"/>
      <c r="B924" s="38"/>
      <c r="C924" s="8"/>
      <c r="D924" s="8"/>
      <c r="E924" s="8"/>
      <c r="F924" s="8"/>
    </row>
    <row r="925" spans="1:6" x14ac:dyDescent="0.2">
      <c r="A925" s="38"/>
      <c r="B925" s="38"/>
      <c r="C925" s="8"/>
      <c r="D925" s="8"/>
      <c r="E925" s="8"/>
      <c r="F925" s="8"/>
    </row>
    <row r="926" spans="1:6" x14ac:dyDescent="0.2">
      <c r="A926" s="38"/>
      <c r="B926" s="38"/>
      <c r="C926" s="8"/>
      <c r="D926" s="8"/>
      <c r="E926" s="8"/>
      <c r="F926" s="8"/>
    </row>
    <row r="927" spans="1:6" x14ac:dyDescent="0.2">
      <c r="A927" s="38"/>
      <c r="B927" s="38"/>
      <c r="C927" s="8"/>
      <c r="D927" s="8"/>
      <c r="E927" s="8"/>
      <c r="F927" s="8"/>
    </row>
    <row r="928" spans="1:6" x14ac:dyDescent="0.2">
      <c r="A928" s="38"/>
      <c r="B928" s="38"/>
      <c r="C928" s="8"/>
      <c r="D928" s="8"/>
      <c r="E928" s="8"/>
      <c r="F928" s="8"/>
    </row>
    <row r="929" spans="1:6" x14ac:dyDescent="0.2">
      <c r="A929" s="38"/>
      <c r="B929" s="38"/>
      <c r="C929" s="8"/>
      <c r="D929" s="8"/>
      <c r="E929" s="8"/>
      <c r="F929" s="8"/>
    </row>
    <row r="930" spans="1:6" x14ac:dyDescent="0.2">
      <c r="A930" s="38"/>
      <c r="B930" s="38"/>
      <c r="C930" s="8"/>
      <c r="D930" s="8"/>
      <c r="E930" s="8"/>
      <c r="F930" s="8"/>
    </row>
    <row r="931" spans="1:6" x14ac:dyDescent="0.2">
      <c r="A931" s="38"/>
      <c r="B931" s="38"/>
      <c r="C931" s="8"/>
      <c r="D931" s="8"/>
      <c r="E931" s="8"/>
      <c r="F931" s="8"/>
    </row>
    <row r="932" spans="1:6" x14ac:dyDescent="0.2">
      <c r="A932" s="38"/>
      <c r="B932" s="38"/>
      <c r="C932" s="8"/>
      <c r="D932" s="8"/>
      <c r="E932" s="8"/>
      <c r="F932" s="8"/>
    </row>
    <row r="933" spans="1:6" x14ac:dyDescent="0.2">
      <c r="A933" s="38"/>
      <c r="B933" s="38"/>
      <c r="C933" s="8"/>
      <c r="D933" s="8"/>
      <c r="E933" s="8"/>
      <c r="F933" s="8"/>
    </row>
    <row r="934" spans="1:6" x14ac:dyDescent="0.2">
      <c r="A934" s="38"/>
      <c r="B934" s="38"/>
      <c r="C934" s="8"/>
      <c r="D934" s="8"/>
      <c r="E934" s="8"/>
      <c r="F934" s="8"/>
    </row>
    <row r="935" spans="1:6" x14ac:dyDescent="0.2">
      <c r="A935" s="38"/>
      <c r="B935" s="38"/>
      <c r="C935" s="8"/>
      <c r="D935" s="8"/>
      <c r="E935" s="8"/>
      <c r="F935" s="8"/>
    </row>
    <row r="936" spans="1:6" x14ac:dyDescent="0.2">
      <c r="A936" s="38"/>
      <c r="B936" s="38"/>
      <c r="C936" s="8"/>
      <c r="D936" s="8"/>
      <c r="E936" s="8"/>
      <c r="F936" s="8"/>
    </row>
    <row r="937" spans="1:6" x14ac:dyDescent="0.2">
      <c r="A937" s="38"/>
      <c r="B937" s="38"/>
      <c r="C937" s="8"/>
      <c r="D937" s="8"/>
      <c r="E937" s="8"/>
      <c r="F937" s="8"/>
    </row>
    <row r="938" spans="1:6" x14ac:dyDescent="0.2">
      <c r="A938" s="38"/>
      <c r="B938" s="38"/>
      <c r="C938" s="8"/>
      <c r="D938" s="8"/>
      <c r="E938" s="8"/>
      <c r="F938" s="8"/>
    </row>
    <row r="939" spans="1:6" x14ac:dyDescent="0.2">
      <c r="A939" s="38"/>
      <c r="B939" s="38"/>
      <c r="C939" s="8"/>
      <c r="D939" s="8"/>
      <c r="E939" s="8"/>
      <c r="F939" s="8"/>
    </row>
    <row r="940" spans="1:6" x14ac:dyDescent="0.2">
      <c r="A940" s="38"/>
      <c r="B940" s="38"/>
      <c r="C940" s="8"/>
      <c r="D940" s="8"/>
      <c r="E940" s="8"/>
      <c r="F940" s="8"/>
    </row>
    <row r="941" spans="1:6" x14ac:dyDescent="0.2">
      <c r="A941" s="38"/>
      <c r="B941" s="38"/>
      <c r="C941" s="8"/>
      <c r="D941" s="8"/>
      <c r="E941" s="8"/>
      <c r="F941" s="8"/>
    </row>
    <row r="942" spans="1:6" x14ac:dyDescent="0.2">
      <c r="A942" s="38"/>
      <c r="B942" s="38"/>
      <c r="C942" s="8"/>
      <c r="D942" s="8"/>
      <c r="E942" s="8"/>
      <c r="F942" s="8"/>
    </row>
    <row r="943" spans="1:6" x14ac:dyDescent="0.2">
      <c r="A943" s="38"/>
      <c r="B943" s="38"/>
      <c r="C943" s="8"/>
      <c r="D943" s="8"/>
      <c r="E943" s="8"/>
      <c r="F943" s="8"/>
    </row>
    <row r="944" spans="1:6" x14ac:dyDescent="0.2">
      <c r="A944" s="38"/>
      <c r="B944" s="38"/>
      <c r="C944" s="8"/>
      <c r="D944" s="8"/>
      <c r="E944" s="8"/>
      <c r="F944" s="8"/>
    </row>
    <row r="945" spans="1:6" x14ac:dyDescent="0.2">
      <c r="A945" s="38"/>
      <c r="B945" s="38"/>
      <c r="C945" s="8"/>
      <c r="D945" s="8"/>
      <c r="E945" s="8"/>
      <c r="F945" s="8"/>
    </row>
    <row r="946" spans="1:6" x14ac:dyDescent="0.2">
      <c r="A946" s="38"/>
      <c r="B946" s="38"/>
      <c r="C946" s="8"/>
      <c r="D946" s="8"/>
      <c r="E946" s="8"/>
      <c r="F946" s="8"/>
    </row>
    <row r="947" spans="1:6" x14ac:dyDescent="0.2">
      <c r="A947" s="38"/>
      <c r="B947" s="38"/>
      <c r="C947" s="8"/>
      <c r="D947" s="8"/>
      <c r="E947" s="8"/>
      <c r="F947" s="8"/>
    </row>
    <row r="948" spans="1:6" x14ac:dyDescent="0.2">
      <c r="A948" s="38"/>
      <c r="B948" s="38"/>
      <c r="C948" s="8"/>
      <c r="D948" s="8"/>
      <c r="E948" s="8"/>
      <c r="F948" s="8"/>
    </row>
    <row r="949" spans="1:6" x14ac:dyDescent="0.2">
      <c r="A949" s="38"/>
      <c r="B949" s="38"/>
      <c r="C949" s="8"/>
      <c r="D949" s="8"/>
      <c r="E949" s="8"/>
      <c r="F949" s="8"/>
    </row>
    <row r="950" spans="1:6" x14ac:dyDescent="0.2">
      <c r="A950" s="38"/>
      <c r="B950" s="38"/>
      <c r="C950" s="8"/>
      <c r="D950" s="8"/>
      <c r="E950" s="8"/>
      <c r="F950" s="8"/>
    </row>
    <row r="951" spans="1:6" x14ac:dyDescent="0.2">
      <c r="A951" s="38"/>
      <c r="B951" s="38"/>
      <c r="C951" s="8"/>
      <c r="D951" s="8"/>
      <c r="E951" s="8"/>
      <c r="F951" s="8"/>
    </row>
    <row r="952" spans="1:6" x14ac:dyDescent="0.2">
      <c r="A952" s="38"/>
      <c r="B952" s="38"/>
      <c r="C952" s="8"/>
      <c r="D952" s="8"/>
      <c r="E952" s="8"/>
      <c r="F952" s="8"/>
    </row>
    <row r="953" spans="1:6" x14ac:dyDescent="0.2">
      <c r="A953" s="38"/>
      <c r="B953" s="38"/>
      <c r="C953" s="8"/>
      <c r="D953" s="8"/>
      <c r="E953" s="8"/>
      <c r="F953" s="8"/>
    </row>
    <row r="954" spans="1:6" x14ac:dyDescent="0.2">
      <c r="A954" s="38"/>
      <c r="B954" s="38"/>
      <c r="C954" s="8"/>
      <c r="D954" s="8"/>
      <c r="E954" s="8"/>
      <c r="F954" s="8"/>
    </row>
    <row r="955" spans="1:6" x14ac:dyDescent="0.2">
      <c r="A955" s="38"/>
      <c r="B955" s="38"/>
      <c r="C955" s="8"/>
      <c r="D955" s="8"/>
      <c r="E955" s="8"/>
      <c r="F955" s="8"/>
    </row>
    <row r="956" spans="1:6" x14ac:dyDescent="0.2">
      <c r="A956" s="38"/>
      <c r="B956" s="38"/>
      <c r="C956" s="8"/>
      <c r="D956" s="8"/>
      <c r="E956" s="8"/>
      <c r="F956" s="8"/>
    </row>
    <row r="957" spans="1:6" x14ac:dyDescent="0.2">
      <c r="A957" s="38"/>
      <c r="B957" s="38"/>
      <c r="C957" s="8"/>
      <c r="D957" s="8"/>
      <c r="E957" s="8"/>
      <c r="F957" s="8"/>
    </row>
    <row r="958" spans="1:6" x14ac:dyDescent="0.2">
      <c r="A958" s="38"/>
      <c r="B958" s="38"/>
      <c r="C958" s="8"/>
      <c r="D958" s="8"/>
      <c r="E958" s="8"/>
      <c r="F958" s="8"/>
    </row>
    <row r="959" spans="1:6" x14ac:dyDescent="0.2">
      <c r="A959" s="38"/>
      <c r="B959" s="38"/>
      <c r="C959" s="8"/>
      <c r="D959" s="8"/>
      <c r="E959" s="8"/>
      <c r="F959" s="8"/>
    </row>
    <row r="960" spans="1:6" x14ac:dyDescent="0.2">
      <c r="A960" s="38"/>
      <c r="B960" s="38"/>
      <c r="C960" s="8"/>
      <c r="D960" s="8"/>
      <c r="E960" s="8"/>
      <c r="F960" s="8"/>
    </row>
    <row r="961" spans="1:6" x14ac:dyDescent="0.2">
      <c r="A961" s="38"/>
      <c r="B961" s="38"/>
      <c r="C961" s="8"/>
      <c r="D961" s="8"/>
      <c r="E961" s="8"/>
      <c r="F961" s="8"/>
    </row>
    <row r="962" spans="1:6" x14ac:dyDescent="0.2">
      <c r="A962" s="38"/>
      <c r="B962" s="38"/>
      <c r="C962" s="8"/>
      <c r="D962" s="8"/>
      <c r="E962" s="8"/>
      <c r="F962" s="8"/>
    </row>
    <row r="963" spans="1:6" x14ac:dyDescent="0.2">
      <c r="A963" s="38"/>
      <c r="B963" s="38"/>
      <c r="C963" s="8"/>
      <c r="D963" s="8"/>
      <c r="E963" s="8"/>
      <c r="F963" s="8"/>
    </row>
    <row r="964" spans="1:6" x14ac:dyDescent="0.2">
      <c r="A964" s="38"/>
      <c r="B964" s="38"/>
      <c r="C964" s="8"/>
      <c r="D964" s="8"/>
      <c r="E964" s="8"/>
      <c r="F964" s="8"/>
    </row>
    <row r="965" spans="1:6" x14ac:dyDescent="0.2">
      <c r="A965" s="38"/>
      <c r="B965" s="38"/>
      <c r="C965" s="8"/>
      <c r="D965" s="8"/>
      <c r="E965" s="8"/>
      <c r="F965" s="8"/>
    </row>
    <row r="966" spans="1:6" x14ac:dyDescent="0.2">
      <c r="A966" s="38"/>
      <c r="B966" s="38"/>
      <c r="C966" s="8"/>
      <c r="D966" s="8"/>
      <c r="E966" s="8"/>
      <c r="F966" s="8"/>
    </row>
    <row r="967" spans="1:6" x14ac:dyDescent="0.2">
      <c r="A967" s="38"/>
      <c r="B967" s="38"/>
      <c r="C967" s="8"/>
      <c r="D967" s="8"/>
      <c r="E967" s="8"/>
      <c r="F967" s="8"/>
    </row>
    <row r="968" spans="1:6" x14ac:dyDescent="0.2">
      <c r="A968" s="38"/>
      <c r="B968" s="38"/>
      <c r="C968" s="8"/>
      <c r="D968" s="8"/>
      <c r="E968" s="8"/>
      <c r="F968" s="8"/>
    </row>
    <row r="969" spans="1:6" x14ac:dyDescent="0.2">
      <c r="A969" s="38"/>
      <c r="B969" s="38"/>
      <c r="C969" s="8"/>
      <c r="D969" s="8"/>
      <c r="E969" s="8"/>
      <c r="F969" s="8"/>
    </row>
    <row r="970" spans="1:6" x14ac:dyDescent="0.2">
      <c r="A970" s="38"/>
      <c r="B970" s="38"/>
      <c r="C970" s="8"/>
      <c r="D970" s="8"/>
      <c r="E970" s="8"/>
      <c r="F970" s="8"/>
    </row>
    <row r="971" spans="1:6" x14ac:dyDescent="0.2">
      <c r="A971" s="38"/>
      <c r="B971" s="38"/>
      <c r="C971" s="8"/>
      <c r="D971" s="8"/>
      <c r="E971" s="8"/>
      <c r="F971" s="8"/>
    </row>
    <row r="972" spans="1:6" x14ac:dyDescent="0.2">
      <c r="A972" s="38"/>
      <c r="B972" s="38"/>
      <c r="C972" s="8"/>
      <c r="D972" s="8"/>
      <c r="E972" s="8"/>
      <c r="F972" s="8"/>
    </row>
    <row r="973" spans="1:6" x14ac:dyDescent="0.2">
      <c r="A973" s="38"/>
      <c r="B973" s="38"/>
      <c r="C973" s="8"/>
      <c r="D973" s="8"/>
      <c r="E973" s="8"/>
      <c r="F973" s="8"/>
    </row>
    <row r="974" spans="1:6" x14ac:dyDescent="0.2">
      <c r="A974" s="38"/>
      <c r="B974" s="38"/>
      <c r="C974" s="8"/>
      <c r="D974" s="8"/>
      <c r="E974" s="8"/>
      <c r="F974" s="8"/>
    </row>
    <row r="975" spans="1:6" x14ac:dyDescent="0.2">
      <c r="A975" s="38"/>
      <c r="B975" s="38"/>
      <c r="C975" s="8"/>
      <c r="D975" s="8"/>
      <c r="E975" s="8"/>
      <c r="F975" s="8"/>
    </row>
    <row r="976" spans="1:6" x14ac:dyDescent="0.2">
      <c r="A976" s="38"/>
      <c r="B976" s="38"/>
      <c r="C976" s="8"/>
      <c r="D976" s="8"/>
      <c r="E976" s="8"/>
      <c r="F976" s="8"/>
    </row>
    <row r="977" spans="1:6" x14ac:dyDescent="0.2">
      <c r="A977" s="38"/>
      <c r="B977" s="38"/>
      <c r="C977" s="8"/>
      <c r="D977" s="8"/>
      <c r="E977" s="8"/>
      <c r="F977" s="8"/>
    </row>
    <row r="978" spans="1:6" x14ac:dyDescent="0.2">
      <c r="A978" s="38"/>
      <c r="B978" s="38"/>
      <c r="C978" s="8"/>
      <c r="D978" s="8"/>
      <c r="E978" s="8"/>
      <c r="F978" s="8"/>
    </row>
    <row r="979" spans="1:6" x14ac:dyDescent="0.2">
      <c r="A979" s="38"/>
      <c r="B979" s="38"/>
      <c r="C979" s="8"/>
      <c r="D979" s="8"/>
      <c r="E979" s="8"/>
      <c r="F979" s="8"/>
    </row>
    <row r="980" spans="1:6" x14ac:dyDescent="0.2">
      <c r="A980" s="38"/>
      <c r="B980" s="38"/>
      <c r="C980" s="8"/>
      <c r="D980" s="8"/>
      <c r="E980" s="8"/>
      <c r="F980" s="8"/>
    </row>
    <row r="981" spans="1:6" x14ac:dyDescent="0.2">
      <c r="A981" s="38"/>
      <c r="B981" s="38"/>
      <c r="C981" s="8"/>
      <c r="D981" s="8"/>
      <c r="E981" s="8"/>
      <c r="F981" s="8"/>
    </row>
    <row r="982" spans="1:6" x14ac:dyDescent="0.2">
      <c r="A982" s="38"/>
      <c r="B982" s="38"/>
      <c r="C982" s="8"/>
      <c r="D982" s="8"/>
      <c r="E982" s="8"/>
      <c r="F982" s="8"/>
    </row>
    <row r="983" spans="1:6" x14ac:dyDescent="0.2">
      <c r="A983" s="38"/>
      <c r="B983" s="38"/>
      <c r="C983" s="8"/>
      <c r="D983" s="8"/>
      <c r="E983" s="8"/>
      <c r="F983" s="8"/>
    </row>
    <row r="984" spans="1:6" x14ac:dyDescent="0.2">
      <c r="A984" s="38"/>
      <c r="B984" s="38"/>
      <c r="C984" s="8"/>
      <c r="D984" s="8"/>
      <c r="E984" s="8"/>
      <c r="F984" s="8"/>
    </row>
    <row r="985" spans="1:6" x14ac:dyDescent="0.2">
      <c r="A985" s="38"/>
      <c r="B985" s="38"/>
      <c r="C985" s="8"/>
      <c r="D985" s="8"/>
      <c r="E985" s="8"/>
      <c r="F985" s="8"/>
    </row>
    <row r="986" spans="1:6" x14ac:dyDescent="0.2">
      <c r="A986" s="38"/>
      <c r="B986" s="38"/>
      <c r="C986" s="8"/>
      <c r="D986" s="8"/>
      <c r="E986" s="8"/>
      <c r="F986" s="8"/>
    </row>
    <row r="987" spans="1:6" x14ac:dyDescent="0.2">
      <c r="A987" s="38"/>
      <c r="B987" s="38"/>
      <c r="C987" s="8"/>
      <c r="D987" s="8"/>
      <c r="E987" s="8"/>
      <c r="F987" s="8"/>
    </row>
    <row r="988" spans="1:6" x14ac:dyDescent="0.2">
      <c r="A988" s="38"/>
      <c r="B988" s="38"/>
      <c r="C988" s="8"/>
      <c r="D988" s="8"/>
      <c r="E988" s="8"/>
      <c r="F988" s="8"/>
    </row>
    <row r="989" spans="1:6" x14ac:dyDescent="0.2">
      <c r="A989" s="38"/>
      <c r="B989" s="38"/>
      <c r="C989" s="8"/>
      <c r="D989" s="8"/>
      <c r="E989" s="8"/>
      <c r="F989" s="8"/>
    </row>
    <row r="990" spans="1:6" x14ac:dyDescent="0.2">
      <c r="A990" s="38"/>
      <c r="B990" s="38"/>
      <c r="C990" s="8"/>
      <c r="D990" s="8"/>
      <c r="E990" s="8"/>
      <c r="F990" s="8"/>
    </row>
    <row r="991" spans="1:6" x14ac:dyDescent="0.2">
      <c r="A991" s="38"/>
      <c r="B991" s="38"/>
      <c r="C991" s="8"/>
      <c r="D991" s="8"/>
      <c r="E991" s="8"/>
      <c r="F991" s="8"/>
    </row>
    <row r="992" spans="1:6" x14ac:dyDescent="0.2">
      <c r="A992" s="38"/>
      <c r="B992" s="38"/>
      <c r="C992" s="8"/>
      <c r="D992" s="8"/>
      <c r="E992" s="8"/>
      <c r="F992" s="8"/>
    </row>
    <row r="993" spans="1:6" x14ac:dyDescent="0.2">
      <c r="A993" s="38"/>
      <c r="B993" s="38"/>
      <c r="C993" s="8"/>
      <c r="D993" s="8"/>
      <c r="E993" s="8"/>
      <c r="F993" s="8"/>
    </row>
    <row r="994" spans="1:6" x14ac:dyDescent="0.2">
      <c r="A994" s="38"/>
      <c r="B994" s="38"/>
      <c r="C994" s="8"/>
      <c r="D994" s="8"/>
      <c r="E994" s="8"/>
      <c r="F994" s="8"/>
    </row>
    <row r="995" spans="1:6" x14ac:dyDescent="0.2">
      <c r="A995" s="38"/>
      <c r="B995" s="38"/>
      <c r="C995" s="8"/>
      <c r="D995" s="8"/>
      <c r="E995" s="8"/>
      <c r="F995" s="8"/>
    </row>
    <row r="996" spans="1:6" x14ac:dyDescent="0.2">
      <c r="A996" s="38"/>
      <c r="B996" s="38"/>
      <c r="C996" s="8"/>
      <c r="D996" s="8"/>
      <c r="E996" s="8"/>
      <c r="F996" s="8"/>
    </row>
    <row r="997" spans="1:6" x14ac:dyDescent="0.2">
      <c r="A997" s="38"/>
      <c r="B997" s="38"/>
      <c r="C997" s="8"/>
      <c r="D997" s="8"/>
      <c r="E997" s="8"/>
      <c r="F997" s="8"/>
    </row>
    <row r="998" spans="1:6" x14ac:dyDescent="0.2">
      <c r="A998" s="38"/>
      <c r="B998" s="38"/>
      <c r="C998" s="8"/>
      <c r="D998" s="8"/>
      <c r="E998" s="8"/>
      <c r="F998" s="8"/>
    </row>
    <row r="999" spans="1:6" x14ac:dyDescent="0.2">
      <c r="A999" s="38"/>
      <c r="B999" s="38"/>
      <c r="C999" s="8"/>
      <c r="D999" s="8"/>
      <c r="E999" s="8"/>
      <c r="F999" s="8"/>
    </row>
    <row r="1000" spans="1:6" x14ac:dyDescent="0.2">
      <c r="A1000" s="38"/>
      <c r="B1000" s="38"/>
      <c r="C1000" s="8"/>
      <c r="D1000" s="8"/>
      <c r="E1000" s="8"/>
      <c r="F1000" s="8"/>
    </row>
    <row r="1001" spans="1:6" x14ac:dyDescent="0.2">
      <c r="A1001" s="38"/>
      <c r="B1001" s="38"/>
      <c r="C1001" s="8"/>
      <c r="D1001" s="8"/>
      <c r="E1001" s="8"/>
      <c r="F1001" s="8"/>
    </row>
    <row r="1002" spans="1:6" x14ac:dyDescent="0.2">
      <c r="A1002" s="38"/>
      <c r="B1002" s="38"/>
      <c r="C1002" s="8"/>
      <c r="D1002" s="8"/>
      <c r="E1002" s="8"/>
      <c r="F1002" s="8"/>
    </row>
    <row r="1003" spans="1:6" x14ac:dyDescent="0.2">
      <c r="A1003" s="38"/>
      <c r="B1003" s="38"/>
      <c r="C1003" s="8"/>
      <c r="D1003" s="8"/>
      <c r="E1003" s="8"/>
      <c r="F1003" s="8"/>
    </row>
    <row r="1004" spans="1:6" x14ac:dyDescent="0.2">
      <c r="A1004" s="38"/>
      <c r="B1004" s="38"/>
      <c r="C1004" s="8"/>
      <c r="D1004" s="8"/>
      <c r="E1004" s="8"/>
      <c r="F1004" s="8"/>
    </row>
    <row r="1005" spans="1:6" x14ac:dyDescent="0.2">
      <c r="A1005" s="38"/>
      <c r="B1005" s="38"/>
      <c r="C1005" s="8"/>
      <c r="D1005" s="8"/>
      <c r="E1005" s="8"/>
      <c r="F1005" s="8"/>
    </row>
    <row r="1006" spans="1:6" x14ac:dyDescent="0.2">
      <c r="A1006" s="38"/>
      <c r="B1006" s="38"/>
      <c r="C1006" s="8"/>
      <c r="D1006" s="8"/>
      <c r="E1006" s="8"/>
      <c r="F1006" s="8"/>
    </row>
    <row r="1007" spans="1:6" x14ac:dyDescent="0.2">
      <c r="A1007" s="38"/>
      <c r="B1007" s="38"/>
      <c r="C1007" s="8"/>
      <c r="D1007" s="8"/>
      <c r="E1007" s="8"/>
      <c r="F1007" s="8"/>
    </row>
    <row r="1008" spans="1:6" x14ac:dyDescent="0.2">
      <c r="A1008" s="38"/>
      <c r="B1008" s="38"/>
      <c r="C1008" s="8"/>
      <c r="D1008" s="8"/>
      <c r="E1008" s="8"/>
      <c r="F1008" s="8"/>
    </row>
    <row r="1009" spans="1:6" x14ac:dyDescent="0.2">
      <c r="A1009" s="38"/>
      <c r="B1009" s="38"/>
      <c r="C1009" s="8"/>
      <c r="D1009" s="8"/>
      <c r="E1009" s="8"/>
      <c r="F1009" s="8"/>
    </row>
    <row r="1010" spans="1:6" x14ac:dyDescent="0.2">
      <c r="A1010" s="38"/>
      <c r="B1010" s="38"/>
      <c r="C1010" s="8"/>
      <c r="D1010" s="8"/>
      <c r="E1010" s="8"/>
      <c r="F1010" s="8"/>
    </row>
    <row r="1011" spans="1:6" x14ac:dyDescent="0.2">
      <c r="A1011" s="38"/>
      <c r="B1011" s="38"/>
      <c r="C1011" s="8"/>
      <c r="D1011" s="8"/>
      <c r="E1011" s="8"/>
      <c r="F1011" s="8"/>
    </row>
    <row r="1012" spans="1:6" x14ac:dyDescent="0.2">
      <c r="A1012" s="38"/>
      <c r="B1012" s="38"/>
      <c r="C1012" s="8"/>
      <c r="D1012" s="8"/>
      <c r="E1012" s="8"/>
      <c r="F1012" s="8"/>
    </row>
    <row r="1013" spans="1:6" x14ac:dyDescent="0.2">
      <c r="A1013" s="38"/>
      <c r="B1013" s="38"/>
      <c r="C1013" s="8"/>
      <c r="D1013" s="8"/>
      <c r="E1013" s="8"/>
      <c r="F1013" s="8"/>
    </row>
    <row r="1014" spans="1:6" x14ac:dyDescent="0.2">
      <c r="A1014" s="38"/>
      <c r="B1014" s="38"/>
      <c r="C1014" s="8"/>
      <c r="D1014" s="8"/>
      <c r="E1014" s="8"/>
      <c r="F1014" s="8"/>
    </row>
    <row r="1015" spans="1:6" x14ac:dyDescent="0.2">
      <c r="A1015" s="38"/>
      <c r="B1015" s="38"/>
      <c r="C1015" s="8"/>
      <c r="D1015" s="8"/>
      <c r="E1015" s="8"/>
      <c r="F1015" s="8"/>
    </row>
    <row r="1016" spans="1:6" x14ac:dyDescent="0.2">
      <c r="A1016" s="38"/>
      <c r="B1016" s="38"/>
      <c r="C1016" s="8"/>
      <c r="D1016" s="8"/>
      <c r="E1016" s="8"/>
      <c r="F1016" s="8"/>
    </row>
    <row r="1017" spans="1:6" x14ac:dyDescent="0.2">
      <c r="A1017" s="38"/>
      <c r="B1017" s="38"/>
      <c r="C1017" s="8"/>
      <c r="D1017" s="8"/>
      <c r="E1017" s="8"/>
      <c r="F1017" s="8"/>
    </row>
    <row r="1018" spans="1:6" x14ac:dyDescent="0.2">
      <c r="A1018" s="38"/>
      <c r="B1018" s="38"/>
      <c r="C1018" s="8"/>
      <c r="D1018" s="8"/>
      <c r="E1018" s="8"/>
      <c r="F1018" s="8"/>
    </row>
    <row r="1019" spans="1:6" x14ac:dyDescent="0.2">
      <c r="A1019" s="38"/>
      <c r="B1019" s="38"/>
      <c r="C1019" s="8"/>
      <c r="D1019" s="8"/>
      <c r="E1019" s="8"/>
      <c r="F1019" s="8"/>
    </row>
    <row r="1020" spans="1:6" x14ac:dyDescent="0.2">
      <c r="A1020" s="38"/>
      <c r="B1020" s="38"/>
      <c r="C1020" s="8"/>
      <c r="D1020" s="8"/>
      <c r="E1020" s="8"/>
      <c r="F1020" s="8"/>
    </row>
    <row r="1021" spans="1:6" x14ac:dyDescent="0.2">
      <c r="A1021" s="38"/>
      <c r="B1021" s="38"/>
      <c r="C1021" s="8"/>
      <c r="D1021" s="8"/>
      <c r="E1021" s="8"/>
      <c r="F1021" s="8"/>
    </row>
    <row r="1022" spans="1:6" x14ac:dyDescent="0.2">
      <c r="A1022" s="38"/>
      <c r="B1022" s="38"/>
      <c r="C1022" s="8"/>
      <c r="D1022" s="8"/>
      <c r="E1022" s="8"/>
      <c r="F1022" s="8"/>
    </row>
    <row r="1023" spans="1:6" x14ac:dyDescent="0.2">
      <c r="A1023" s="38"/>
      <c r="B1023" s="38"/>
      <c r="C1023" s="8"/>
      <c r="D1023" s="8"/>
      <c r="E1023" s="8"/>
      <c r="F1023" s="8"/>
    </row>
    <row r="1024" spans="1:6" x14ac:dyDescent="0.2">
      <c r="A1024" s="38"/>
      <c r="B1024" s="38"/>
      <c r="C1024" s="8"/>
      <c r="D1024" s="8"/>
      <c r="E1024" s="8"/>
      <c r="F1024" s="8"/>
    </row>
    <row r="1025" spans="1:6" x14ac:dyDescent="0.2">
      <c r="A1025" s="38"/>
      <c r="B1025" s="38"/>
      <c r="C1025" s="8"/>
      <c r="D1025" s="8"/>
      <c r="E1025" s="8"/>
      <c r="F1025" s="8"/>
    </row>
    <row r="1026" spans="1:6" x14ac:dyDescent="0.2">
      <c r="A1026" s="38"/>
      <c r="B1026" s="38"/>
      <c r="C1026" s="8"/>
      <c r="D1026" s="8"/>
      <c r="E1026" s="8"/>
      <c r="F1026" s="8"/>
    </row>
    <row r="1027" spans="1:6" x14ac:dyDescent="0.2">
      <c r="A1027" s="38"/>
      <c r="B1027" s="38"/>
      <c r="C1027" s="8"/>
      <c r="D1027" s="8"/>
      <c r="E1027" s="8"/>
      <c r="F1027" s="8"/>
    </row>
    <row r="1028" spans="1:6" x14ac:dyDescent="0.2">
      <c r="A1028" s="38"/>
      <c r="B1028" s="38"/>
      <c r="C1028" s="8"/>
      <c r="D1028" s="8"/>
      <c r="E1028" s="8"/>
      <c r="F1028" s="8"/>
    </row>
    <row r="1029" spans="1:6" x14ac:dyDescent="0.2">
      <c r="A1029" s="38"/>
      <c r="B1029" s="38"/>
      <c r="C1029" s="8"/>
      <c r="D1029" s="8"/>
      <c r="E1029" s="8"/>
      <c r="F1029" s="8"/>
    </row>
    <row r="1030" spans="1:6" x14ac:dyDescent="0.2">
      <c r="A1030" s="38"/>
      <c r="B1030" s="38"/>
      <c r="C1030" s="8"/>
      <c r="D1030" s="8"/>
      <c r="E1030" s="8"/>
      <c r="F1030" s="8"/>
    </row>
    <row r="1031" spans="1:6" x14ac:dyDescent="0.2">
      <c r="A1031" s="38"/>
      <c r="B1031" s="38"/>
      <c r="C1031" s="8"/>
      <c r="D1031" s="8"/>
      <c r="E1031" s="8"/>
      <c r="F1031" s="8"/>
    </row>
    <row r="1032" spans="1:6" x14ac:dyDescent="0.2">
      <c r="A1032" s="38"/>
      <c r="B1032" s="38"/>
      <c r="C1032" s="8"/>
      <c r="D1032" s="8"/>
      <c r="E1032" s="8"/>
      <c r="F1032" s="8"/>
    </row>
    <row r="1033" spans="1:6" x14ac:dyDescent="0.2">
      <c r="A1033" s="38"/>
      <c r="B1033" s="38"/>
      <c r="C1033" s="8"/>
      <c r="D1033" s="8"/>
      <c r="E1033" s="8"/>
      <c r="F1033" s="8"/>
    </row>
    <row r="1034" spans="1:6" x14ac:dyDescent="0.2">
      <c r="A1034" s="38"/>
      <c r="B1034" s="38"/>
      <c r="C1034" s="8"/>
      <c r="D1034" s="8"/>
      <c r="E1034" s="8"/>
      <c r="F1034" s="8"/>
    </row>
    <row r="1035" spans="1:6" x14ac:dyDescent="0.2">
      <c r="A1035" s="38"/>
      <c r="B1035" s="38"/>
      <c r="C1035" s="8"/>
      <c r="D1035" s="8"/>
      <c r="E1035" s="8"/>
      <c r="F1035" s="8"/>
    </row>
    <row r="1036" spans="1:6" x14ac:dyDescent="0.2">
      <c r="A1036" s="38"/>
      <c r="B1036" s="38"/>
      <c r="C1036" s="8"/>
      <c r="D1036" s="8"/>
      <c r="E1036" s="8"/>
      <c r="F1036" s="8"/>
    </row>
    <row r="1037" spans="1:6" x14ac:dyDescent="0.2">
      <c r="A1037" s="38"/>
      <c r="B1037" s="38"/>
      <c r="C1037" s="8"/>
      <c r="D1037" s="8"/>
      <c r="E1037" s="8"/>
      <c r="F1037" s="8"/>
    </row>
    <row r="1038" spans="1:6" x14ac:dyDescent="0.2">
      <c r="A1038" s="38"/>
      <c r="B1038" s="38"/>
      <c r="C1038" s="8"/>
      <c r="D1038" s="8"/>
      <c r="E1038" s="8"/>
      <c r="F1038" s="8"/>
    </row>
    <row r="1039" spans="1:6" x14ac:dyDescent="0.2">
      <c r="A1039" s="38"/>
      <c r="B1039" s="38"/>
      <c r="C1039" s="8"/>
      <c r="D1039" s="8"/>
      <c r="E1039" s="8"/>
      <c r="F1039" s="8"/>
    </row>
    <row r="1040" spans="1:6" x14ac:dyDescent="0.2">
      <c r="A1040" s="38"/>
      <c r="B1040" s="38"/>
      <c r="C1040" s="8"/>
      <c r="D1040" s="8"/>
      <c r="E1040" s="8"/>
      <c r="F1040" s="8"/>
    </row>
    <row r="1041" spans="1:6" x14ac:dyDescent="0.2">
      <c r="A1041" s="38"/>
      <c r="B1041" s="38"/>
      <c r="C1041" s="8"/>
      <c r="D1041" s="8"/>
      <c r="E1041" s="8"/>
      <c r="F1041" s="8"/>
    </row>
    <row r="1042" spans="1:6" x14ac:dyDescent="0.2">
      <c r="A1042" s="38"/>
      <c r="B1042" s="38"/>
      <c r="C1042" s="8"/>
      <c r="D1042" s="8"/>
      <c r="E1042" s="8"/>
      <c r="F1042" s="8"/>
    </row>
    <row r="1043" spans="1:6" x14ac:dyDescent="0.2">
      <c r="A1043" s="38"/>
      <c r="B1043" s="38"/>
      <c r="C1043" s="8"/>
      <c r="D1043" s="8"/>
      <c r="E1043" s="8"/>
      <c r="F1043" s="8"/>
    </row>
    <row r="1044" spans="1:6" x14ac:dyDescent="0.2">
      <c r="A1044" s="38"/>
      <c r="B1044" s="38"/>
      <c r="C1044" s="8"/>
      <c r="D1044" s="8"/>
      <c r="E1044" s="8"/>
      <c r="F1044" s="8"/>
    </row>
    <row r="1045" spans="1:6" x14ac:dyDescent="0.2">
      <c r="A1045" s="38"/>
      <c r="B1045" s="38"/>
      <c r="C1045" s="8"/>
      <c r="D1045" s="8"/>
      <c r="E1045" s="8"/>
      <c r="F1045" s="8"/>
    </row>
    <row r="1046" spans="1:6" x14ac:dyDescent="0.2">
      <c r="A1046" s="38"/>
      <c r="B1046" s="38"/>
      <c r="C1046" s="8"/>
      <c r="D1046" s="8"/>
      <c r="E1046" s="8"/>
      <c r="F1046" s="8"/>
    </row>
    <row r="1047" spans="1:6" x14ac:dyDescent="0.2">
      <c r="A1047" s="38"/>
      <c r="B1047" s="38"/>
      <c r="C1047" s="8"/>
      <c r="D1047" s="8"/>
      <c r="E1047" s="8"/>
      <c r="F1047" s="8"/>
    </row>
    <row r="1048" spans="1:6" x14ac:dyDescent="0.2">
      <c r="A1048" s="38"/>
      <c r="B1048" s="38"/>
      <c r="C1048" s="8"/>
      <c r="D1048" s="8"/>
      <c r="E1048" s="8"/>
      <c r="F1048" s="8"/>
    </row>
    <row r="1049" spans="1:6" x14ac:dyDescent="0.2">
      <c r="A1049" s="38"/>
      <c r="B1049" s="38"/>
      <c r="C1049" s="8"/>
      <c r="D1049" s="8"/>
      <c r="E1049" s="8"/>
      <c r="F1049" s="8"/>
    </row>
    <row r="1050" spans="1:6" x14ac:dyDescent="0.2">
      <c r="A1050" s="38"/>
      <c r="B1050" s="38"/>
      <c r="C1050" s="8"/>
      <c r="D1050" s="8"/>
      <c r="E1050" s="8"/>
      <c r="F1050" s="8"/>
    </row>
    <row r="1051" spans="1:6" x14ac:dyDescent="0.2">
      <c r="A1051" s="38"/>
      <c r="B1051" s="38"/>
      <c r="C1051" s="8"/>
      <c r="D1051" s="8"/>
      <c r="E1051" s="8"/>
      <c r="F1051" s="8"/>
    </row>
    <row r="1052" spans="1:6" x14ac:dyDescent="0.2">
      <c r="A1052" s="38"/>
      <c r="B1052" s="38"/>
      <c r="C1052" s="8"/>
      <c r="D1052" s="8"/>
      <c r="E1052" s="8"/>
      <c r="F1052" s="8"/>
    </row>
    <row r="1053" spans="1:6" x14ac:dyDescent="0.2">
      <c r="A1053" s="38"/>
      <c r="B1053" s="38"/>
      <c r="C1053" s="8"/>
      <c r="D1053" s="8"/>
      <c r="E1053" s="8"/>
      <c r="F1053" s="8"/>
    </row>
    <row r="1054" spans="1:6" x14ac:dyDescent="0.2">
      <c r="A1054" s="38"/>
      <c r="B1054" s="38"/>
      <c r="C1054" s="8"/>
      <c r="D1054" s="8"/>
      <c r="E1054" s="8"/>
      <c r="F1054" s="8"/>
    </row>
    <row r="1055" spans="1:6" x14ac:dyDescent="0.2">
      <c r="A1055" s="38"/>
      <c r="B1055" s="38"/>
      <c r="C1055" s="8"/>
      <c r="D1055" s="8"/>
      <c r="E1055" s="8"/>
      <c r="F1055" s="8"/>
    </row>
    <row r="1056" spans="1:6" x14ac:dyDescent="0.2">
      <c r="A1056" s="38"/>
      <c r="B1056" s="38"/>
      <c r="C1056" s="8"/>
      <c r="D1056" s="8"/>
      <c r="E1056" s="8"/>
      <c r="F1056" s="8"/>
    </row>
    <row r="1057" spans="1:6" x14ac:dyDescent="0.2">
      <c r="A1057" s="38"/>
      <c r="B1057" s="38"/>
      <c r="C1057" s="8"/>
      <c r="D1057" s="8"/>
      <c r="E1057" s="8"/>
      <c r="F1057" s="8"/>
    </row>
    <row r="1058" spans="1:6" x14ac:dyDescent="0.2">
      <c r="A1058" s="38"/>
      <c r="B1058" s="38"/>
      <c r="C1058" s="8"/>
      <c r="D1058" s="8"/>
      <c r="E1058" s="8"/>
      <c r="F1058" s="8"/>
    </row>
    <row r="1059" spans="1:6" x14ac:dyDescent="0.2">
      <c r="A1059" s="38"/>
      <c r="B1059" s="38"/>
      <c r="C1059" s="8"/>
      <c r="D1059" s="8"/>
      <c r="E1059" s="8"/>
      <c r="F1059" s="8"/>
    </row>
    <row r="1060" spans="1:6" x14ac:dyDescent="0.2">
      <c r="A1060" s="38"/>
      <c r="B1060" s="38"/>
      <c r="C1060" s="8"/>
      <c r="D1060" s="8"/>
      <c r="E1060" s="8"/>
      <c r="F1060" s="8"/>
    </row>
    <row r="1061" spans="1:6" x14ac:dyDescent="0.2">
      <c r="A1061" s="38"/>
      <c r="B1061" s="38"/>
      <c r="C1061" s="8"/>
      <c r="D1061" s="8"/>
      <c r="E1061" s="8"/>
      <c r="F1061" s="8"/>
    </row>
    <row r="1062" spans="1:6" x14ac:dyDescent="0.2">
      <c r="A1062" s="38"/>
      <c r="B1062" s="38"/>
      <c r="C1062" s="8"/>
      <c r="D1062" s="8"/>
      <c r="E1062" s="8"/>
      <c r="F1062" s="8"/>
    </row>
    <row r="1063" spans="1:6" x14ac:dyDescent="0.2">
      <c r="A1063" s="38"/>
      <c r="B1063" s="38"/>
      <c r="C1063" s="8"/>
      <c r="D1063" s="8"/>
      <c r="E1063" s="8"/>
      <c r="F1063" s="8"/>
    </row>
    <row r="1064" spans="1:6" x14ac:dyDescent="0.2">
      <c r="A1064" s="38"/>
      <c r="B1064" s="38"/>
      <c r="C1064" s="8"/>
      <c r="D1064" s="8"/>
      <c r="E1064" s="8"/>
      <c r="F1064" s="8"/>
    </row>
    <row r="1065" spans="1:6" x14ac:dyDescent="0.2">
      <c r="A1065" s="38"/>
      <c r="B1065" s="38"/>
      <c r="C1065" s="8"/>
      <c r="D1065" s="8"/>
      <c r="E1065" s="8"/>
      <c r="F1065" s="8"/>
    </row>
    <row r="1066" spans="1:6" x14ac:dyDescent="0.2">
      <c r="A1066" s="38"/>
      <c r="B1066" s="38"/>
      <c r="C1066" s="8"/>
      <c r="D1066" s="8"/>
      <c r="E1066" s="8"/>
      <c r="F1066" s="8"/>
    </row>
    <row r="1067" spans="1:6" x14ac:dyDescent="0.2">
      <c r="A1067" s="38"/>
      <c r="B1067" s="38"/>
      <c r="C1067" s="8"/>
      <c r="D1067" s="8"/>
      <c r="E1067" s="8"/>
      <c r="F1067" s="8"/>
    </row>
    <row r="1068" spans="1:6" x14ac:dyDescent="0.2">
      <c r="A1068" s="38"/>
      <c r="B1068" s="38"/>
      <c r="C1068" s="8"/>
      <c r="D1068" s="8"/>
      <c r="E1068" s="8"/>
      <c r="F1068" s="8"/>
    </row>
    <row r="1069" spans="1:6" x14ac:dyDescent="0.2">
      <c r="A1069" s="38"/>
      <c r="B1069" s="38"/>
      <c r="C1069" s="8"/>
      <c r="D1069" s="8"/>
      <c r="E1069" s="8"/>
      <c r="F1069" s="8"/>
    </row>
    <row r="1070" spans="1:6" x14ac:dyDescent="0.2">
      <c r="A1070" s="38"/>
      <c r="B1070" s="38"/>
      <c r="C1070" s="8"/>
      <c r="D1070" s="8"/>
      <c r="E1070" s="8"/>
      <c r="F1070" s="8"/>
    </row>
    <row r="1071" spans="1:6" x14ac:dyDescent="0.2">
      <c r="A1071" s="38"/>
      <c r="B1071" s="38"/>
      <c r="C1071" s="8"/>
      <c r="D1071" s="8"/>
      <c r="E1071" s="8"/>
      <c r="F1071" s="8"/>
    </row>
    <row r="1072" spans="1:6" x14ac:dyDescent="0.2">
      <c r="A1072" s="38"/>
      <c r="B1072" s="38"/>
      <c r="C1072" s="8"/>
      <c r="D1072" s="8"/>
      <c r="E1072" s="8"/>
      <c r="F1072" s="8"/>
    </row>
    <row r="1073" spans="1:6" x14ac:dyDescent="0.2">
      <c r="A1073" s="38"/>
      <c r="B1073" s="38"/>
      <c r="C1073" s="8"/>
      <c r="D1073" s="8"/>
      <c r="E1073" s="8"/>
      <c r="F1073" s="8"/>
    </row>
    <row r="1074" spans="1:6" x14ac:dyDescent="0.2">
      <c r="A1074" s="38"/>
      <c r="B1074" s="38"/>
      <c r="C1074" s="8"/>
      <c r="D1074" s="8"/>
      <c r="E1074" s="8"/>
      <c r="F1074" s="8"/>
    </row>
    <row r="1075" spans="1:6" x14ac:dyDescent="0.2">
      <c r="A1075" s="38"/>
      <c r="B1075" s="38"/>
      <c r="C1075" s="8"/>
      <c r="D1075" s="8"/>
      <c r="E1075" s="8"/>
      <c r="F1075" s="8"/>
    </row>
    <row r="1076" spans="1:6" x14ac:dyDescent="0.2">
      <c r="A1076" s="38"/>
      <c r="B1076" s="38"/>
      <c r="C1076" s="8"/>
      <c r="D1076" s="8"/>
      <c r="E1076" s="8"/>
      <c r="F1076" s="8"/>
    </row>
    <row r="1077" spans="1:6" x14ac:dyDescent="0.2">
      <c r="A1077" s="38"/>
      <c r="B1077" s="38"/>
      <c r="C1077" s="8"/>
      <c r="D1077" s="8"/>
      <c r="E1077" s="8"/>
      <c r="F1077" s="8"/>
    </row>
    <row r="1078" spans="1:6" x14ac:dyDescent="0.2">
      <c r="A1078" s="38"/>
      <c r="B1078" s="38"/>
      <c r="C1078" s="8"/>
      <c r="D1078" s="8"/>
      <c r="E1078" s="8"/>
      <c r="F1078" s="8"/>
    </row>
    <row r="1079" spans="1:6" x14ac:dyDescent="0.2">
      <c r="A1079" s="38"/>
      <c r="B1079" s="38"/>
      <c r="C1079" s="8"/>
      <c r="D1079" s="8"/>
      <c r="E1079" s="8"/>
      <c r="F1079" s="8"/>
    </row>
    <row r="1080" spans="1:6" x14ac:dyDescent="0.2">
      <c r="A1080" s="38"/>
      <c r="B1080" s="38"/>
      <c r="C1080" s="8"/>
      <c r="D1080" s="8"/>
      <c r="E1080" s="8"/>
      <c r="F1080" s="8"/>
    </row>
    <row r="1081" spans="1:6" x14ac:dyDescent="0.2">
      <c r="A1081" s="38"/>
      <c r="B1081" s="38"/>
      <c r="C1081" s="8"/>
      <c r="D1081" s="8"/>
      <c r="E1081" s="8"/>
      <c r="F1081" s="8"/>
    </row>
    <row r="1082" spans="1:6" x14ac:dyDescent="0.2">
      <c r="A1082" s="38"/>
      <c r="B1082" s="38"/>
      <c r="C1082" s="8"/>
      <c r="D1082" s="8"/>
      <c r="E1082" s="8"/>
      <c r="F1082" s="8"/>
    </row>
    <row r="1083" spans="1:6" x14ac:dyDescent="0.2">
      <c r="A1083" s="38"/>
      <c r="B1083" s="38"/>
      <c r="C1083" s="8"/>
      <c r="D1083" s="8"/>
      <c r="E1083" s="8"/>
      <c r="F1083" s="8"/>
    </row>
    <row r="1084" spans="1:6" x14ac:dyDescent="0.2">
      <c r="A1084" s="38"/>
      <c r="B1084" s="38"/>
      <c r="C1084" s="8"/>
      <c r="D1084" s="8"/>
      <c r="E1084" s="8"/>
      <c r="F1084" s="8"/>
    </row>
    <row r="1085" spans="1:6" x14ac:dyDescent="0.2">
      <c r="A1085" s="38"/>
      <c r="B1085" s="38"/>
      <c r="C1085" s="8"/>
      <c r="D1085" s="8"/>
      <c r="E1085" s="8"/>
      <c r="F1085" s="8"/>
    </row>
    <row r="1086" spans="1:6" x14ac:dyDescent="0.2">
      <c r="A1086" s="38"/>
      <c r="B1086" s="38"/>
      <c r="C1086" s="8"/>
      <c r="D1086" s="8"/>
      <c r="E1086" s="8"/>
      <c r="F1086" s="8"/>
    </row>
    <row r="1087" spans="1:6" x14ac:dyDescent="0.2">
      <c r="A1087" s="38"/>
      <c r="B1087" s="38"/>
      <c r="C1087" s="8"/>
      <c r="D1087" s="8"/>
      <c r="E1087" s="8"/>
      <c r="F1087" s="8"/>
    </row>
    <row r="1088" spans="1:6" x14ac:dyDescent="0.2">
      <c r="A1088" s="38"/>
      <c r="B1088" s="38"/>
      <c r="C1088" s="8"/>
      <c r="D1088" s="8"/>
      <c r="E1088" s="8"/>
      <c r="F1088" s="8"/>
    </row>
    <row r="1089" spans="1:6" x14ac:dyDescent="0.2">
      <c r="A1089" s="38"/>
      <c r="B1089" s="38"/>
      <c r="C1089" s="8"/>
      <c r="D1089" s="8"/>
      <c r="E1089" s="8"/>
      <c r="F1089" s="8"/>
    </row>
    <row r="1090" spans="1:6" x14ac:dyDescent="0.2">
      <c r="A1090" s="38"/>
      <c r="B1090" s="38"/>
      <c r="C1090" s="8"/>
      <c r="D1090" s="8"/>
      <c r="E1090" s="8"/>
      <c r="F1090" s="8"/>
    </row>
    <row r="1091" spans="1:6" x14ac:dyDescent="0.2">
      <c r="A1091" s="38"/>
      <c r="B1091" s="38"/>
      <c r="C1091" s="8"/>
      <c r="D1091" s="8"/>
      <c r="E1091" s="8"/>
      <c r="F1091" s="8"/>
    </row>
    <row r="1092" spans="1:6" x14ac:dyDescent="0.2">
      <c r="A1092" s="38"/>
      <c r="B1092" s="38"/>
      <c r="C1092" s="8"/>
      <c r="D1092" s="8"/>
      <c r="E1092" s="8"/>
      <c r="F1092" s="8"/>
    </row>
    <row r="1093" spans="1:6" x14ac:dyDescent="0.2">
      <c r="A1093" s="38"/>
      <c r="B1093" s="38"/>
      <c r="C1093" s="8"/>
      <c r="D1093" s="8"/>
      <c r="E1093" s="8"/>
      <c r="F1093" s="8"/>
    </row>
    <row r="1094" spans="1:6" x14ac:dyDescent="0.2">
      <c r="A1094" s="38"/>
      <c r="B1094" s="38"/>
      <c r="C1094" s="8"/>
      <c r="D1094" s="8"/>
      <c r="E1094" s="8"/>
      <c r="F1094" s="8"/>
    </row>
    <row r="1095" spans="1:6" x14ac:dyDescent="0.2">
      <c r="A1095" s="38"/>
      <c r="B1095" s="38"/>
      <c r="C1095" s="8"/>
      <c r="D1095" s="8"/>
      <c r="E1095" s="8"/>
      <c r="F1095" s="8"/>
    </row>
    <row r="1096" spans="1:6" x14ac:dyDescent="0.2">
      <c r="A1096" s="38"/>
      <c r="B1096" s="38"/>
      <c r="C1096" s="8"/>
      <c r="D1096" s="8"/>
      <c r="E1096" s="8"/>
      <c r="F1096" s="8"/>
    </row>
    <row r="1097" spans="1:6" x14ac:dyDescent="0.2">
      <c r="A1097" s="38"/>
      <c r="B1097" s="38"/>
      <c r="C1097" s="8"/>
      <c r="D1097" s="8"/>
      <c r="E1097" s="8"/>
      <c r="F1097" s="8"/>
    </row>
    <row r="1098" spans="1:6" x14ac:dyDescent="0.2">
      <c r="A1098" s="38"/>
      <c r="B1098" s="38"/>
      <c r="C1098" s="8"/>
      <c r="D1098" s="8"/>
      <c r="E1098" s="8"/>
      <c r="F1098" s="8"/>
    </row>
    <row r="1099" spans="1:6" x14ac:dyDescent="0.2">
      <c r="A1099" s="38"/>
      <c r="B1099" s="38"/>
      <c r="C1099" s="8"/>
      <c r="D1099" s="8"/>
      <c r="E1099" s="8"/>
      <c r="F1099" s="8"/>
    </row>
    <row r="1100" spans="1:6" x14ac:dyDescent="0.2">
      <c r="A1100" s="38"/>
      <c r="B1100" s="38"/>
      <c r="C1100" s="8"/>
      <c r="D1100" s="8"/>
      <c r="E1100" s="8"/>
      <c r="F1100" s="8"/>
    </row>
    <row r="1101" spans="1:6" x14ac:dyDescent="0.2">
      <c r="A1101" s="38"/>
      <c r="B1101" s="38"/>
      <c r="C1101" s="8"/>
      <c r="D1101" s="8"/>
      <c r="E1101" s="8"/>
      <c r="F1101" s="8"/>
    </row>
    <row r="1102" spans="1:6" x14ac:dyDescent="0.2">
      <c r="A1102" s="38"/>
      <c r="B1102" s="38"/>
      <c r="C1102" s="8"/>
      <c r="D1102" s="8"/>
      <c r="E1102" s="8"/>
      <c r="F1102" s="8"/>
    </row>
    <row r="1103" spans="1:6" x14ac:dyDescent="0.2">
      <c r="A1103" s="38"/>
      <c r="B1103" s="38"/>
      <c r="C1103" s="8"/>
      <c r="D1103" s="8"/>
      <c r="E1103" s="8"/>
      <c r="F1103" s="8"/>
    </row>
    <row r="1104" spans="1:6" x14ac:dyDescent="0.2">
      <c r="A1104" s="38"/>
      <c r="B1104" s="38"/>
      <c r="C1104" s="8"/>
      <c r="D1104" s="8"/>
      <c r="E1104" s="8"/>
      <c r="F1104" s="8"/>
    </row>
    <row r="1105" spans="1:6" x14ac:dyDescent="0.2">
      <c r="A1105" s="38"/>
      <c r="B1105" s="38"/>
      <c r="C1105" s="8"/>
      <c r="D1105" s="8"/>
      <c r="E1105" s="8"/>
      <c r="F1105" s="8"/>
    </row>
    <row r="1106" spans="1:6" x14ac:dyDescent="0.2">
      <c r="A1106" s="38"/>
      <c r="B1106" s="38"/>
      <c r="C1106" s="8"/>
      <c r="D1106" s="8"/>
      <c r="E1106" s="8"/>
      <c r="F1106" s="8"/>
    </row>
    <row r="1107" spans="1:6" x14ac:dyDescent="0.2">
      <c r="A1107" s="38"/>
      <c r="B1107" s="38"/>
      <c r="C1107" s="8"/>
      <c r="D1107" s="8"/>
      <c r="E1107" s="8"/>
      <c r="F1107" s="8"/>
    </row>
    <row r="1108" spans="1:6" x14ac:dyDescent="0.2">
      <c r="A1108" s="38"/>
      <c r="B1108" s="38"/>
      <c r="C1108" s="8"/>
      <c r="D1108" s="8"/>
      <c r="E1108" s="8"/>
      <c r="F1108" s="8"/>
    </row>
    <row r="1109" spans="1:6" x14ac:dyDescent="0.2">
      <c r="A1109" s="38"/>
      <c r="B1109" s="38"/>
      <c r="C1109" s="8"/>
      <c r="D1109" s="8"/>
      <c r="E1109" s="8"/>
      <c r="F1109" s="8"/>
    </row>
    <row r="1110" spans="1:6" x14ac:dyDescent="0.2">
      <c r="A1110" s="38"/>
      <c r="B1110" s="38"/>
      <c r="C1110" s="8"/>
      <c r="D1110" s="8"/>
      <c r="E1110" s="8"/>
      <c r="F1110" s="8"/>
    </row>
    <row r="1111" spans="1:6" x14ac:dyDescent="0.2">
      <c r="A1111" s="38"/>
      <c r="B1111" s="38"/>
      <c r="C1111" s="8"/>
      <c r="D1111" s="8"/>
      <c r="E1111" s="8"/>
      <c r="F1111" s="8"/>
    </row>
    <row r="1112" spans="1:6" x14ac:dyDescent="0.2">
      <c r="A1112" s="38"/>
      <c r="B1112" s="38"/>
      <c r="C1112" s="8"/>
      <c r="D1112" s="8"/>
      <c r="E1112" s="8"/>
      <c r="F1112" s="8"/>
    </row>
    <row r="1113" spans="1:6" x14ac:dyDescent="0.2">
      <c r="A1113" s="38"/>
      <c r="B1113" s="38"/>
      <c r="C1113" s="8"/>
      <c r="D1113" s="8"/>
      <c r="E1113" s="8"/>
      <c r="F1113" s="8"/>
    </row>
    <row r="1114" spans="1:6" x14ac:dyDescent="0.2">
      <c r="A1114" s="38"/>
      <c r="B1114" s="38"/>
      <c r="C1114" s="8"/>
      <c r="D1114" s="8"/>
      <c r="E1114" s="8"/>
      <c r="F1114" s="8"/>
    </row>
    <row r="1115" spans="1:6" x14ac:dyDescent="0.2">
      <c r="A1115" s="38"/>
      <c r="B1115" s="38"/>
      <c r="C1115" s="8"/>
      <c r="D1115" s="8"/>
      <c r="E1115" s="8"/>
      <c r="F1115" s="8"/>
    </row>
    <row r="1116" spans="1:6" x14ac:dyDescent="0.2">
      <c r="A1116" s="38"/>
      <c r="B1116" s="38"/>
      <c r="C1116" s="8"/>
      <c r="D1116" s="8"/>
      <c r="E1116" s="8"/>
      <c r="F1116" s="8"/>
    </row>
    <row r="1117" spans="1:6" x14ac:dyDescent="0.2">
      <c r="A1117" s="38"/>
      <c r="B1117" s="38"/>
      <c r="C1117" s="8"/>
      <c r="D1117" s="8"/>
      <c r="E1117" s="8"/>
      <c r="F1117" s="8"/>
    </row>
    <row r="1118" spans="1:6" x14ac:dyDescent="0.2">
      <c r="A1118" s="38"/>
      <c r="B1118" s="38"/>
      <c r="C1118" s="8"/>
      <c r="D1118" s="8"/>
      <c r="E1118" s="8"/>
      <c r="F1118" s="8"/>
    </row>
    <row r="1119" spans="1:6" x14ac:dyDescent="0.2">
      <c r="A1119" s="38"/>
      <c r="B1119" s="38"/>
      <c r="C1119" s="8"/>
      <c r="D1119" s="8"/>
      <c r="E1119" s="8"/>
      <c r="F1119" s="8"/>
    </row>
    <row r="1120" spans="1:6" x14ac:dyDescent="0.2">
      <c r="A1120" s="38"/>
      <c r="B1120" s="38"/>
      <c r="C1120" s="8"/>
      <c r="D1120" s="8"/>
      <c r="E1120" s="8"/>
      <c r="F1120" s="8"/>
    </row>
    <row r="1121" spans="1:6" x14ac:dyDescent="0.2">
      <c r="A1121" s="38"/>
      <c r="B1121" s="38"/>
      <c r="C1121" s="8"/>
      <c r="D1121" s="8"/>
      <c r="E1121" s="8"/>
      <c r="F1121" s="8"/>
    </row>
    <row r="1122" spans="1:6" x14ac:dyDescent="0.2">
      <c r="A1122" s="38"/>
      <c r="B1122" s="38"/>
      <c r="C1122" s="8"/>
      <c r="D1122" s="8"/>
      <c r="E1122" s="8"/>
      <c r="F1122" s="8"/>
    </row>
    <row r="1123" spans="1:6" x14ac:dyDescent="0.2">
      <c r="A1123" s="38"/>
      <c r="B1123" s="38"/>
      <c r="C1123" s="8"/>
      <c r="D1123" s="8"/>
      <c r="E1123" s="8"/>
      <c r="F1123" s="8"/>
    </row>
    <row r="1124" spans="1:6" x14ac:dyDescent="0.2">
      <c r="A1124" s="38"/>
      <c r="B1124" s="38"/>
      <c r="C1124" s="8"/>
      <c r="D1124" s="8"/>
      <c r="E1124" s="8"/>
      <c r="F1124" s="8"/>
    </row>
    <row r="1125" spans="1:6" x14ac:dyDescent="0.2">
      <c r="A1125" s="38"/>
      <c r="B1125" s="38"/>
      <c r="C1125" s="8"/>
      <c r="D1125" s="8"/>
      <c r="E1125" s="8"/>
      <c r="F1125" s="8"/>
    </row>
    <row r="1126" spans="1:6" x14ac:dyDescent="0.2">
      <c r="A1126" s="38"/>
      <c r="B1126" s="38"/>
      <c r="C1126" s="8"/>
      <c r="D1126" s="8"/>
      <c r="E1126" s="8"/>
      <c r="F1126" s="8"/>
    </row>
    <row r="1127" spans="1:6" x14ac:dyDescent="0.2">
      <c r="A1127" s="38"/>
      <c r="B1127" s="38"/>
      <c r="C1127" s="8"/>
      <c r="D1127" s="8"/>
      <c r="E1127" s="8"/>
      <c r="F1127" s="8"/>
    </row>
    <row r="1128" spans="1:6" x14ac:dyDescent="0.2">
      <c r="A1128" s="38"/>
      <c r="B1128" s="38"/>
      <c r="C1128" s="8"/>
      <c r="D1128" s="8"/>
      <c r="E1128" s="8"/>
      <c r="F1128" s="8"/>
    </row>
    <row r="1129" spans="1:6" x14ac:dyDescent="0.2">
      <c r="A1129" s="38"/>
      <c r="B1129" s="38"/>
      <c r="C1129" s="8"/>
      <c r="D1129" s="8"/>
      <c r="E1129" s="8"/>
      <c r="F1129" s="8"/>
    </row>
    <row r="1130" spans="1:6" x14ac:dyDescent="0.2">
      <c r="A1130" s="38"/>
      <c r="B1130" s="38"/>
      <c r="C1130" s="8"/>
      <c r="D1130" s="8"/>
      <c r="E1130" s="8"/>
      <c r="F1130" s="8"/>
    </row>
    <row r="1131" spans="1:6" x14ac:dyDescent="0.2">
      <c r="A1131" s="38"/>
      <c r="B1131" s="38"/>
      <c r="C1131" s="8"/>
      <c r="D1131" s="8"/>
      <c r="E1131" s="8"/>
      <c r="F1131" s="8"/>
    </row>
    <row r="1132" spans="1:6" x14ac:dyDescent="0.2">
      <c r="A1132" s="38"/>
      <c r="B1132" s="38"/>
      <c r="C1132" s="8"/>
      <c r="D1132" s="8"/>
      <c r="E1132" s="8"/>
      <c r="F1132" s="8"/>
    </row>
    <row r="1133" spans="1:6" x14ac:dyDescent="0.2">
      <c r="A1133" s="38"/>
      <c r="B1133" s="38"/>
      <c r="C1133" s="8"/>
      <c r="D1133" s="8"/>
      <c r="E1133" s="8"/>
      <c r="F1133" s="8"/>
    </row>
    <row r="1134" spans="1:6" x14ac:dyDescent="0.2">
      <c r="A1134" s="38"/>
      <c r="B1134" s="38"/>
      <c r="C1134" s="8"/>
      <c r="D1134" s="8"/>
      <c r="E1134" s="8"/>
      <c r="F1134" s="8"/>
    </row>
    <row r="1135" spans="1:6" x14ac:dyDescent="0.2">
      <c r="A1135" s="38"/>
      <c r="B1135" s="38"/>
      <c r="C1135" s="8"/>
      <c r="D1135" s="8"/>
      <c r="E1135" s="8"/>
      <c r="F1135" s="8"/>
    </row>
    <row r="1136" spans="1:6" x14ac:dyDescent="0.2">
      <c r="A1136" s="38"/>
      <c r="B1136" s="38"/>
      <c r="C1136" s="8"/>
      <c r="D1136" s="8"/>
      <c r="E1136" s="8"/>
      <c r="F1136" s="8"/>
    </row>
    <row r="1137" spans="1:6" x14ac:dyDescent="0.2">
      <c r="A1137" s="38"/>
      <c r="B1137" s="38"/>
      <c r="C1137" s="8"/>
      <c r="D1137" s="8"/>
      <c r="E1137" s="8"/>
      <c r="F1137" s="8"/>
    </row>
    <row r="1138" spans="1:6" x14ac:dyDescent="0.2">
      <c r="A1138" s="38"/>
      <c r="B1138" s="38"/>
      <c r="C1138" s="8"/>
      <c r="D1138" s="8"/>
      <c r="E1138" s="8"/>
      <c r="F1138" s="8"/>
    </row>
    <row r="1139" spans="1:6" x14ac:dyDescent="0.2">
      <c r="A1139" s="38"/>
      <c r="B1139" s="38"/>
      <c r="C1139" s="8"/>
      <c r="D1139" s="8"/>
      <c r="E1139" s="8"/>
      <c r="F1139" s="8"/>
    </row>
    <row r="1140" spans="1:6" x14ac:dyDescent="0.2">
      <c r="A1140" s="38"/>
      <c r="B1140" s="38"/>
      <c r="C1140" s="8"/>
      <c r="D1140" s="8"/>
      <c r="E1140" s="8"/>
      <c r="F1140" s="8"/>
    </row>
    <row r="1141" spans="1:6" x14ac:dyDescent="0.2">
      <c r="A1141" s="38"/>
      <c r="B1141" s="38"/>
      <c r="C1141" s="8"/>
      <c r="D1141" s="8"/>
      <c r="E1141" s="8"/>
      <c r="F1141" s="8"/>
    </row>
    <row r="1142" spans="1:6" x14ac:dyDescent="0.2">
      <c r="A1142" s="38"/>
      <c r="B1142" s="38"/>
      <c r="C1142" s="8"/>
      <c r="D1142" s="8"/>
      <c r="E1142" s="8"/>
      <c r="F1142" s="8"/>
    </row>
    <row r="1143" spans="1:6" x14ac:dyDescent="0.2">
      <c r="A1143" s="38"/>
      <c r="B1143" s="38"/>
      <c r="C1143" s="8"/>
      <c r="D1143" s="8"/>
      <c r="E1143" s="8"/>
      <c r="F1143" s="8"/>
    </row>
    <row r="1144" spans="1:6" x14ac:dyDescent="0.2">
      <c r="A1144" s="38"/>
      <c r="B1144" s="38"/>
      <c r="C1144" s="8"/>
      <c r="D1144" s="8"/>
      <c r="E1144" s="8"/>
      <c r="F1144" s="8"/>
    </row>
    <row r="1145" spans="1:6" x14ac:dyDescent="0.2">
      <c r="A1145" s="38"/>
      <c r="B1145" s="38"/>
      <c r="C1145" s="8"/>
      <c r="D1145" s="8"/>
      <c r="E1145" s="8"/>
      <c r="F1145" s="8"/>
    </row>
    <row r="1146" spans="1:6" x14ac:dyDescent="0.2">
      <c r="A1146" s="38"/>
      <c r="B1146" s="38"/>
      <c r="C1146" s="8"/>
      <c r="D1146" s="8"/>
      <c r="E1146" s="8"/>
      <c r="F1146" s="8"/>
    </row>
    <row r="1147" spans="1:6" x14ac:dyDescent="0.2">
      <c r="A1147" s="38"/>
      <c r="B1147" s="38"/>
      <c r="C1147" s="8"/>
      <c r="D1147" s="8"/>
      <c r="E1147" s="8"/>
      <c r="F1147" s="8"/>
    </row>
    <row r="1148" spans="1:6" x14ac:dyDescent="0.2">
      <c r="A1148" s="38"/>
      <c r="B1148" s="38"/>
      <c r="C1148" s="8"/>
      <c r="D1148" s="8"/>
      <c r="E1148" s="8"/>
      <c r="F1148" s="8"/>
    </row>
    <row r="1149" spans="1:6" x14ac:dyDescent="0.2">
      <c r="A1149" s="38"/>
      <c r="B1149" s="38"/>
      <c r="C1149" s="8"/>
      <c r="D1149" s="8"/>
      <c r="E1149" s="8"/>
      <c r="F1149" s="8"/>
    </row>
    <row r="1150" spans="1:6" x14ac:dyDescent="0.2">
      <c r="A1150" s="38"/>
      <c r="B1150" s="38"/>
      <c r="C1150" s="8"/>
      <c r="D1150" s="8"/>
      <c r="E1150" s="8"/>
      <c r="F1150" s="8"/>
    </row>
    <row r="1151" spans="1:6" x14ac:dyDescent="0.2">
      <c r="A1151" s="38"/>
      <c r="B1151" s="38"/>
      <c r="C1151" s="8"/>
      <c r="D1151" s="8"/>
      <c r="E1151" s="8"/>
      <c r="F1151" s="8"/>
    </row>
    <row r="1152" spans="1:6" x14ac:dyDescent="0.2">
      <c r="A1152" s="38"/>
      <c r="B1152" s="38"/>
      <c r="C1152" s="8"/>
      <c r="D1152" s="8"/>
      <c r="E1152" s="8"/>
      <c r="F1152" s="8"/>
    </row>
    <row r="1153" spans="1:6" x14ac:dyDescent="0.2">
      <c r="A1153" s="38"/>
      <c r="B1153" s="38"/>
      <c r="C1153" s="8"/>
      <c r="D1153" s="8"/>
      <c r="E1153" s="8"/>
      <c r="F1153" s="8"/>
    </row>
    <row r="1154" spans="1:6" x14ac:dyDescent="0.2">
      <c r="A1154" s="38"/>
      <c r="B1154" s="38"/>
      <c r="C1154" s="8"/>
      <c r="D1154" s="8"/>
      <c r="E1154" s="8"/>
      <c r="F1154" s="8"/>
    </row>
    <row r="1155" spans="1:6" x14ac:dyDescent="0.2">
      <c r="A1155" s="38"/>
      <c r="B1155" s="38"/>
      <c r="C1155" s="8"/>
      <c r="D1155" s="8"/>
      <c r="E1155" s="8"/>
      <c r="F1155" s="8"/>
    </row>
    <row r="1156" spans="1:6" x14ac:dyDescent="0.2">
      <c r="A1156" s="38"/>
      <c r="B1156" s="38"/>
      <c r="C1156" s="8"/>
      <c r="D1156" s="8"/>
      <c r="E1156" s="8"/>
      <c r="F1156" s="8"/>
    </row>
    <row r="1157" spans="1:6" x14ac:dyDescent="0.2">
      <c r="A1157" s="38"/>
      <c r="B1157" s="38"/>
      <c r="C1157" s="8"/>
      <c r="D1157" s="8"/>
      <c r="E1157" s="8"/>
      <c r="F1157" s="8"/>
    </row>
    <row r="1158" spans="1:6" x14ac:dyDescent="0.2">
      <c r="A1158" s="38"/>
      <c r="B1158" s="38"/>
      <c r="C1158" s="8"/>
      <c r="D1158" s="8"/>
      <c r="E1158" s="8"/>
      <c r="F1158" s="8"/>
    </row>
    <row r="1159" spans="1:6" x14ac:dyDescent="0.2">
      <c r="A1159" s="38"/>
      <c r="B1159" s="38"/>
      <c r="C1159" s="8"/>
      <c r="D1159" s="8"/>
      <c r="E1159" s="8"/>
      <c r="F1159" s="8"/>
    </row>
    <row r="1160" spans="1:6" x14ac:dyDescent="0.2">
      <c r="A1160" s="38"/>
      <c r="B1160" s="38"/>
      <c r="C1160" s="8"/>
      <c r="D1160" s="8"/>
      <c r="E1160" s="8"/>
      <c r="F1160" s="8"/>
    </row>
    <row r="1161" spans="1:6" x14ac:dyDescent="0.2">
      <c r="A1161" s="38"/>
      <c r="B1161" s="38"/>
      <c r="C1161" s="8"/>
      <c r="D1161" s="8"/>
      <c r="E1161" s="8"/>
      <c r="F1161" s="8"/>
    </row>
    <row r="1162" spans="1:6" x14ac:dyDescent="0.2">
      <c r="A1162" s="38"/>
      <c r="B1162" s="38"/>
      <c r="C1162" s="8"/>
      <c r="D1162" s="8"/>
      <c r="E1162" s="8"/>
      <c r="F1162" s="8"/>
    </row>
    <row r="1163" spans="1:6" x14ac:dyDescent="0.2">
      <c r="A1163" s="38"/>
      <c r="B1163" s="38"/>
      <c r="C1163" s="8"/>
      <c r="D1163" s="8"/>
      <c r="E1163" s="8"/>
      <c r="F1163" s="8"/>
    </row>
    <row r="1164" spans="1:6" x14ac:dyDescent="0.2">
      <c r="A1164" s="38"/>
      <c r="B1164" s="38"/>
      <c r="C1164" s="8"/>
      <c r="D1164" s="8"/>
      <c r="E1164" s="8"/>
      <c r="F1164" s="8"/>
    </row>
    <row r="1165" spans="1:6" x14ac:dyDescent="0.2">
      <c r="A1165" s="38"/>
      <c r="B1165" s="38"/>
      <c r="C1165" s="8"/>
      <c r="D1165" s="8"/>
      <c r="E1165" s="8"/>
      <c r="F1165" s="8"/>
    </row>
    <row r="1166" spans="1:6" x14ac:dyDescent="0.2">
      <c r="A1166" s="38"/>
      <c r="B1166" s="38"/>
      <c r="C1166" s="8"/>
      <c r="D1166" s="8"/>
      <c r="E1166" s="8"/>
      <c r="F1166" s="8"/>
    </row>
    <row r="1167" spans="1:6" x14ac:dyDescent="0.2">
      <c r="A1167" s="38"/>
      <c r="B1167" s="38"/>
      <c r="C1167" s="8"/>
      <c r="D1167" s="8"/>
      <c r="E1167" s="8"/>
      <c r="F1167" s="8"/>
    </row>
    <row r="1168" spans="1:6" x14ac:dyDescent="0.2">
      <c r="A1168" s="38"/>
      <c r="B1168" s="38"/>
      <c r="C1168" s="8"/>
      <c r="D1168" s="8"/>
      <c r="E1168" s="8"/>
      <c r="F1168" s="8"/>
    </row>
    <row r="1169" spans="1:6" x14ac:dyDescent="0.2">
      <c r="A1169" s="38"/>
      <c r="B1169" s="38"/>
      <c r="C1169" s="8"/>
      <c r="D1169" s="8"/>
      <c r="E1169" s="8"/>
      <c r="F1169" s="8"/>
    </row>
    <row r="1170" spans="1:6" x14ac:dyDescent="0.2">
      <c r="A1170" s="38"/>
      <c r="B1170" s="38"/>
      <c r="C1170" s="8"/>
      <c r="D1170" s="8"/>
      <c r="E1170" s="8"/>
      <c r="F1170" s="8"/>
    </row>
    <row r="1171" spans="1:6" x14ac:dyDescent="0.2">
      <c r="A1171" s="38"/>
      <c r="B1171" s="38"/>
      <c r="C1171" s="8"/>
      <c r="D1171" s="8"/>
      <c r="E1171" s="8"/>
      <c r="F1171" s="8"/>
    </row>
    <row r="1172" spans="1:6" x14ac:dyDescent="0.2">
      <c r="A1172" s="38"/>
      <c r="B1172" s="38"/>
      <c r="C1172" s="8"/>
      <c r="D1172" s="8"/>
      <c r="E1172" s="8"/>
      <c r="F1172" s="8"/>
    </row>
    <row r="1173" spans="1:6" x14ac:dyDescent="0.2">
      <c r="A1173" s="38"/>
      <c r="B1173" s="38"/>
      <c r="C1173" s="8"/>
      <c r="D1173" s="8"/>
      <c r="E1173" s="8"/>
      <c r="F1173" s="8"/>
    </row>
    <row r="1174" spans="1:6" x14ac:dyDescent="0.2">
      <c r="A1174" s="38"/>
      <c r="B1174" s="38"/>
      <c r="C1174" s="8"/>
      <c r="D1174" s="8"/>
      <c r="E1174" s="8"/>
      <c r="F1174" s="8"/>
    </row>
    <row r="1175" spans="1:6" x14ac:dyDescent="0.2">
      <c r="A1175" s="38"/>
      <c r="B1175" s="38"/>
      <c r="C1175" s="8"/>
      <c r="D1175" s="8"/>
      <c r="E1175" s="8"/>
      <c r="F1175" s="8"/>
    </row>
    <row r="1176" spans="1:6" x14ac:dyDescent="0.2">
      <c r="A1176" s="38"/>
      <c r="B1176" s="38"/>
      <c r="C1176" s="8"/>
      <c r="D1176" s="8"/>
      <c r="E1176" s="8"/>
      <c r="F1176" s="8"/>
    </row>
    <row r="1177" spans="1:6" x14ac:dyDescent="0.2">
      <c r="A1177" s="38"/>
      <c r="B1177" s="38"/>
      <c r="C1177" s="8"/>
      <c r="D1177" s="8"/>
      <c r="E1177" s="8"/>
      <c r="F1177" s="8"/>
    </row>
    <row r="1178" spans="1:6" x14ac:dyDescent="0.2">
      <c r="A1178" s="38"/>
      <c r="B1178" s="38"/>
      <c r="C1178" s="8"/>
      <c r="D1178" s="8"/>
      <c r="E1178" s="8"/>
      <c r="F1178" s="8"/>
    </row>
    <row r="1179" spans="1:6" x14ac:dyDescent="0.2">
      <c r="A1179" s="38"/>
      <c r="B1179" s="38"/>
      <c r="C1179" s="8"/>
      <c r="D1179" s="8"/>
      <c r="E1179" s="8"/>
      <c r="F1179" s="8"/>
    </row>
    <row r="1180" spans="1:6" x14ac:dyDescent="0.2">
      <c r="A1180" s="38"/>
      <c r="B1180" s="38"/>
      <c r="C1180" s="8"/>
      <c r="D1180" s="8"/>
      <c r="E1180" s="8"/>
      <c r="F1180" s="8"/>
    </row>
    <row r="1181" spans="1:6" x14ac:dyDescent="0.2">
      <c r="A1181" s="38"/>
      <c r="B1181" s="38"/>
      <c r="C1181" s="8"/>
      <c r="D1181" s="8"/>
      <c r="E1181" s="8"/>
      <c r="F1181" s="8"/>
    </row>
    <row r="1182" spans="1:6" x14ac:dyDescent="0.2">
      <c r="A1182" s="38"/>
      <c r="B1182" s="38"/>
      <c r="C1182" s="8"/>
      <c r="D1182" s="8"/>
      <c r="E1182" s="8"/>
      <c r="F1182" s="8"/>
    </row>
    <row r="1183" spans="1:6" x14ac:dyDescent="0.2">
      <c r="A1183" s="38"/>
      <c r="B1183" s="38"/>
      <c r="C1183" s="8"/>
      <c r="D1183" s="8"/>
      <c r="E1183" s="8"/>
      <c r="F1183" s="8"/>
    </row>
    <row r="1184" spans="1:6" x14ac:dyDescent="0.2">
      <c r="A1184" s="38"/>
      <c r="B1184" s="38"/>
      <c r="C1184" s="8"/>
      <c r="D1184" s="8"/>
      <c r="E1184" s="8"/>
      <c r="F1184" s="8"/>
    </row>
    <row r="1185" spans="1:6" x14ac:dyDescent="0.2">
      <c r="A1185" s="38"/>
      <c r="B1185" s="38"/>
      <c r="C1185" s="8"/>
      <c r="D1185" s="8"/>
      <c r="E1185" s="8"/>
      <c r="F1185" s="8"/>
    </row>
    <row r="1186" spans="1:6" x14ac:dyDescent="0.2">
      <c r="A1186" s="38"/>
      <c r="B1186" s="38"/>
      <c r="C1186" s="8"/>
      <c r="D1186" s="8"/>
      <c r="E1186" s="8"/>
      <c r="F1186" s="8"/>
    </row>
    <row r="1187" spans="1:6" x14ac:dyDescent="0.2">
      <c r="A1187" s="38"/>
      <c r="B1187" s="38"/>
      <c r="C1187" s="8"/>
      <c r="D1187" s="8"/>
      <c r="E1187" s="8"/>
      <c r="F1187" s="8"/>
    </row>
    <row r="1188" spans="1:6" x14ac:dyDescent="0.2">
      <c r="A1188" s="38"/>
      <c r="B1188" s="38"/>
      <c r="C1188" s="8"/>
      <c r="D1188" s="8"/>
      <c r="E1188" s="8"/>
      <c r="F1188" s="8"/>
    </row>
    <row r="1189" spans="1:6" x14ac:dyDescent="0.2">
      <c r="A1189" s="38"/>
      <c r="B1189" s="38"/>
      <c r="C1189" s="8"/>
      <c r="D1189" s="8"/>
      <c r="E1189" s="8"/>
      <c r="F1189" s="8"/>
    </row>
    <row r="1190" spans="1:6" x14ac:dyDescent="0.2">
      <c r="A1190" s="38"/>
      <c r="B1190" s="38"/>
      <c r="C1190" s="8"/>
      <c r="D1190" s="8"/>
      <c r="E1190" s="8"/>
      <c r="F1190" s="8"/>
    </row>
    <row r="1191" spans="1:6" x14ac:dyDescent="0.2">
      <c r="A1191" s="38"/>
      <c r="B1191" s="38"/>
      <c r="C1191" s="8"/>
      <c r="D1191" s="8"/>
      <c r="E1191" s="8"/>
      <c r="F1191" s="8"/>
    </row>
    <row r="1192" spans="1:6" x14ac:dyDescent="0.2">
      <c r="A1192" s="38"/>
      <c r="B1192" s="38"/>
      <c r="C1192" s="8"/>
      <c r="D1192" s="8"/>
      <c r="E1192" s="8"/>
      <c r="F1192" s="8"/>
    </row>
    <row r="1193" spans="1:6" x14ac:dyDescent="0.2">
      <c r="A1193" s="38"/>
      <c r="B1193" s="38"/>
      <c r="C1193" s="8"/>
      <c r="D1193" s="8"/>
      <c r="E1193" s="8"/>
      <c r="F1193" s="8"/>
    </row>
    <row r="1194" spans="1:6" x14ac:dyDescent="0.2">
      <c r="A1194" s="38"/>
      <c r="B1194" s="38"/>
      <c r="C1194" s="8"/>
      <c r="D1194" s="8"/>
      <c r="E1194" s="8"/>
      <c r="F1194" s="8"/>
    </row>
    <row r="1195" spans="1:6" x14ac:dyDescent="0.2">
      <c r="A1195" s="38"/>
      <c r="B1195" s="38"/>
      <c r="C1195" s="8"/>
      <c r="D1195" s="8"/>
      <c r="E1195" s="8"/>
      <c r="F1195" s="8"/>
    </row>
    <row r="1196" spans="1:6" x14ac:dyDescent="0.2">
      <c r="A1196" s="38"/>
      <c r="B1196" s="38"/>
      <c r="C1196" s="8"/>
      <c r="D1196" s="8"/>
      <c r="E1196" s="8"/>
      <c r="F1196" s="8"/>
    </row>
    <row r="1197" spans="1:6" x14ac:dyDescent="0.2">
      <c r="A1197" s="38"/>
      <c r="B1197" s="38"/>
      <c r="C1197" s="8"/>
      <c r="D1197" s="8"/>
      <c r="E1197" s="8"/>
      <c r="F1197" s="8"/>
    </row>
    <row r="1198" spans="1:6" x14ac:dyDescent="0.2">
      <c r="A1198" s="38"/>
      <c r="B1198" s="38"/>
      <c r="C1198" s="8"/>
      <c r="D1198" s="8"/>
      <c r="E1198" s="8"/>
      <c r="F1198" s="8"/>
    </row>
    <row r="1199" spans="1:6" x14ac:dyDescent="0.2">
      <c r="A1199" s="38"/>
      <c r="B1199" s="38"/>
      <c r="C1199" s="8"/>
      <c r="D1199" s="8"/>
      <c r="E1199" s="8"/>
      <c r="F1199" s="8"/>
    </row>
    <row r="1200" spans="1:6" x14ac:dyDescent="0.2">
      <c r="A1200" s="38"/>
      <c r="B1200" s="38"/>
      <c r="C1200" s="8"/>
      <c r="D1200" s="8"/>
      <c r="E1200" s="8"/>
      <c r="F1200" s="8"/>
    </row>
    <row r="1201" spans="1:6" x14ac:dyDescent="0.2">
      <c r="A1201" s="38"/>
      <c r="B1201" s="38"/>
      <c r="C1201" s="8"/>
      <c r="D1201" s="8"/>
      <c r="E1201" s="8"/>
      <c r="F1201" s="8"/>
    </row>
    <row r="1202" spans="1:6" x14ac:dyDescent="0.2">
      <c r="A1202" s="38"/>
      <c r="B1202" s="38"/>
      <c r="C1202" s="8"/>
      <c r="D1202" s="8"/>
      <c r="E1202" s="8"/>
      <c r="F1202" s="8"/>
    </row>
    <row r="1203" spans="1:6" x14ac:dyDescent="0.2">
      <c r="A1203" s="38"/>
      <c r="B1203" s="38"/>
      <c r="C1203" s="8"/>
      <c r="D1203" s="8"/>
      <c r="E1203" s="8"/>
      <c r="F1203" s="8"/>
    </row>
    <row r="1204" spans="1:6" x14ac:dyDescent="0.2">
      <c r="A1204" s="38"/>
      <c r="B1204" s="38"/>
      <c r="C1204" s="8"/>
      <c r="D1204" s="8"/>
      <c r="E1204" s="8"/>
      <c r="F1204" s="8"/>
    </row>
    <row r="1205" spans="1:6" x14ac:dyDescent="0.2">
      <c r="A1205" s="38"/>
      <c r="B1205" s="38"/>
      <c r="C1205" s="8"/>
      <c r="D1205" s="8"/>
      <c r="E1205" s="8"/>
      <c r="F1205" s="8"/>
    </row>
    <row r="1206" spans="1:6" x14ac:dyDescent="0.2">
      <c r="A1206" s="38"/>
      <c r="B1206" s="38"/>
      <c r="C1206" s="8"/>
      <c r="D1206" s="8"/>
      <c r="E1206" s="8"/>
      <c r="F1206" s="8"/>
    </row>
    <row r="1207" spans="1:6" x14ac:dyDescent="0.2">
      <c r="A1207" s="38"/>
      <c r="B1207" s="38"/>
      <c r="C1207" s="8"/>
      <c r="D1207" s="8"/>
      <c r="E1207" s="8"/>
      <c r="F1207" s="8"/>
    </row>
    <row r="1208" spans="1:6" x14ac:dyDescent="0.2">
      <c r="A1208" s="38"/>
      <c r="B1208" s="38"/>
      <c r="C1208" s="8"/>
      <c r="D1208" s="8"/>
      <c r="E1208" s="8"/>
      <c r="F1208" s="8"/>
    </row>
    <row r="1209" spans="1:6" x14ac:dyDescent="0.2">
      <c r="A1209" s="38"/>
      <c r="B1209" s="38"/>
      <c r="C1209" s="8"/>
      <c r="D1209" s="8"/>
      <c r="E1209" s="8"/>
      <c r="F1209" s="8"/>
    </row>
    <row r="1210" spans="1:6" x14ac:dyDescent="0.2">
      <c r="A1210" s="38"/>
      <c r="B1210" s="38"/>
      <c r="C1210" s="8"/>
      <c r="D1210" s="8"/>
      <c r="E1210" s="8"/>
      <c r="F1210" s="8"/>
    </row>
    <row r="1211" spans="1:6" x14ac:dyDescent="0.2">
      <c r="A1211" s="38"/>
      <c r="B1211" s="38"/>
      <c r="C1211" s="8"/>
      <c r="D1211" s="8"/>
      <c r="E1211" s="8"/>
      <c r="F1211" s="8"/>
    </row>
    <row r="1212" spans="1:6" x14ac:dyDescent="0.2">
      <c r="A1212" s="38"/>
      <c r="B1212" s="38"/>
      <c r="C1212" s="8"/>
      <c r="D1212" s="8"/>
      <c r="E1212" s="8"/>
      <c r="F1212" s="8"/>
    </row>
    <row r="1213" spans="1:6" x14ac:dyDescent="0.2">
      <c r="A1213" s="38"/>
      <c r="B1213" s="38"/>
      <c r="C1213" s="8"/>
      <c r="D1213" s="8"/>
      <c r="E1213" s="8"/>
      <c r="F1213" s="8"/>
    </row>
    <row r="1214" spans="1:6" x14ac:dyDescent="0.2">
      <c r="A1214" s="38"/>
      <c r="B1214" s="38"/>
      <c r="C1214" s="8"/>
      <c r="D1214" s="8"/>
      <c r="E1214" s="8"/>
      <c r="F1214" s="8"/>
    </row>
    <row r="1215" spans="1:6" x14ac:dyDescent="0.2">
      <c r="A1215" s="38"/>
      <c r="B1215" s="38"/>
      <c r="C1215" s="8"/>
      <c r="D1215" s="8"/>
      <c r="E1215" s="8"/>
      <c r="F1215" s="8"/>
    </row>
    <row r="1216" spans="1:6" x14ac:dyDescent="0.2">
      <c r="A1216" s="38"/>
      <c r="B1216" s="38"/>
      <c r="C1216" s="8"/>
      <c r="D1216" s="8"/>
      <c r="E1216" s="8"/>
      <c r="F1216" s="8"/>
    </row>
    <row r="1217" spans="1:6" x14ac:dyDescent="0.2">
      <c r="A1217" s="38"/>
      <c r="B1217" s="38"/>
      <c r="C1217" s="8"/>
      <c r="D1217" s="8"/>
      <c r="E1217" s="8"/>
      <c r="F1217" s="8"/>
    </row>
    <row r="1218" spans="1:6" x14ac:dyDescent="0.2">
      <c r="A1218" s="38"/>
      <c r="B1218" s="38"/>
      <c r="C1218" s="8"/>
      <c r="D1218" s="8"/>
      <c r="E1218" s="8"/>
      <c r="F1218" s="8"/>
    </row>
    <row r="1219" spans="1:6" x14ac:dyDescent="0.2">
      <c r="A1219" s="38"/>
      <c r="B1219" s="38"/>
      <c r="C1219" s="8"/>
      <c r="D1219" s="8"/>
      <c r="E1219" s="8"/>
      <c r="F1219" s="8"/>
    </row>
    <row r="1220" spans="1:6" x14ac:dyDescent="0.2">
      <c r="A1220" s="38"/>
      <c r="B1220" s="38"/>
      <c r="C1220" s="8"/>
      <c r="D1220" s="8"/>
      <c r="E1220" s="8"/>
      <c r="F1220" s="8"/>
    </row>
    <row r="1221" spans="1:6" x14ac:dyDescent="0.2">
      <c r="A1221" s="38"/>
      <c r="B1221" s="38"/>
      <c r="C1221" s="8"/>
      <c r="D1221" s="8"/>
      <c r="E1221" s="8"/>
      <c r="F1221" s="8"/>
    </row>
    <row r="1222" spans="1:6" x14ac:dyDescent="0.2">
      <c r="A1222" s="38"/>
      <c r="B1222" s="38"/>
      <c r="C1222" s="8"/>
      <c r="D1222" s="8"/>
      <c r="E1222" s="8"/>
      <c r="F1222" s="8"/>
    </row>
    <row r="1223" spans="1:6" x14ac:dyDescent="0.2">
      <c r="A1223" s="38"/>
      <c r="B1223" s="38"/>
      <c r="C1223" s="8"/>
      <c r="D1223" s="8"/>
      <c r="E1223" s="8"/>
      <c r="F1223" s="8"/>
    </row>
    <row r="1224" spans="1:6" x14ac:dyDescent="0.2">
      <c r="A1224" s="38"/>
      <c r="B1224" s="38"/>
      <c r="C1224" s="8"/>
      <c r="D1224" s="8"/>
      <c r="E1224" s="8"/>
      <c r="F1224" s="8"/>
    </row>
    <row r="1225" spans="1:6" x14ac:dyDescent="0.2">
      <c r="A1225" s="38"/>
      <c r="B1225" s="38"/>
      <c r="C1225" s="8"/>
      <c r="D1225" s="8"/>
      <c r="E1225" s="8"/>
      <c r="F1225" s="8"/>
    </row>
    <row r="1226" spans="1:6" x14ac:dyDescent="0.2">
      <c r="A1226" s="38"/>
      <c r="B1226" s="38"/>
      <c r="C1226" s="8"/>
      <c r="D1226" s="8"/>
      <c r="E1226" s="8"/>
      <c r="F1226" s="8"/>
    </row>
    <row r="1227" spans="1:6" x14ac:dyDescent="0.2">
      <c r="A1227" s="38"/>
      <c r="B1227" s="38"/>
      <c r="C1227" s="8"/>
      <c r="D1227" s="8"/>
      <c r="E1227" s="8"/>
      <c r="F1227" s="8"/>
    </row>
    <row r="1228" spans="1:6" x14ac:dyDescent="0.2">
      <c r="A1228" s="38"/>
      <c r="B1228" s="38"/>
      <c r="C1228" s="8"/>
      <c r="D1228" s="8"/>
      <c r="E1228" s="8"/>
      <c r="F1228" s="8"/>
    </row>
    <row r="1229" spans="1:6" x14ac:dyDescent="0.2">
      <c r="A1229" s="38"/>
      <c r="B1229" s="38"/>
      <c r="C1229" s="8"/>
      <c r="D1229" s="8"/>
      <c r="E1229" s="8"/>
      <c r="F1229" s="8"/>
    </row>
    <row r="1230" spans="1:6" x14ac:dyDescent="0.2">
      <c r="A1230" s="38"/>
      <c r="B1230" s="38"/>
      <c r="C1230" s="8"/>
      <c r="D1230" s="8"/>
      <c r="E1230" s="8"/>
      <c r="F1230" s="8"/>
    </row>
    <row r="1231" spans="1:6" x14ac:dyDescent="0.2">
      <c r="A1231" s="38"/>
      <c r="B1231" s="38"/>
      <c r="C1231" s="8"/>
      <c r="D1231" s="8"/>
      <c r="E1231" s="8"/>
      <c r="F1231" s="8"/>
    </row>
    <row r="1232" spans="1:6" x14ac:dyDescent="0.2">
      <c r="A1232" s="38"/>
      <c r="B1232" s="38"/>
      <c r="C1232" s="8"/>
      <c r="D1232" s="8"/>
      <c r="E1232" s="8"/>
      <c r="F1232" s="8"/>
    </row>
    <row r="1233" spans="1:6" x14ac:dyDescent="0.2">
      <c r="A1233" s="38"/>
      <c r="B1233" s="38"/>
      <c r="C1233" s="8"/>
      <c r="D1233" s="8"/>
      <c r="E1233" s="8"/>
      <c r="F1233" s="8"/>
    </row>
    <row r="1234" spans="1:6" x14ac:dyDescent="0.2">
      <c r="A1234" s="38"/>
      <c r="B1234" s="38"/>
      <c r="C1234" s="8"/>
      <c r="D1234" s="8"/>
      <c r="E1234" s="8"/>
      <c r="F1234" s="8"/>
    </row>
    <row r="1235" spans="1:6" x14ac:dyDescent="0.2">
      <c r="A1235" s="38"/>
      <c r="B1235" s="38"/>
      <c r="C1235" s="8"/>
      <c r="D1235" s="8"/>
      <c r="E1235" s="8"/>
      <c r="F1235" s="8"/>
    </row>
    <row r="1236" spans="1:6" x14ac:dyDescent="0.2">
      <c r="A1236" s="38"/>
      <c r="B1236" s="38"/>
      <c r="C1236" s="8"/>
      <c r="D1236" s="8"/>
      <c r="E1236" s="8"/>
      <c r="F1236" s="8"/>
    </row>
    <row r="1237" spans="1:6" x14ac:dyDescent="0.2">
      <c r="A1237" s="38"/>
      <c r="B1237" s="38"/>
      <c r="C1237" s="8"/>
      <c r="D1237" s="8"/>
      <c r="E1237" s="8"/>
      <c r="F1237" s="8"/>
    </row>
    <row r="1238" spans="1:6" x14ac:dyDescent="0.2">
      <c r="A1238" s="38"/>
      <c r="B1238" s="38"/>
      <c r="C1238" s="8"/>
      <c r="D1238" s="8"/>
      <c r="E1238" s="8"/>
      <c r="F1238" s="8"/>
    </row>
    <row r="1239" spans="1:6" x14ac:dyDescent="0.2">
      <c r="A1239" s="38"/>
      <c r="B1239" s="38"/>
      <c r="C1239" s="8"/>
      <c r="D1239" s="8"/>
      <c r="E1239" s="8"/>
      <c r="F1239" s="8"/>
    </row>
    <row r="1240" spans="1:6" x14ac:dyDescent="0.2">
      <c r="A1240" s="38"/>
      <c r="B1240" s="38"/>
      <c r="C1240" s="8"/>
      <c r="D1240" s="8"/>
      <c r="E1240" s="8"/>
      <c r="F1240" s="8"/>
    </row>
    <row r="1241" spans="1:6" x14ac:dyDescent="0.2">
      <c r="A1241" s="38"/>
      <c r="B1241" s="38"/>
      <c r="C1241" s="8"/>
      <c r="D1241" s="8"/>
      <c r="E1241" s="8"/>
      <c r="F1241" s="8"/>
    </row>
    <row r="1242" spans="1:6" x14ac:dyDescent="0.2">
      <c r="A1242" s="38"/>
      <c r="B1242" s="38"/>
      <c r="C1242" s="8"/>
      <c r="D1242" s="8"/>
      <c r="E1242" s="8"/>
      <c r="F1242" s="8"/>
    </row>
    <row r="1243" spans="1:6" x14ac:dyDescent="0.2">
      <c r="A1243" s="38"/>
      <c r="B1243" s="38"/>
      <c r="C1243" s="8"/>
      <c r="D1243" s="8"/>
      <c r="E1243" s="8"/>
      <c r="F1243" s="8"/>
    </row>
    <row r="1244" spans="1:6" x14ac:dyDescent="0.2">
      <c r="A1244" s="38"/>
      <c r="B1244" s="38"/>
      <c r="C1244" s="8"/>
      <c r="D1244" s="8"/>
      <c r="E1244" s="8"/>
      <c r="F1244" s="8"/>
    </row>
    <row r="1245" spans="1:6" x14ac:dyDescent="0.2">
      <c r="A1245" s="38"/>
      <c r="B1245" s="38"/>
      <c r="C1245" s="8"/>
      <c r="D1245" s="8"/>
      <c r="E1245" s="8"/>
      <c r="F1245" s="8"/>
    </row>
    <row r="1246" spans="1:6" x14ac:dyDescent="0.2">
      <c r="A1246" s="38"/>
      <c r="B1246" s="38"/>
      <c r="C1246" s="8"/>
      <c r="D1246" s="8"/>
      <c r="E1246" s="8"/>
      <c r="F1246" s="8"/>
    </row>
    <row r="1247" spans="1:6" x14ac:dyDescent="0.2">
      <c r="A1247" s="38"/>
      <c r="B1247" s="38"/>
      <c r="C1247" s="8"/>
      <c r="D1247" s="8"/>
      <c r="E1247" s="8"/>
      <c r="F1247" s="8"/>
    </row>
    <row r="1248" spans="1:6" x14ac:dyDescent="0.2">
      <c r="A1248" s="38"/>
      <c r="B1248" s="38"/>
      <c r="C1248" s="8"/>
      <c r="D1248" s="8"/>
      <c r="E1248" s="8"/>
      <c r="F1248" s="8"/>
    </row>
    <row r="1249" spans="1:6" x14ac:dyDescent="0.2">
      <c r="A1249" s="38"/>
      <c r="B1249" s="38"/>
      <c r="C1249" s="8"/>
      <c r="D1249" s="8"/>
      <c r="E1249" s="8"/>
      <c r="F1249" s="8"/>
    </row>
    <row r="1250" spans="1:6" x14ac:dyDescent="0.2">
      <c r="A1250" s="38"/>
      <c r="B1250" s="38"/>
      <c r="C1250" s="8"/>
      <c r="D1250" s="8"/>
      <c r="E1250" s="8"/>
      <c r="F1250" s="8"/>
    </row>
    <row r="1251" spans="1:6" x14ac:dyDescent="0.2">
      <c r="A1251" s="38"/>
      <c r="B1251" s="38"/>
      <c r="C1251" s="8"/>
      <c r="D1251" s="8"/>
      <c r="E1251" s="8"/>
      <c r="F1251" s="8"/>
    </row>
    <row r="1252" spans="1:6" x14ac:dyDescent="0.2">
      <c r="A1252" s="38"/>
      <c r="B1252" s="38"/>
      <c r="C1252" s="8"/>
      <c r="D1252" s="8"/>
      <c r="E1252" s="8"/>
      <c r="F1252" s="8"/>
    </row>
    <row r="1253" spans="1:6" x14ac:dyDescent="0.2">
      <c r="A1253" s="38"/>
      <c r="B1253" s="38"/>
      <c r="C1253" s="8"/>
      <c r="D1253" s="8"/>
      <c r="E1253" s="8"/>
      <c r="F1253" s="8"/>
    </row>
    <row r="1254" spans="1:6" x14ac:dyDescent="0.2">
      <c r="A1254" s="38"/>
      <c r="B1254" s="38"/>
      <c r="C1254" s="8"/>
      <c r="D1254" s="8"/>
      <c r="E1254" s="8"/>
      <c r="F1254" s="8"/>
    </row>
    <row r="1255" spans="1:6" x14ac:dyDescent="0.2">
      <c r="A1255" s="38"/>
      <c r="B1255" s="38"/>
      <c r="C1255" s="8"/>
      <c r="D1255" s="8"/>
      <c r="E1255" s="8"/>
      <c r="F1255" s="8"/>
    </row>
    <row r="1256" spans="1:6" x14ac:dyDescent="0.2">
      <c r="A1256" s="38"/>
      <c r="B1256" s="38"/>
      <c r="C1256" s="8"/>
      <c r="D1256" s="8"/>
      <c r="E1256" s="8"/>
      <c r="F1256" s="8"/>
    </row>
    <row r="1257" spans="1:6" x14ac:dyDescent="0.2">
      <c r="A1257" s="38"/>
      <c r="B1257" s="38"/>
      <c r="C1257" s="8"/>
      <c r="D1257" s="8"/>
      <c r="E1257" s="8"/>
      <c r="F1257" s="8"/>
    </row>
    <row r="1258" spans="1:6" x14ac:dyDescent="0.2">
      <c r="A1258" s="38"/>
      <c r="B1258" s="38"/>
      <c r="C1258" s="8"/>
      <c r="D1258" s="8"/>
      <c r="E1258" s="8"/>
      <c r="F1258" s="8"/>
    </row>
    <row r="1259" spans="1:6" x14ac:dyDescent="0.2">
      <c r="A1259" s="38"/>
      <c r="B1259" s="38"/>
      <c r="C1259" s="8"/>
      <c r="D1259" s="8"/>
      <c r="E1259" s="8"/>
      <c r="F1259" s="8"/>
    </row>
    <row r="1260" spans="1:6" x14ac:dyDescent="0.2">
      <c r="A1260" s="38"/>
      <c r="B1260" s="38"/>
      <c r="C1260" s="8"/>
      <c r="D1260" s="8"/>
      <c r="E1260" s="8"/>
      <c r="F1260" s="8"/>
    </row>
    <row r="1261" spans="1:6" x14ac:dyDescent="0.2">
      <c r="A1261" s="38"/>
      <c r="B1261" s="38"/>
      <c r="C1261" s="8"/>
      <c r="D1261" s="8"/>
      <c r="E1261" s="8"/>
      <c r="F1261" s="8"/>
    </row>
    <row r="1262" spans="1:6" x14ac:dyDescent="0.2">
      <c r="A1262" s="38"/>
      <c r="B1262" s="38"/>
      <c r="C1262" s="8"/>
      <c r="D1262" s="8"/>
      <c r="E1262" s="8"/>
      <c r="F1262" s="8"/>
    </row>
    <row r="1263" spans="1:6" x14ac:dyDescent="0.2">
      <c r="A1263" s="38"/>
      <c r="B1263" s="38"/>
      <c r="C1263" s="8"/>
      <c r="D1263" s="8"/>
      <c r="E1263" s="8"/>
      <c r="F1263" s="8"/>
    </row>
    <row r="1264" spans="1:6" x14ac:dyDescent="0.2">
      <c r="A1264" s="38"/>
      <c r="B1264" s="38"/>
      <c r="C1264" s="8"/>
      <c r="D1264" s="8"/>
      <c r="E1264" s="8"/>
      <c r="F1264" s="8"/>
    </row>
    <row r="1265" spans="1:6" x14ac:dyDescent="0.2">
      <c r="A1265" s="38"/>
      <c r="B1265" s="38"/>
      <c r="C1265" s="8"/>
      <c r="D1265" s="8"/>
      <c r="E1265" s="8"/>
      <c r="F1265" s="8"/>
    </row>
    <row r="1266" spans="1:6" x14ac:dyDescent="0.2">
      <c r="A1266" s="38"/>
      <c r="B1266" s="38"/>
      <c r="C1266" s="8"/>
      <c r="D1266" s="8"/>
      <c r="E1266" s="8"/>
      <c r="F1266" s="8"/>
    </row>
    <row r="1267" spans="1:6" x14ac:dyDescent="0.2">
      <c r="A1267" s="38"/>
      <c r="B1267" s="38"/>
      <c r="C1267" s="8"/>
      <c r="D1267" s="8"/>
      <c r="E1267" s="8"/>
      <c r="F1267" s="8"/>
    </row>
    <row r="1268" spans="1:6" x14ac:dyDescent="0.2">
      <c r="A1268" s="38"/>
      <c r="B1268" s="38"/>
      <c r="C1268" s="8"/>
      <c r="D1268" s="8"/>
      <c r="E1268" s="8"/>
      <c r="F1268" s="8"/>
    </row>
    <row r="1269" spans="1:6" x14ac:dyDescent="0.2">
      <c r="A1269" s="38"/>
      <c r="B1269" s="38"/>
      <c r="C1269" s="8"/>
      <c r="D1269" s="8"/>
      <c r="E1269" s="8"/>
      <c r="F1269" s="8"/>
    </row>
    <row r="1270" spans="1:6" x14ac:dyDescent="0.2">
      <c r="A1270" s="38"/>
      <c r="B1270" s="38"/>
      <c r="C1270" s="8"/>
      <c r="D1270" s="8"/>
      <c r="E1270" s="8"/>
      <c r="F1270" s="8"/>
    </row>
    <row r="1271" spans="1:6" x14ac:dyDescent="0.2">
      <c r="A1271" s="38"/>
      <c r="B1271" s="38"/>
      <c r="C1271" s="8"/>
      <c r="D1271" s="8"/>
      <c r="E1271" s="8"/>
      <c r="F1271" s="8"/>
    </row>
    <row r="1272" spans="1:6" x14ac:dyDescent="0.2">
      <c r="A1272" s="38"/>
      <c r="B1272" s="38"/>
      <c r="C1272" s="8"/>
      <c r="D1272" s="8"/>
      <c r="E1272" s="8"/>
      <c r="F1272" s="8"/>
    </row>
    <row r="1273" spans="1:6" x14ac:dyDescent="0.2">
      <c r="A1273" s="38"/>
      <c r="B1273" s="38"/>
      <c r="C1273" s="8"/>
      <c r="D1273" s="8"/>
      <c r="E1273" s="8"/>
      <c r="F1273" s="8"/>
    </row>
    <row r="1274" spans="1:6" x14ac:dyDescent="0.2">
      <c r="A1274" s="38"/>
      <c r="B1274" s="38"/>
      <c r="C1274" s="8"/>
      <c r="D1274" s="8"/>
      <c r="E1274" s="8"/>
      <c r="F1274" s="8"/>
    </row>
    <row r="1275" spans="1:6" x14ac:dyDescent="0.2">
      <c r="A1275" s="38"/>
      <c r="B1275" s="38"/>
      <c r="C1275" s="8"/>
      <c r="D1275" s="8"/>
      <c r="E1275" s="8"/>
      <c r="F1275" s="8"/>
    </row>
    <row r="1276" spans="1:6" x14ac:dyDescent="0.2">
      <c r="A1276" s="38"/>
      <c r="B1276" s="38"/>
      <c r="C1276" s="8"/>
      <c r="D1276" s="8"/>
      <c r="E1276" s="8"/>
      <c r="F1276" s="8"/>
    </row>
    <row r="1277" spans="1:6" x14ac:dyDescent="0.2">
      <c r="A1277" s="38"/>
      <c r="B1277" s="38"/>
      <c r="C1277" s="8"/>
      <c r="D1277" s="8"/>
      <c r="E1277" s="8"/>
      <c r="F1277" s="8"/>
    </row>
    <row r="1278" spans="1:6" x14ac:dyDescent="0.2">
      <c r="A1278" s="38"/>
      <c r="B1278" s="38"/>
      <c r="C1278" s="8"/>
      <c r="D1278" s="8"/>
      <c r="E1278" s="8"/>
      <c r="F1278" s="8"/>
    </row>
    <row r="1279" spans="1:6" x14ac:dyDescent="0.2">
      <c r="A1279" s="38"/>
      <c r="B1279" s="38"/>
      <c r="C1279" s="8"/>
      <c r="D1279" s="8"/>
      <c r="E1279" s="8"/>
      <c r="F1279" s="8"/>
    </row>
    <row r="1280" spans="1:6" x14ac:dyDescent="0.2">
      <c r="A1280" s="38"/>
      <c r="B1280" s="38"/>
      <c r="C1280" s="8"/>
      <c r="D1280" s="8"/>
      <c r="E1280" s="8"/>
      <c r="F1280" s="8"/>
    </row>
    <row r="1281" spans="1:6" x14ac:dyDescent="0.2">
      <c r="A1281" s="38"/>
      <c r="B1281" s="38"/>
      <c r="C1281" s="8"/>
      <c r="D1281" s="8"/>
      <c r="E1281" s="8"/>
      <c r="F1281" s="8"/>
    </row>
    <row r="1282" spans="1:6" x14ac:dyDescent="0.2">
      <c r="A1282" s="38"/>
      <c r="B1282" s="38"/>
      <c r="C1282" s="8"/>
      <c r="D1282" s="8"/>
      <c r="E1282" s="8"/>
      <c r="F1282" s="8"/>
    </row>
    <row r="1283" spans="1:6" x14ac:dyDescent="0.2">
      <c r="A1283" s="38"/>
      <c r="B1283" s="38"/>
      <c r="C1283" s="8"/>
      <c r="D1283" s="8"/>
      <c r="E1283" s="8"/>
      <c r="F1283" s="8"/>
    </row>
    <row r="1284" spans="1:6" x14ac:dyDescent="0.2">
      <c r="A1284" s="38"/>
      <c r="B1284" s="38"/>
      <c r="C1284" s="8"/>
      <c r="D1284" s="8"/>
      <c r="E1284" s="8"/>
      <c r="F1284" s="8"/>
    </row>
    <row r="1285" spans="1:6" x14ac:dyDescent="0.2">
      <c r="A1285" s="38"/>
      <c r="B1285" s="38"/>
      <c r="C1285" s="8"/>
      <c r="D1285" s="8"/>
      <c r="E1285" s="8"/>
      <c r="F1285" s="8"/>
    </row>
    <row r="1286" spans="1:6" x14ac:dyDescent="0.2">
      <c r="A1286" s="38"/>
      <c r="B1286" s="38"/>
      <c r="C1286" s="8"/>
      <c r="D1286" s="8"/>
      <c r="E1286" s="8"/>
      <c r="F1286" s="8"/>
    </row>
    <row r="1287" spans="1:6" x14ac:dyDescent="0.2">
      <c r="A1287" s="38"/>
      <c r="B1287" s="38"/>
      <c r="C1287" s="8"/>
      <c r="D1287" s="8"/>
      <c r="E1287" s="8"/>
      <c r="F1287" s="8"/>
    </row>
    <row r="1288" spans="1:6" x14ac:dyDescent="0.2">
      <c r="A1288" s="38"/>
      <c r="B1288" s="38"/>
      <c r="C1288" s="8"/>
      <c r="D1288" s="8"/>
      <c r="E1288" s="8"/>
      <c r="F1288" s="8"/>
    </row>
    <row r="1289" spans="1:6" x14ac:dyDescent="0.2">
      <c r="A1289" s="38"/>
      <c r="B1289" s="38"/>
      <c r="C1289" s="8"/>
      <c r="D1289" s="8"/>
      <c r="E1289" s="8"/>
      <c r="F1289" s="8"/>
    </row>
    <row r="1290" spans="1:6" x14ac:dyDescent="0.2">
      <c r="A1290" s="38"/>
      <c r="B1290" s="38"/>
      <c r="C1290" s="8"/>
      <c r="D1290" s="8"/>
      <c r="E1290" s="8"/>
      <c r="F1290" s="8"/>
    </row>
    <row r="1291" spans="1:6" x14ac:dyDescent="0.2">
      <c r="A1291" s="38"/>
      <c r="B1291" s="38"/>
      <c r="C1291" s="8"/>
      <c r="D1291" s="8"/>
      <c r="E1291" s="8"/>
      <c r="F1291" s="8"/>
    </row>
    <row r="1292" spans="1:6" x14ac:dyDescent="0.2">
      <c r="A1292" s="38"/>
      <c r="B1292" s="38"/>
      <c r="C1292" s="8"/>
      <c r="D1292" s="8"/>
      <c r="E1292" s="8"/>
      <c r="F1292" s="8"/>
    </row>
    <row r="1293" spans="1:6" x14ac:dyDescent="0.2">
      <c r="A1293" s="38"/>
      <c r="B1293" s="38"/>
      <c r="C1293" s="8"/>
      <c r="D1293" s="8"/>
      <c r="E1293" s="8"/>
      <c r="F1293" s="8"/>
    </row>
    <row r="1294" spans="1:6" x14ac:dyDescent="0.2">
      <c r="A1294" s="38"/>
      <c r="B1294" s="38"/>
      <c r="C1294" s="8"/>
      <c r="D1294" s="8"/>
      <c r="E1294" s="8"/>
      <c r="F1294" s="8"/>
    </row>
    <row r="1295" spans="1:6" x14ac:dyDescent="0.2">
      <c r="A1295" s="38"/>
      <c r="B1295" s="38"/>
      <c r="C1295" s="8"/>
      <c r="D1295" s="8"/>
      <c r="E1295" s="8"/>
      <c r="F1295" s="8"/>
    </row>
    <row r="1296" spans="1:6" x14ac:dyDescent="0.2">
      <c r="A1296" s="38"/>
      <c r="B1296" s="38"/>
      <c r="C1296" s="8"/>
      <c r="D1296" s="8"/>
      <c r="E1296" s="8"/>
      <c r="F1296" s="8"/>
    </row>
    <row r="1297" spans="1:6" x14ac:dyDescent="0.2">
      <c r="A1297" s="38"/>
      <c r="B1297" s="38"/>
      <c r="C1297" s="8"/>
      <c r="D1297" s="8"/>
      <c r="E1297" s="8"/>
      <c r="F1297" s="8"/>
    </row>
    <row r="1298" spans="1:6" x14ac:dyDescent="0.2">
      <c r="A1298" s="38"/>
      <c r="B1298" s="38"/>
      <c r="C1298" s="8"/>
      <c r="D1298" s="8"/>
      <c r="E1298" s="8"/>
      <c r="F1298" s="8"/>
    </row>
    <row r="1299" spans="1:6" x14ac:dyDescent="0.2">
      <c r="A1299" s="38"/>
      <c r="B1299" s="38"/>
      <c r="C1299" s="8"/>
      <c r="D1299" s="8"/>
      <c r="E1299" s="8"/>
      <c r="F1299" s="8"/>
    </row>
    <row r="1300" spans="1:6" x14ac:dyDescent="0.2">
      <c r="A1300" s="38"/>
      <c r="B1300" s="38"/>
      <c r="C1300" s="8"/>
      <c r="D1300" s="8"/>
      <c r="E1300" s="8"/>
      <c r="F1300" s="8"/>
    </row>
    <row r="1301" spans="1:6" x14ac:dyDescent="0.2">
      <c r="A1301" s="38"/>
      <c r="B1301" s="38"/>
      <c r="C1301" s="8"/>
      <c r="D1301" s="8"/>
      <c r="E1301" s="8"/>
      <c r="F1301" s="8"/>
    </row>
    <row r="1302" spans="1:6" x14ac:dyDescent="0.2">
      <c r="A1302" s="38"/>
      <c r="B1302" s="38"/>
      <c r="C1302" s="8"/>
      <c r="D1302" s="8"/>
      <c r="E1302" s="8"/>
      <c r="F1302" s="8"/>
    </row>
    <row r="1303" spans="1:6" x14ac:dyDescent="0.2">
      <c r="A1303" s="38"/>
      <c r="B1303" s="38"/>
      <c r="C1303" s="8"/>
      <c r="D1303" s="8"/>
      <c r="E1303" s="8"/>
      <c r="F1303" s="8"/>
    </row>
    <row r="1304" spans="1:6" x14ac:dyDescent="0.2">
      <c r="A1304" s="38"/>
      <c r="B1304" s="38"/>
      <c r="C1304" s="8"/>
      <c r="D1304" s="8"/>
      <c r="E1304" s="8"/>
      <c r="F1304" s="8"/>
    </row>
    <row r="1305" spans="1:6" x14ac:dyDescent="0.2">
      <c r="A1305" s="38"/>
      <c r="B1305" s="38"/>
      <c r="C1305" s="8"/>
      <c r="D1305" s="8"/>
      <c r="E1305" s="8"/>
      <c r="F1305" s="8"/>
    </row>
    <row r="1306" spans="1:6" x14ac:dyDescent="0.2">
      <c r="A1306" s="38"/>
      <c r="B1306" s="38"/>
      <c r="C1306" s="8"/>
      <c r="D1306" s="8"/>
      <c r="E1306" s="8"/>
      <c r="F1306" s="8"/>
    </row>
    <row r="1307" spans="1:6" x14ac:dyDescent="0.2">
      <c r="A1307" s="38"/>
      <c r="B1307" s="38"/>
      <c r="C1307" s="8"/>
      <c r="D1307" s="8"/>
      <c r="E1307" s="8"/>
      <c r="F1307" s="8"/>
    </row>
    <row r="1308" spans="1:6" x14ac:dyDescent="0.2">
      <c r="A1308" s="38"/>
      <c r="B1308" s="38"/>
      <c r="C1308" s="8"/>
      <c r="D1308" s="8"/>
      <c r="E1308" s="8"/>
      <c r="F1308" s="8"/>
    </row>
    <row r="1309" spans="1:6" x14ac:dyDescent="0.2">
      <c r="A1309" s="38"/>
      <c r="B1309" s="38"/>
      <c r="C1309" s="8"/>
      <c r="D1309" s="8"/>
      <c r="E1309" s="8"/>
      <c r="F1309" s="8"/>
    </row>
    <row r="1310" spans="1:6" x14ac:dyDescent="0.2">
      <c r="A1310" s="38"/>
      <c r="B1310" s="38"/>
      <c r="C1310" s="8"/>
      <c r="D1310" s="8"/>
      <c r="E1310" s="8"/>
      <c r="F1310" s="8"/>
    </row>
    <row r="1311" spans="1:6" x14ac:dyDescent="0.2">
      <c r="A1311" s="38"/>
      <c r="B1311" s="38"/>
      <c r="C1311" s="8"/>
      <c r="D1311" s="8"/>
      <c r="E1311" s="8"/>
      <c r="F1311" s="8"/>
    </row>
    <row r="1312" spans="1:6" x14ac:dyDescent="0.2">
      <c r="A1312" s="38"/>
      <c r="B1312" s="38"/>
      <c r="C1312" s="8"/>
      <c r="D1312" s="8"/>
      <c r="E1312" s="8"/>
      <c r="F1312" s="8"/>
    </row>
    <row r="1313" spans="1:6" x14ac:dyDescent="0.2">
      <c r="A1313" s="38"/>
      <c r="B1313" s="38"/>
      <c r="C1313" s="8"/>
      <c r="D1313" s="8"/>
      <c r="E1313" s="8"/>
      <c r="F1313" s="8"/>
    </row>
    <row r="1314" spans="1:6" x14ac:dyDescent="0.2">
      <c r="A1314" s="38"/>
      <c r="B1314" s="38"/>
      <c r="C1314" s="8"/>
      <c r="D1314" s="8"/>
      <c r="E1314" s="8"/>
      <c r="F1314" s="8"/>
    </row>
    <row r="1315" spans="1:6" x14ac:dyDescent="0.2">
      <c r="A1315" s="38"/>
      <c r="B1315" s="38"/>
      <c r="C1315" s="8"/>
      <c r="D1315" s="8"/>
      <c r="E1315" s="8"/>
      <c r="F1315" s="8"/>
    </row>
    <row r="1316" spans="1:6" x14ac:dyDescent="0.2">
      <c r="A1316" s="38"/>
      <c r="B1316" s="38"/>
      <c r="C1316" s="8"/>
      <c r="D1316" s="8"/>
      <c r="E1316" s="8"/>
      <c r="F1316" s="8"/>
    </row>
    <row r="1317" spans="1:6" x14ac:dyDescent="0.2">
      <c r="A1317" s="38"/>
      <c r="B1317" s="38"/>
      <c r="C1317" s="8"/>
      <c r="D1317" s="8"/>
      <c r="E1317" s="8"/>
      <c r="F1317" s="8"/>
    </row>
    <row r="1318" spans="1:6" x14ac:dyDescent="0.2">
      <c r="A1318" s="38"/>
      <c r="B1318" s="38"/>
      <c r="C1318" s="8"/>
      <c r="D1318" s="8"/>
      <c r="E1318" s="8"/>
      <c r="F1318" s="8"/>
    </row>
    <row r="1319" spans="1:6" x14ac:dyDescent="0.2">
      <c r="A1319" s="38"/>
      <c r="B1319" s="38"/>
      <c r="C1319" s="8"/>
      <c r="D1319" s="8"/>
      <c r="E1319" s="8"/>
      <c r="F1319" s="8"/>
    </row>
    <row r="1320" spans="1:6" x14ac:dyDescent="0.2">
      <c r="A1320" s="38"/>
      <c r="B1320" s="38"/>
      <c r="C1320" s="8"/>
      <c r="D1320" s="8"/>
      <c r="E1320" s="8"/>
      <c r="F1320" s="8"/>
    </row>
    <row r="1321" spans="1:6" x14ac:dyDescent="0.2">
      <c r="A1321" s="38"/>
      <c r="B1321" s="38"/>
      <c r="C1321" s="8"/>
      <c r="D1321" s="8"/>
      <c r="E1321" s="8"/>
      <c r="F1321" s="8"/>
    </row>
    <row r="1322" spans="1:6" x14ac:dyDescent="0.2">
      <c r="A1322" s="38"/>
      <c r="B1322" s="38"/>
      <c r="C1322" s="8"/>
      <c r="D1322" s="8"/>
      <c r="E1322" s="8"/>
      <c r="F1322" s="8"/>
    </row>
    <row r="1323" spans="1:6" x14ac:dyDescent="0.2">
      <c r="A1323" s="38"/>
      <c r="B1323" s="38"/>
      <c r="C1323" s="8"/>
      <c r="D1323" s="8"/>
      <c r="E1323" s="8"/>
      <c r="F1323" s="8"/>
    </row>
    <row r="1324" spans="1:6" x14ac:dyDescent="0.2">
      <c r="A1324" s="38"/>
      <c r="B1324" s="38"/>
      <c r="C1324" s="8"/>
      <c r="D1324" s="8"/>
      <c r="E1324" s="8"/>
      <c r="F1324" s="8"/>
    </row>
    <row r="1325" spans="1:6" x14ac:dyDescent="0.2">
      <c r="A1325" s="38"/>
      <c r="B1325" s="38"/>
      <c r="C1325" s="8"/>
      <c r="D1325" s="8"/>
      <c r="E1325" s="8"/>
      <c r="F1325" s="8"/>
    </row>
    <row r="1326" spans="1:6" x14ac:dyDescent="0.2">
      <c r="A1326" s="38"/>
      <c r="B1326" s="38"/>
      <c r="C1326" s="8"/>
      <c r="D1326" s="8"/>
      <c r="E1326" s="8"/>
      <c r="F1326" s="8"/>
    </row>
    <row r="1327" spans="1:6" x14ac:dyDescent="0.2">
      <c r="A1327" s="38"/>
      <c r="B1327" s="38"/>
      <c r="C1327" s="8"/>
      <c r="D1327" s="8"/>
      <c r="E1327" s="8"/>
      <c r="F1327" s="8"/>
    </row>
    <row r="1328" spans="1:6" x14ac:dyDescent="0.2">
      <c r="A1328" s="38"/>
      <c r="B1328" s="38"/>
      <c r="C1328" s="8"/>
      <c r="D1328" s="8"/>
      <c r="E1328" s="8"/>
      <c r="F1328" s="8"/>
    </row>
    <row r="1329" spans="1:6" x14ac:dyDescent="0.2">
      <c r="A1329" s="38"/>
      <c r="B1329" s="38"/>
      <c r="C1329" s="8"/>
      <c r="D1329" s="8"/>
      <c r="E1329" s="8"/>
      <c r="F1329" s="8"/>
    </row>
    <row r="1330" spans="1:6" x14ac:dyDescent="0.2">
      <c r="A1330" s="38"/>
      <c r="B1330" s="38"/>
      <c r="C1330" s="8"/>
      <c r="D1330" s="8"/>
      <c r="E1330" s="8"/>
      <c r="F1330" s="8"/>
    </row>
    <row r="1331" spans="1:6" x14ac:dyDescent="0.2">
      <c r="A1331" s="38"/>
      <c r="B1331" s="38"/>
      <c r="C1331" s="8"/>
      <c r="D1331" s="8"/>
      <c r="E1331" s="8"/>
      <c r="F1331" s="8"/>
    </row>
    <row r="1332" spans="1:6" x14ac:dyDescent="0.2">
      <c r="A1332" s="38"/>
      <c r="B1332" s="38"/>
      <c r="C1332" s="8"/>
      <c r="D1332" s="8"/>
      <c r="E1332" s="8"/>
      <c r="F1332" s="8"/>
    </row>
    <row r="1333" spans="1:6" x14ac:dyDescent="0.2">
      <c r="A1333" s="38"/>
      <c r="B1333" s="38"/>
      <c r="C1333" s="8"/>
      <c r="D1333" s="8"/>
      <c r="E1333" s="8"/>
      <c r="F1333" s="8"/>
    </row>
    <row r="1334" spans="1:6" x14ac:dyDescent="0.2">
      <c r="A1334" s="38"/>
      <c r="B1334" s="38"/>
      <c r="C1334" s="8"/>
      <c r="D1334" s="8"/>
      <c r="E1334" s="8"/>
      <c r="F1334" s="8"/>
    </row>
    <row r="1335" spans="1:6" x14ac:dyDescent="0.2">
      <c r="A1335" s="38"/>
      <c r="B1335" s="38"/>
      <c r="C1335" s="8"/>
      <c r="D1335" s="8"/>
      <c r="E1335" s="8"/>
      <c r="F1335" s="8"/>
    </row>
    <row r="1336" spans="1:6" x14ac:dyDescent="0.2">
      <c r="A1336" s="38"/>
      <c r="B1336" s="38"/>
      <c r="C1336" s="8"/>
      <c r="D1336" s="8"/>
      <c r="E1336" s="8"/>
      <c r="F1336" s="8"/>
    </row>
    <row r="1337" spans="1:6" x14ac:dyDescent="0.2">
      <c r="A1337" s="38"/>
      <c r="B1337" s="38"/>
      <c r="C1337" s="8"/>
      <c r="D1337" s="8"/>
      <c r="E1337" s="8"/>
      <c r="F1337" s="8"/>
    </row>
    <row r="1338" spans="1:6" x14ac:dyDescent="0.2">
      <c r="A1338" s="38"/>
      <c r="B1338" s="38"/>
      <c r="C1338" s="8"/>
      <c r="D1338" s="8"/>
      <c r="E1338" s="8"/>
      <c r="F1338" s="8"/>
    </row>
    <row r="1339" spans="1:6" x14ac:dyDescent="0.2">
      <c r="A1339" s="38"/>
      <c r="B1339" s="38"/>
      <c r="C1339" s="8"/>
      <c r="D1339" s="8"/>
      <c r="E1339" s="8"/>
      <c r="F1339" s="8"/>
    </row>
    <row r="1340" spans="1:6" x14ac:dyDescent="0.2">
      <c r="A1340" s="38"/>
      <c r="B1340" s="38"/>
      <c r="C1340" s="8"/>
      <c r="D1340" s="8"/>
      <c r="E1340" s="8"/>
      <c r="F1340" s="8"/>
    </row>
    <row r="1341" spans="1:6" x14ac:dyDescent="0.2">
      <c r="A1341" s="38"/>
      <c r="B1341" s="38"/>
      <c r="C1341" s="8"/>
      <c r="D1341" s="8"/>
      <c r="E1341" s="8"/>
      <c r="F1341" s="8"/>
    </row>
    <row r="1342" spans="1:6" x14ac:dyDescent="0.2">
      <c r="A1342" s="38"/>
      <c r="B1342" s="38"/>
      <c r="C1342" s="8"/>
      <c r="D1342" s="8"/>
      <c r="E1342" s="8"/>
      <c r="F1342" s="8"/>
    </row>
    <row r="1343" spans="1:6" x14ac:dyDescent="0.2">
      <c r="A1343" s="38"/>
      <c r="B1343" s="38"/>
      <c r="C1343" s="8"/>
      <c r="D1343" s="8"/>
      <c r="E1343" s="8"/>
      <c r="F1343" s="8"/>
    </row>
    <row r="1344" spans="1:6" x14ac:dyDescent="0.2">
      <c r="A1344" s="38"/>
      <c r="B1344" s="38"/>
      <c r="C1344" s="8"/>
      <c r="D1344" s="8"/>
      <c r="E1344" s="8"/>
      <c r="F1344" s="8"/>
    </row>
    <row r="1345" spans="1:6" x14ac:dyDescent="0.2">
      <c r="A1345" s="38"/>
      <c r="B1345" s="38"/>
      <c r="C1345" s="8"/>
      <c r="D1345" s="8"/>
      <c r="E1345" s="8"/>
      <c r="F1345" s="8"/>
    </row>
    <row r="1346" spans="1:6" x14ac:dyDescent="0.2">
      <c r="A1346" s="38"/>
      <c r="B1346" s="38"/>
      <c r="C1346" s="8"/>
      <c r="D1346" s="8"/>
      <c r="E1346" s="8"/>
      <c r="F1346" s="8"/>
    </row>
    <row r="1347" spans="1:6" x14ac:dyDescent="0.2">
      <c r="A1347" s="38"/>
      <c r="B1347" s="38"/>
      <c r="C1347" s="8"/>
      <c r="D1347" s="8"/>
      <c r="E1347" s="8"/>
      <c r="F1347" s="8"/>
    </row>
    <row r="1348" spans="1:6" x14ac:dyDescent="0.2">
      <c r="A1348" s="38"/>
      <c r="B1348" s="38"/>
      <c r="C1348" s="8"/>
      <c r="D1348" s="8"/>
      <c r="E1348" s="8"/>
      <c r="F1348" s="8"/>
    </row>
    <row r="1349" spans="1:6" x14ac:dyDescent="0.2">
      <c r="A1349" s="38"/>
      <c r="B1349" s="38"/>
      <c r="C1349" s="8"/>
      <c r="D1349" s="8"/>
      <c r="E1349" s="8"/>
      <c r="F1349" s="8"/>
    </row>
    <row r="1350" spans="1:6" x14ac:dyDescent="0.2">
      <c r="A1350" s="38"/>
      <c r="B1350" s="38"/>
      <c r="C1350" s="8"/>
      <c r="D1350" s="8"/>
      <c r="E1350" s="8"/>
      <c r="F1350" s="8"/>
    </row>
    <row r="1351" spans="1:6" x14ac:dyDescent="0.2">
      <c r="A1351" s="38"/>
      <c r="B1351" s="38"/>
      <c r="C1351" s="8"/>
      <c r="D1351" s="8"/>
      <c r="E1351" s="8"/>
      <c r="F1351" s="8"/>
    </row>
    <row r="1352" spans="1:6" x14ac:dyDescent="0.2">
      <c r="A1352" s="38"/>
      <c r="B1352" s="38"/>
      <c r="C1352" s="8"/>
      <c r="D1352" s="8"/>
      <c r="E1352" s="8"/>
      <c r="F1352" s="8"/>
    </row>
    <row r="1353" spans="1:6" x14ac:dyDescent="0.2">
      <c r="A1353" s="38"/>
      <c r="B1353" s="38"/>
      <c r="C1353" s="8"/>
      <c r="D1353" s="8"/>
      <c r="E1353" s="8"/>
      <c r="F1353" s="8"/>
    </row>
    <row r="1354" spans="1:6" x14ac:dyDescent="0.2">
      <c r="A1354" s="38"/>
      <c r="B1354" s="38"/>
      <c r="C1354" s="8"/>
      <c r="D1354" s="8"/>
      <c r="E1354" s="8"/>
      <c r="F1354" s="8"/>
    </row>
    <row r="1355" spans="1:6" x14ac:dyDescent="0.2">
      <c r="A1355" s="38"/>
      <c r="B1355" s="38"/>
      <c r="C1355" s="8"/>
      <c r="D1355" s="8"/>
      <c r="E1355" s="8"/>
      <c r="F1355" s="8"/>
    </row>
    <row r="1356" spans="1:6" x14ac:dyDescent="0.2">
      <c r="A1356" s="38"/>
      <c r="B1356" s="38"/>
      <c r="C1356" s="8"/>
      <c r="D1356" s="8"/>
      <c r="E1356" s="8"/>
      <c r="F1356" s="8"/>
    </row>
    <row r="1357" spans="1:6" x14ac:dyDescent="0.2">
      <c r="A1357" s="38"/>
      <c r="B1357" s="38"/>
      <c r="C1357" s="8"/>
      <c r="D1357" s="8"/>
      <c r="E1357" s="8"/>
      <c r="F1357" s="8"/>
    </row>
    <row r="1358" spans="1:6" x14ac:dyDescent="0.2">
      <c r="A1358" s="38"/>
      <c r="B1358" s="38"/>
      <c r="C1358" s="8"/>
      <c r="D1358" s="8"/>
      <c r="E1358" s="8"/>
      <c r="F1358" s="8"/>
    </row>
    <row r="1359" spans="1:6" x14ac:dyDescent="0.2">
      <c r="A1359" s="38"/>
      <c r="B1359" s="38"/>
      <c r="C1359" s="8"/>
      <c r="D1359" s="8"/>
      <c r="E1359" s="8"/>
      <c r="F1359" s="8"/>
    </row>
    <row r="1360" spans="1:6" x14ac:dyDescent="0.2">
      <c r="A1360" s="38"/>
      <c r="B1360" s="38"/>
      <c r="C1360" s="8"/>
      <c r="D1360" s="8"/>
      <c r="E1360" s="8"/>
      <c r="F1360" s="8"/>
    </row>
    <row r="1361" spans="1:6" x14ac:dyDescent="0.2">
      <c r="A1361" s="38"/>
      <c r="B1361" s="38"/>
      <c r="C1361" s="8"/>
      <c r="D1361" s="8"/>
      <c r="E1361" s="8"/>
      <c r="F1361" s="8"/>
    </row>
    <row r="1362" spans="1:6" x14ac:dyDescent="0.2">
      <c r="A1362" s="38"/>
      <c r="B1362" s="38"/>
      <c r="C1362" s="8"/>
      <c r="D1362" s="8"/>
      <c r="E1362" s="8"/>
      <c r="F1362" s="8"/>
    </row>
    <row r="1363" spans="1:6" x14ac:dyDescent="0.2">
      <c r="A1363" s="38"/>
      <c r="B1363" s="38"/>
      <c r="C1363" s="8"/>
      <c r="D1363" s="8"/>
      <c r="E1363" s="8"/>
      <c r="F1363" s="8"/>
    </row>
    <row r="1364" spans="1:6" x14ac:dyDescent="0.2">
      <c r="A1364" s="38"/>
      <c r="B1364" s="38"/>
      <c r="C1364" s="8"/>
      <c r="D1364" s="8"/>
      <c r="E1364" s="8"/>
      <c r="F1364" s="8"/>
    </row>
    <row r="1365" spans="1:6" x14ac:dyDescent="0.2">
      <c r="A1365" s="38"/>
      <c r="B1365" s="38"/>
      <c r="C1365" s="8"/>
      <c r="D1365" s="8"/>
      <c r="E1365" s="8"/>
      <c r="F1365" s="8"/>
    </row>
    <row r="1366" spans="1:6" x14ac:dyDescent="0.2">
      <c r="A1366" s="38"/>
      <c r="B1366" s="38"/>
      <c r="C1366" s="8"/>
      <c r="D1366" s="8"/>
      <c r="E1366" s="8"/>
      <c r="F1366" s="8"/>
    </row>
    <row r="1367" spans="1:6" x14ac:dyDescent="0.2">
      <c r="A1367" s="38"/>
      <c r="B1367" s="38"/>
      <c r="C1367" s="8"/>
      <c r="D1367" s="8"/>
      <c r="E1367" s="8"/>
      <c r="F1367" s="8"/>
    </row>
    <row r="1368" spans="1:6" x14ac:dyDescent="0.2">
      <c r="A1368" s="38"/>
      <c r="B1368" s="38"/>
      <c r="C1368" s="8"/>
      <c r="D1368" s="8"/>
      <c r="E1368" s="8"/>
      <c r="F1368" s="8"/>
    </row>
    <row r="1369" spans="1:6" x14ac:dyDescent="0.2">
      <c r="A1369" s="38"/>
      <c r="B1369" s="38"/>
      <c r="C1369" s="8"/>
      <c r="D1369" s="8"/>
      <c r="E1369" s="8"/>
      <c r="F1369" s="8"/>
    </row>
    <row r="1370" spans="1:6" x14ac:dyDescent="0.2">
      <c r="A1370" s="38"/>
      <c r="B1370" s="38"/>
      <c r="C1370" s="8"/>
      <c r="D1370" s="8"/>
      <c r="E1370" s="8"/>
      <c r="F1370" s="8"/>
    </row>
    <row r="1371" spans="1:6" x14ac:dyDescent="0.2">
      <c r="A1371" s="38"/>
      <c r="B1371" s="38"/>
      <c r="C1371" s="8"/>
      <c r="D1371" s="8"/>
      <c r="E1371" s="8"/>
      <c r="F1371" s="8"/>
    </row>
    <row r="1372" spans="1:6" x14ac:dyDescent="0.2">
      <c r="A1372" s="38"/>
      <c r="B1372" s="38"/>
      <c r="C1372" s="8"/>
      <c r="D1372" s="8"/>
      <c r="E1372" s="8"/>
      <c r="F1372" s="8"/>
    </row>
    <row r="1373" spans="1:6" x14ac:dyDescent="0.2">
      <c r="A1373" s="38"/>
      <c r="B1373" s="38"/>
      <c r="C1373" s="8"/>
      <c r="D1373" s="8"/>
      <c r="E1373" s="8"/>
      <c r="F1373" s="8"/>
    </row>
    <row r="1374" spans="1:6" x14ac:dyDescent="0.2">
      <c r="A1374" s="38"/>
      <c r="B1374" s="38"/>
      <c r="C1374" s="8"/>
      <c r="D1374" s="8"/>
      <c r="E1374" s="8"/>
      <c r="F1374" s="8"/>
    </row>
    <row r="1375" spans="1:6" x14ac:dyDescent="0.2">
      <c r="A1375" s="38"/>
      <c r="B1375" s="38"/>
      <c r="C1375" s="8"/>
      <c r="D1375" s="8"/>
      <c r="E1375" s="8"/>
      <c r="F1375" s="8"/>
    </row>
    <row r="1376" spans="1:6" x14ac:dyDescent="0.2">
      <c r="A1376" s="38"/>
      <c r="B1376" s="38"/>
      <c r="C1376" s="8"/>
      <c r="D1376" s="8"/>
      <c r="E1376" s="8"/>
      <c r="F1376" s="8"/>
    </row>
    <row r="1377" spans="1:6" x14ac:dyDescent="0.2">
      <c r="A1377" s="38"/>
      <c r="B1377" s="38"/>
      <c r="C1377" s="8"/>
      <c r="D1377" s="8"/>
      <c r="E1377" s="8"/>
      <c r="F1377" s="8"/>
    </row>
    <row r="1378" spans="1:6" x14ac:dyDescent="0.2">
      <c r="A1378" s="38"/>
      <c r="B1378" s="38"/>
      <c r="C1378" s="8"/>
      <c r="D1378" s="8"/>
      <c r="E1378" s="8"/>
      <c r="F1378" s="8"/>
    </row>
    <row r="1379" spans="1:6" x14ac:dyDescent="0.2">
      <c r="A1379" s="38"/>
      <c r="B1379" s="38"/>
      <c r="C1379" s="8"/>
      <c r="D1379" s="8"/>
      <c r="E1379" s="8"/>
      <c r="F1379" s="8"/>
    </row>
    <row r="1380" spans="1:6" x14ac:dyDescent="0.2">
      <c r="A1380" s="38"/>
      <c r="B1380" s="38"/>
      <c r="C1380" s="8"/>
      <c r="D1380" s="8"/>
      <c r="E1380" s="8"/>
      <c r="F1380" s="8"/>
    </row>
    <row r="1381" spans="1:6" x14ac:dyDescent="0.2">
      <c r="A1381" s="38"/>
      <c r="B1381" s="38"/>
      <c r="C1381" s="8"/>
      <c r="D1381" s="8"/>
      <c r="E1381" s="8"/>
      <c r="F1381" s="8"/>
    </row>
    <row r="1382" spans="1:6" x14ac:dyDescent="0.2">
      <c r="A1382" s="38"/>
      <c r="B1382" s="38"/>
      <c r="C1382" s="8"/>
      <c r="D1382" s="8"/>
      <c r="E1382" s="8"/>
      <c r="F1382" s="8"/>
    </row>
    <row r="1383" spans="1:6" x14ac:dyDescent="0.2">
      <c r="A1383" s="38"/>
      <c r="B1383" s="38"/>
      <c r="C1383" s="8"/>
      <c r="D1383" s="8"/>
      <c r="E1383" s="8"/>
      <c r="F1383" s="8"/>
    </row>
    <row r="1384" spans="1:6" x14ac:dyDescent="0.2">
      <c r="A1384" s="38"/>
      <c r="B1384" s="38"/>
      <c r="C1384" s="8"/>
      <c r="D1384" s="8"/>
      <c r="E1384" s="8"/>
      <c r="F1384" s="8"/>
    </row>
    <row r="1385" spans="1:6" x14ac:dyDescent="0.2">
      <c r="A1385" s="38"/>
      <c r="B1385" s="38"/>
      <c r="C1385" s="8"/>
      <c r="D1385" s="8"/>
      <c r="E1385" s="8"/>
      <c r="F1385" s="8"/>
    </row>
    <row r="1386" spans="1:6" x14ac:dyDescent="0.2">
      <c r="A1386" s="38"/>
      <c r="B1386" s="38"/>
      <c r="C1386" s="8"/>
      <c r="D1386" s="8"/>
      <c r="E1386" s="8"/>
      <c r="F1386" s="8"/>
    </row>
    <row r="1387" spans="1:6" x14ac:dyDescent="0.2">
      <c r="A1387" s="38"/>
      <c r="B1387" s="38"/>
      <c r="C1387" s="8"/>
      <c r="D1387" s="8"/>
      <c r="E1387" s="8"/>
      <c r="F1387" s="8"/>
    </row>
    <row r="1388" spans="1:6" x14ac:dyDescent="0.2">
      <c r="A1388" s="38"/>
      <c r="B1388" s="38"/>
      <c r="C1388" s="8"/>
      <c r="D1388" s="8"/>
      <c r="E1388" s="8"/>
      <c r="F1388" s="8"/>
    </row>
    <row r="1389" spans="1:6" x14ac:dyDescent="0.2">
      <c r="A1389" s="38"/>
      <c r="B1389" s="38"/>
      <c r="C1389" s="8"/>
      <c r="D1389" s="8"/>
      <c r="E1389" s="8"/>
      <c r="F1389" s="8"/>
    </row>
    <row r="1390" spans="1:6" x14ac:dyDescent="0.2">
      <c r="A1390" s="38"/>
      <c r="B1390" s="38"/>
      <c r="C1390" s="8"/>
      <c r="D1390" s="8"/>
      <c r="E1390" s="8"/>
      <c r="F1390" s="8"/>
    </row>
    <row r="1391" spans="1:6" x14ac:dyDescent="0.2">
      <c r="A1391" s="38"/>
      <c r="B1391" s="38"/>
      <c r="C1391" s="8"/>
      <c r="D1391" s="8"/>
      <c r="E1391" s="8"/>
      <c r="F1391" s="8"/>
    </row>
    <row r="1392" spans="1:6" x14ac:dyDescent="0.2">
      <c r="A1392" s="38"/>
      <c r="B1392" s="38"/>
      <c r="C1392" s="8"/>
      <c r="D1392" s="8"/>
      <c r="E1392" s="8"/>
      <c r="F1392" s="8"/>
    </row>
    <row r="1393" spans="1:6" x14ac:dyDescent="0.2">
      <c r="A1393" s="38"/>
      <c r="B1393" s="38"/>
      <c r="C1393" s="8"/>
      <c r="D1393" s="8"/>
      <c r="E1393" s="8"/>
      <c r="F1393" s="8"/>
    </row>
    <row r="1394" spans="1:6" x14ac:dyDescent="0.2">
      <c r="A1394" s="38"/>
      <c r="B1394" s="38"/>
      <c r="C1394" s="8"/>
      <c r="D1394" s="8"/>
      <c r="E1394" s="8"/>
      <c r="F1394" s="8"/>
    </row>
    <row r="1395" spans="1:6" x14ac:dyDescent="0.2">
      <c r="A1395" s="38"/>
      <c r="B1395" s="38"/>
      <c r="C1395" s="8"/>
      <c r="D1395" s="8"/>
      <c r="E1395" s="8"/>
      <c r="F1395" s="8"/>
    </row>
    <row r="1396" spans="1:6" x14ac:dyDescent="0.2">
      <c r="A1396" s="38"/>
      <c r="B1396" s="38"/>
      <c r="C1396" s="8"/>
      <c r="D1396" s="8"/>
      <c r="E1396" s="8"/>
      <c r="F1396" s="8"/>
    </row>
    <row r="1397" spans="1:6" x14ac:dyDescent="0.2">
      <c r="A1397" s="38"/>
      <c r="B1397" s="38"/>
      <c r="C1397" s="8"/>
      <c r="D1397" s="8"/>
      <c r="E1397" s="8"/>
      <c r="F1397" s="8"/>
    </row>
    <row r="1398" spans="1:6" x14ac:dyDescent="0.2">
      <c r="A1398" s="38"/>
      <c r="B1398" s="38"/>
      <c r="C1398" s="8"/>
      <c r="D1398" s="8"/>
      <c r="E1398" s="8"/>
      <c r="F1398" s="8"/>
    </row>
    <row r="1399" spans="1:6" x14ac:dyDescent="0.2">
      <c r="A1399" s="38"/>
      <c r="B1399" s="38"/>
      <c r="C1399" s="8"/>
      <c r="D1399" s="8"/>
      <c r="E1399" s="8"/>
      <c r="F1399" s="8"/>
    </row>
    <row r="1400" spans="1:6" x14ac:dyDescent="0.2">
      <c r="A1400" s="38"/>
      <c r="B1400" s="38"/>
      <c r="C1400" s="8"/>
      <c r="D1400" s="8"/>
      <c r="E1400" s="8"/>
      <c r="F1400" s="8"/>
    </row>
    <row r="1401" spans="1:6" x14ac:dyDescent="0.2">
      <c r="A1401" s="38"/>
      <c r="B1401" s="38"/>
      <c r="C1401" s="8"/>
      <c r="D1401" s="8"/>
      <c r="E1401" s="8"/>
      <c r="F1401" s="8"/>
    </row>
    <row r="1402" spans="1:6" x14ac:dyDescent="0.2">
      <c r="A1402" s="38"/>
      <c r="B1402" s="38"/>
      <c r="C1402" s="8"/>
      <c r="D1402" s="8"/>
      <c r="E1402" s="8"/>
      <c r="F1402" s="8"/>
    </row>
    <row r="1403" spans="1:6" x14ac:dyDescent="0.2">
      <c r="A1403" s="38"/>
      <c r="B1403" s="38"/>
      <c r="C1403" s="8"/>
      <c r="D1403" s="8"/>
      <c r="E1403" s="8"/>
      <c r="F1403" s="8"/>
    </row>
    <row r="1404" spans="1:6" x14ac:dyDescent="0.2">
      <c r="A1404" s="38"/>
      <c r="B1404" s="38"/>
      <c r="C1404" s="8"/>
      <c r="D1404" s="8"/>
      <c r="E1404" s="8"/>
      <c r="F1404" s="8"/>
    </row>
    <row r="1405" spans="1:6" x14ac:dyDescent="0.2">
      <c r="A1405" s="38"/>
      <c r="B1405" s="38"/>
      <c r="C1405" s="8"/>
      <c r="D1405" s="8"/>
      <c r="E1405" s="8"/>
      <c r="F1405" s="8"/>
    </row>
    <row r="1406" spans="1:6" x14ac:dyDescent="0.2">
      <c r="A1406" s="38"/>
      <c r="B1406" s="38"/>
      <c r="C1406" s="8"/>
      <c r="D1406" s="8"/>
      <c r="E1406" s="8"/>
      <c r="F1406" s="8"/>
    </row>
    <row r="1407" spans="1:6" x14ac:dyDescent="0.2">
      <c r="A1407" s="38"/>
      <c r="B1407" s="38"/>
      <c r="C1407" s="8"/>
      <c r="D1407" s="8"/>
      <c r="E1407" s="8"/>
      <c r="F1407" s="8"/>
    </row>
    <row r="1408" spans="1:6" x14ac:dyDescent="0.2">
      <c r="A1408" s="38"/>
      <c r="B1408" s="38"/>
      <c r="C1408" s="8"/>
      <c r="D1408" s="8"/>
      <c r="E1408" s="8"/>
      <c r="F1408" s="8"/>
    </row>
    <row r="1409" spans="1:6" x14ac:dyDescent="0.2">
      <c r="A1409" s="38"/>
      <c r="B1409" s="38"/>
      <c r="C1409" s="8"/>
      <c r="D1409" s="8"/>
      <c r="E1409" s="8"/>
      <c r="F1409" s="8"/>
    </row>
    <row r="1410" spans="1:6" x14ac:dyDescent="0.2">
      <c r="A1410" s="38"/>
      <c r="B1410" s="38"/>
      <c r="C1410" s="8"/>
      <c r="D1410" s="8"/>
      <c r="E1410" s="8"/>
      <c r="F1410" s="8"/>
    </row>
    <row r="1411" spans="1:6" x14ac:dyDescent="0.2">
      <c r="A1411" s="38"/>
      <c r="B1411" s="38"/>
      <c r="C1411" s="8"/>
      <c r="D1411" s="8"/>
      <c r="E1411" s="8"/>
      <c r="F1411" s="8"/>
    </row>
    <row r="1412" spans="1:6" x14ac:dyDescent="0.2">
      <c r="A1412" s="38"/>
      <c r="B1412" s="38"/>
      <c r="C1412" s="8"/>
      <c r="D1412" s="8"/>
      <c r="E1412" s="8"/>
      <c r="F1412" s="8"/>
    </row>
    <row r="1413" spans="1:6" x14ac:dyDescent="0.2">
      <c r="A1413" s="38"/>
      <c r="B1413" s="38"/>
      <c r="C1413" s="8"/>
      <c r="D1413" s="8"/>
      <c r="E1413" s="8"/>
      <c r="F1413" s="8"/>
    </row>
    <row r="1414" spans="1:6" x14ac:dyDescent="0.2">
      <c r="A1414" s="38"/>
      <c r="B1414" s="38"/>
      <c r="C1414" s="8"/>
      <c r="D1414" s="8"/>
      <c r="E1414" s="8"/>
      <c r="F1414" s="8"/>
    </row>
    <row r="1415" spans="1:6" x14ac:dyDescent="0.2">
      <c r="A1415" s="38"/>
      <c r="B1415" s="38"/>
      <c r="C1415" s="8"/>
      <c r="D1415" s="8"/>
      <c r="E1415" s="8"/>
      <c r="F1415" s="8"/>
    </row>
    <row r="1416" spans="1:6" x14ac:dyDescent="0.2">
      <c r="A1416" s="38"/>
      <c r="B1416" s="38"/>
      <c r="C1416" s="8"/>
      <c r="D1416" s="8"/>
      <c r="E1416" s="8"/>
      <c r="F1416" s="8"/>
    </row>
    <row r="1417" spans="1:6" x14ac:dyDescent="0.2">
      <c r="A1417" s="38"/>
      <c r="B1417" s="38"/>
      <c r="C1417" s="8"/>
      <c r="D1417" s="8"/>
      <c r="E1417" s="8"/>
      <c r="F1417" s="8"/>
    </row>
    <row r="1418" spans="1:6" x14ac:dyDescent="0.2">
      <c r="A1418" s="38"/>
      <c r="B1418" s="38"/>
      <c r="C1418" s="8"/>
      <c r="D1418" s="8"/>
      <c r="E1418" s="8"/>
      <c r="F1418" s="8"/>
    </row>
    <row r="1419" spans="1:6" x14ac:dyDescent="0.2">
      <c r="A1419" s="38"/>
      <c r="B1419" s="38"/>
      <c r="C1419" s="8"/>
      <c r="D1419" s="8"/>
      <c r="E1419" s="8"/>
      <c r="F1419" s="8"/>
    </row>
    <row r="1420" spans="1:6" x14ac:dyDescent="0.2">
      <c r="A1420" s="38"/>
      <c r="B1420" s="38"/>
      <c r="C1420" s="8"/>
      <c r="D1420" s="8"/>
      <c r="E1420" s="8"/>
      <c r="F1420" s="8"/>
    </row>
    <row r="1421" spans="1:6" x14ac:dyDescent="0.2">
      <c r="A1421" s="38"/>
      <c r="B1421" s="38"/>
      <c r="C1421" s="8"/>
      <c r="D1421" s="8"/>
      <c r="E1421" s="8"/>
      <c r="F1421" s="8"/>
    </row>
    <row r="1422" spans="1:6" x14ac:dyDescent="0.2">
      <c r="A1422" s="38"/>
      <c r="B1422" s="38"/>
      <c r="C1422" s="8"/>
      <c r="D1422" s="8"/>
      <c r="E1422" s="8"/>
      <c r="F1422" s="8"/>
    </row>
    <row r="1423" spans="1:6" x14ac:dyDescent="0.2">
      <c r="A1423" s="38"/>
      <c r="B1423" s="38"/>
      <c r="C1423" s="8"/>
      <c r="D1423" s="8"/>
      <c r="E1423" s="8"/>
      <c r="F1423" s="8"/>
    </row>
    <row r="1424" spans="1:6" x14ac:dyDescent="0.2">
      <c r="A1424" s="38"/>
      <c r="B1424" s="38"/>
      <c r="C1424" s="8"/>
      <c r="D1424" s="8"/>
      <c r="E1424" s="8"/>
      <c r="F1424" s="8"/>
    </row>
    <row r="1425" spans="1:6" x14ac:dyDescent="0.2">
      <c r="A1425" s="38"/>
      <c r="B1425" s="38"/>
      <c r="C1425" s="8"/>
      <c r="D1425" s="8"/>
      <c r="E1425" s="8"/>
      <c r="F1425" s="8"/>
    </row>
    <row r="1426" spans="1:6" x14ac:dyDescent="0.2">
      <c r="A1426" s="38"/>
      <c r="B1426" s="38"/>
      <c r="C1426" s="8"/>
      <c r="D1426" s="8"/>
      <c r="E1426" s="8"/>
      <c r="F1426" s="8"/>
    </row>
    <row r="1427" spans="1:6" x14ac:dyDescent="0.2">
      <c r="A1427" s="38"/>
      <c r="B1427" s="38"/>
      <c r="C1427" s="8"/>
      <c r="D1427" s="8"/>
      <c r="E1427" s="8"/>
      <c r="F1427" s="8"/>
    </row>
    <row r="1428" spans="1:6" x14ac:dyDescent="0.2">
      <c r="A1428" s="38"/>
      <c r="B1428" s="38"/>
      <c r="C1428" s="8"/>
      <c r="D1428" s="8"/>
      <c r="E1428" s="8"/>
      <c r="F1428" s="8"/>
    </row>
    <row r="1429" spans="1:6" x14ac:dyDescent="0.2">
      <c r="A1429" s="38"/>
      <c r="B1429" s="38"/>
      <c r="C1429" s="8"/>
      <c r="D1429" s="8"/>
      <c r="E1429" s="8"/>
      <c r="F1429" s="8"/>
    </row>
    <row r="1430" spans="1:6" x14ac:dyDescent="0.2">
      <c r="A1430" s="38"/>
      <c r="B1430" s="38"/>
      <c r="C1430" s="8"/>
      <c r="D1430" s="8"/>
      <c r="E1430" s="8"/>
      <c r="F1430" s="8"/>
    </row>
    <row r="1431" spans="1:6" x14ac:dyDescent="0.2">
      <c r="A1431" s="38"/>
      <c r="B1431" s="38"/>
      <c r="C1431" s="8"/>
      <c r="D1431" s="8"/>
      <c r="E1431" s="8"/>
      <c r="F1431" s="8"/>
    </row>
    <row r="1432" spans="1:6" x14ac:dyDescent="0.2">
      <c r="A1432" s="38"/>
      <c r="B1432" s="38"/>
      <c r="C1432" s="8"/>
      <c r="D1432" s="8"/>
      <c r="E1432" s="8"/>
      <c r="F1432" s="8"/>
    </row>
    <row r="1433" spans="1:6" x14ac:dyDescent="0.2">
      <c r="A1433" s="38"/>
      <c r="B1433" s="38"/>
      <c r="C1433" s="8"/>
      <c r="D1433" s="8"/>
      <c r="E1433" s="8"/>
      <c r="F1433" s="8"/>
    </row>
    <row r="1434" spans="1:6" x14ac:dyDescent="0.2">
      <c r="A1434" s="38"/>
      <c r="B1434" s="38"/>
      <c r="C1434" s="8"/>
      <c r="D1434" s="8"/>
      <c r="E1434" s="8"/>
      <c r="F1434" s="8"/>
    </row>
    <row r="1435" spans="1:6" x14ac:dyDescent="0.2">
      <c r="A1435" s="38"/>
      <c r="B1435" s="38"/>
      <c r="C1435" s="8"/>
      <c r="D1435" s="8"/>
      <c r="E1435" s="8"/>
      <c r="F1435" s="8"/>
    </row>
    <row r="1436" spans="1:6" x14ac:dyDescent="0.2">
      <c r="A1436" s="38"/>
      <c r="B1436" s="38"/>
      <c r="C1436" s="8"/>
      <c r="D1436" s="8"/>
      <c r="E1436" s="8"/>
      <c r="F1436" s="8"/>
    </row>
    <row r="1437" spans="1:6" x14ac:dyDescent="0.2">
      <c r="A1437" s="38"/>
      <c r="B1437" s="38"/>
      <c r="C1437" s="8"/>
      <c r="D1437" s="8"/>
      <c r="E1437" s="8"/>
      <c r="F1437" s="8"/>
    </row>
    <row r="1438" spans="1:6" x14ac:dyDescent="0.2">
      <c r="A1438" s="38"/>
      <c r="B1438" s="38"/>
      <c r="C1438" s="8"/>
      <c r="D1438" s="8"/>
      <c r="E1438" s="8"/>
      <c r="F1438" s="8"/>
    </row>
    <row r="1439" spans="1:6" x14ac:dyDescent="0.2">
      <c r="A1439" s="38"/>
      <c r="B1439" s="38"/>
      <c r="C1439" s="8"/>
      <c r="D1439" s="8"/>
      <c r="E1439" s="8"/>
      <c r="F1439" s="8"/>
    </row>
    <row r="1440" spans="1:6" x14ac:dyDescent="0.2">
      <c r="A1440" s="38"/>
      <c r="B1440" s="38"/>
      <c r="C1440" s="8"/>
      <c r="D1440" s="8"/>
      <c r="E1440" s="8"/>
      <c r="F1440" s="8"/>
    </row>
    <row r="1441" spans="1:6" x14ac:dyDescent="0.2">
      <c r="A1441" s="38"/>
      <c r="B1441" s="38"/>
      <c r="C1441" s="8"/>
      <c r="D1441" s="8"/>
      <c r="E1441" s="8"/>
      <c r="F1441" s="8"/>
    </row>
    <row r="1442" spans="1:6" x14ac:dyDescent="0.2">
      <c r="A1442" s="38"/>
      <c r="B1442" s="38"/>
      <c r="C1442" s="8"/>
      <c r="D1442" s="8"/>
      <c r="E1442" s="8"/>
      <c r="F1442" s="8"/>
    </row>
    <row r="1443" spans="1:6" x14ac:dyDescent="0.2">
      <c r="A1443" s="38"/>
      <c r="B1443" s="38"/>
      <c r="C1443" s="8"/>
      <c r="D1443" s="8"/>
      <c r="E1443" s="8"/>
      <c r="F1443" s="8"/>
    </row>
    <row r="1444" spans="1:6" x14ac:dyDescent="0.2">
      <c r="A1444" s="38"/>
      <c r="B1444" s="38"/>
      <c r="C1444" s="8"/>
      <c r="D1444" s="8"/>
      <c r="E1444" s="8"/>
      <c r="F1444" s="8"/>
    </row>
    <row r="1445" spans="1:6" x14ac:dyDescent="0.2">
      <c r="A1445" s="38"/>
      <c r="B1445" s="38"/>
      <c r="C1445" s="8"/>
      <c r="D1445" s="8"/>
      <c r="E1445" s="8"/>
      <c r="F1445" s="8"/>
    </row>
    <row r="1446" spans="1:6" x14ac:dyDescent="0.2">
      <c r="A1446" s="38"/>
      <c r="B1446" s="38"/>
      <c r="C1446" s="8"/>
      <c r="D1446" s="8"/>
      <c r="E1446" s="8"/>
      <c r="F1446" s="8"/>
    </row>
    <row r="1447" spans="1:6" x14ac:dyDescent="0.2">
      <c r="A1447" s="38"/>
      <c r="B1447" s="38"/>
      <c r="C1447" s="8"/>
      <c r="D1447" s="8"/>
      <c r="E1447" s="8"/>
      <c r="F1447" s="8"/>
    </row>
    <row r="1448" spans="1:6" x14ac:dyDescent="0.2">
      <c r="A1448" s="38"/>
      <c r="B1448" s="38"/>
      <c r="C1448" s="8"/>
      <c r="D1448" s="8"/>
      <c r="E1448" s="8"/>
      <c r="F1448" s="8"/>
    </row>
    <row r="1449" spans="1:6" x14ac:dyDescent="0.2">
      <c r="A1449" s="38"/>
      <c r="B1449" s="38"/>
      <c r="C1449" s="8"/>
      <c r="D1449" s="8"/>
      <c r="E1449" s="8"/>
      <c r="F1449" s="8"/>
    </row>
    <row r="1450" spans="1:6" x14ac:dyDescent="0.2">
      <c r="A1450" s="38"/>
      <c r="B1450" s="38"/>
      <c r="C1450" s="8"/>
      <c r="D1450" s="8"/>
      <c r="E1450" s="8"/>
      <c r="F1450" s="8"/>
    </row>
    <row r="1451" spans="1:6" x14ac:dyDescent="0.2">
      <c r="A1451" s="38"/>
      <c r="B1451" s="38"/>
      <c r="C1451" s="8"/>
      <c r="D1451" s="8"/>
      <c r="E1451" s="8"/>
      <c r="F1451" s="8"/>
    </row>
    <row r="1452" spans="1:6" x14ac:dyDescent="0.2">
      <c r="A1452" s="38"/>
      <c r="B1452" s="38"/>
      <c r="C1452" s="8"/>
      <c r="D1452" s="8"/>
      <c r="E1452" s="8"/>
      <c r="F1452" s="8"/>
    </row>
    <row r="1453" spans="1:6" x14ac:dyDescent="0.2">
      <c r="A1453" s="38"/>
      <c r="B1453" s="38"/>
      <c r="C1453" s="8"/>
      <c r="D1453" s="8"/>
      <c r="E1453" s="8"/>
      <c r="F1453" s="8"/>
    </row>
    <row r="1454" spans="1:6" x14ac:dyDescent="0.2">
      <c r="A1454" s="38"/>
      <c r="B1454" s="38"/>
      <c r="C1454" s="8"/>
      <c r="D1454" s="8"/>
      <c r="E1454" s="8"/>
      <c r="F1454" s="8"/>
    </row>
    <row r="1455" spans="1:6" x14ac:dyDescent="0.2">
      <c r="A1455" s="38"/>
      <c r="B1455" s="38"/>
      <c r="C1455" s="8"/>
      <c r="D1455" s="8"/>
      <c r="E1455" s="8"/>
      <c r="F1455" s="8"/>
    </row>
    <row r="1456" spans="1:6" x14ac:dyDescent="0.2">
      <c r="A1456" s="38"/>
      <c r="B1456" s="38"/>
      <c r="C1456" s="8"/>
      <c r="D1456" s="8"/>
      <c r="E1456" s="8"/>
      <c r="F1456" s="8"/>
    </row>
    <row r="1457" spans="1:6" x14ac:dyDescent="0.2">
      <c r="A1457" s="38"/>
      <c r="B1457" s="38"/>
      <c r="C1457" s="8"/>
      <c r="D1457" s="8"/>
      <c r="E1457" s="8"/>
      <c r="F1457" s="8"/>
    </row>
    <row r="1458" spans="1:6" x14ac:dyDescent="0.2">
      <c r="A1458" s="38"/>
      <c r="B1458" s="38"/>
      <c r="C1458" s="8"/>
      <c r="D1458" s="8"/>
      <c r="E1458" s="8"/>
      <c r="F1458" s="8"/>
    </row>
    <row r="1459" spans="1:6" x14ac:dyDescent="0.2">
      <c r="A1459" s="38"/>
      <c r="B1459" s="38"/>
      <c r="C1459" s="8"/>
      <c r="D1459" s="8"/>
      <c r="E1459" s="8"/>
      <c r="F1459" s="8"/>
    </row>
    <row r="1460" spans="1:6" x14ac:dyDescent="0.2">
      <c r="A1460" s="38"/>
      <c r="B1460" s="38"/>
      <c r="C1460" s="8"/>
      <c r="D1460" s="8"/>
      <c r="E1460" s="8"/>
      <c r="F1460" s="8"/>
    </row>
    <row r="1461" spans="1:6" x14ac:dyDescent="0.2">
      <c r="A1461" s="38"/>
      <c r="B1461" s="38"/>
      <c r="C1461" s="8"/>
      <c r="D1461" s="8"/>
      <c r="E1461" s="8"/>
      <c r="F1461" s="8"/>
    </row>
    <row r="1462" spans="1:6" x14ac:dyDescent="0.2">
      <c r="A1462" s="38"/>
      <c r="B1462" s="38"/>
      <c r="C1462" s="8"/>
      <c r="D1462" s="8"/>
      <c r="E1462" s="8"/>
      <c r="F1462" s="8"/>
    </row>
    <row r="1463" spans="1:6" x14ac:dyDescent="0.2">
      <c r="A1463" s="38"/>
      <c r="B1463" s="38"/>
      <c r="C1463" s="8"/>
      <c r="D1463" s="8"/>
      <c r="E1463" s="8"/>
      <c r="F1463" s="8"/>
    </row>
    <row r="1464" spans="1:6" x14ac:dyDescent="0.2">
      <c r="A1464" s="38"/>
      <c r="B1464" s="38"/>
      <c r="C1464" s="8"/>
      <c r="D1464" s="8"/>
      <c r="E1464" s="8"/>
      <c r="F1464" s="8"/>
    </row>
    <row r="1465" spans="1:6" x14ac:dyDescent="0.2">
      <c r="A1465" s="38"/>
      <c r="B1465" s="38"/>
      <c r="C1465" s="8"/>
      <c r="D1465" s="8"/>
      <c r="E1465" s="8"/>
      <c r="F1465" s="8"/>
    </row>
    <row r="1466" spans="1:6" x14ac:dyDescent="0.2">
      <c r="A1466" s="38"/>
      <c r="B1466" s="38"/>
      <c r="C1466" s="8"/>
      <c r="D1466" s="8"/>
      <c r="E1466" s="8"/>
      <c r="F1466" s="8"/>
    </row>
    <row r="1467" spans="1:6" x14ac:dyDescent="0.2">
      <c r="A1467" s="38"/>
      <c r="B1467" s="38"/>
      <c r="C1467" s="8"/>
      <c r="D1467" s="8"/>
      <c r="E1467" s="8"/>
      <c r="F1467" s="8"/>
    </row>
    <row r="1468" spans="1:6" x14ac:dyDescent="0.2">
      <c r="A1468" s="38"/>
      <c r="B1468" s="38"/>
      <c r="C1468" s="8"/>
      <c r="D1468" s="8"/>
      <c r="E1468" s="8"/>
      <c r="F1468" s="8"/>
    </row>
    <row r="1469" spans="1:6" x14ac:dyDescent="0.2">
      <c r="A1469" s="38"/>
      <c r="B1469" s="38"/>
      <c r="C1469" s="8"/>
      <c r="D1469" s="8"/>
      <c r="E1469" s="8"/>
      <c r="F1469" s="8"/>
    </row>
    <row r="1470" spans="1:6" x14ac:dyDescent="0.2">
      <c r="A1470" s="38"/>
      <c r="B1470" s="38"/>
      <c r="C1470" s="8"/>
      <c r="D1470" s="8"/>
      <c r="E1470" s="8"/>
      <c r="F1470" s="8"/>
    </row>
    <row r="1471" spans="1:6" x14ac:dyDescent="0.2">
      <c r="A1471" s="38"/>
      <c r="B1471" s="38"/>
      <c r="C1471" s="8"/>
      <c r="D1471" s="8"/>
      <c r="E1471" s="8"/>
      <c r="F1471" s="8"/>
    </row>
    <row r="1472" spans="1:6" x14ac:dyDescent="0.2">
      <c r="A1472" s="38"/>
      <c r="B1472" s="38"/>
      <c r="C1472" s="8"/>
      <c r="D1472" s="8"/>
      <c r="E1472" s="8"/>
      <c r="F1472" s="8"/>
    </row>
    <row r="1473" spans="1:6" x14ac:dyDescent="0.2">
      <c r="A1473" s="38"/>
      <c r="B1473" s="38"/>
      <c r="C1473" s="8"/>
      <c r="D1473" s="8"/>
      <c r="E1473" s="8"/>
      <c r="F1473" s="8"/>
    </row>
    <row r="1474" spans="1:6" x14ac:dyDescent="0.2">
      <c r="A1474" s="38"/>
      <c r="B1474" s="38"/>
      <c r="C1474" s="8"/>
      <c r="D1474" s="8"/>
      <c r="E1474" s="8"/>
      <c r="F1474" s="8"/>
    </row>
    <row r="1475" spans="1:6" x14ac:dyDescent="0.2">
      <c r="A1475" s="38"/>
      <c r="B1475" s="38"/>
      <c r="C1475" s="8"/>
      <c r="D1475" s="8"/>
      <c r="E1475" s="8"/>
      <c r="F1475" s="8"/>
    </row>
    <row r="1476" spans="1:6" x14ac:dyDescent="0.2">
      <c r="A1476" s="38"/>
      <c r="B1476" s="38"/>
      <c r="C1476" s="8"/>
      <c r="D1476" s="8"/>
      <c r="E1476" s="8"/>
      <c r="F1476" s="8"/>
    </row>
    <row r="1477" spans="1:6" x14ac:dyDescent="0.2">
      <c r="A1477" s="38"/>
      <c r="B1477" s="38"/>
      <c r="C1477" s="8"/>
      <c r="D1477" s="8"/>
      <c r="E1477" s="8"/>
      <c r="F1477" s="8"/>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DAA9263-FE8F-439A-BF65-FBF2998EA26B}">
          <x14:formula1>
            <xm:f>'Field Restrictions'!$V$2:$V$259</xm:f>
          </x14:formula1>
          <xm:sqref>C8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E1476"/>
  <sheetViews>
    <sheetView workbookViewId="0">
      <selection activeCell="E13" sqref="E13"/>
    </sheetView>
  </sheetViews>
  <sheetFormatPr defaultColWidth="14.42578125" defaultRowHeight="15" customHeight="1" x14ac:dyDescent="0.2"/>
  <cols>
    <col min="1" max="1" width="38.28515625" customWidth="1"/>
    <col min="2" max="2" width="34.7109375" customWidth="1"/>
    <col min="3" max="5" width="27.7109375" customWidth="1"/>
    <col min="6" max="26" width="8.7109375" customWidth="1"/>
  </cols>
  <sheetData>
    <row r="1" spans="1:5" ht="12.75" customHeight="1" x14ac:dyDescent="0.2">
      <c r="A1" s="5" t="s">
        <v>79</v>
      </c>
      <c r="B1" s="5" t="s">
        <v>80</v>
      </c>
      <c r="C1" s="6" t="s">
        <v>117</v>
      </c>
      <c r="D1" s="6" t="s">
        <v>116</v>
      </c>
      <c r="E1" s="6" t="s">
        <v>118</v>
      </c>
    </row>
    <row r="2" spans="1:5" ht="12.75" customHeight="1" x14ac:dyDescent="0.2">
      <c r="A2" s="5" t="s">
        <v>148</v>
      </c>
      <c r="B2" s="5" t="s">
        <v>149</v>
      </c>
      <c r="C2" s="6" t="s">
        <v>188</v>
      </c>
      <c r="D2" s="6" t="s">
        <v>187</v>
      </c>
      <c r="E2" s="6" t="s">
        <v>189</v>
      </c>
    </row>
    <row r="3" spans="1:5" ht="132.75" customHeight="1" x14ac:dyDescent="0.2">
      <c r="A3" s="9" t="s">
        <v>221</v>
      </c>
      <c r="B3" s="22" t="s">
        <v>222</v>
      </c>
      <c r="C3" s="32" t="s">
        <v>370</v>
      </c>
      <c r="D3" s="32" t="s">
        <v>371</v>
      </c>
      <c r="E3" s="22" t="s">
        <v>261</v>
      </c>
    </row>
    <row r="4" spans="1:5" ht="12.75" customHeight="1" x14ac:dyDescent="0.2">
      <c r="A4" s="5" t="s">
        <v>4</v>
      </c>
      <c r="B4" s="24" t="s">
        <v>4</v>
      </c>
      <c r="C4" s="8" t="s">
        <v>9</v>
      </c>
      <c r="D4" s="8" t="s">
        <v>9</v>
      </c>
      <c r="E4" s="8" t="s">
        <v>16</v>
      </c>
    </row>
    <row r="5" spans="1:5" ht="12.75" customHeight="1" x14ac:dyDescent="0.2">
      <c r="A5" s="5" t="s">
        <v>290</v>
      </c>
      <c r="B5" s="24" t="s">
        <v>291</v>
      </c>
      <c r="C5" s="8" t="s">
        <v>9</v>
      </c>
      <c r="D5" s="8" t="s">
        <v>9</v>
      </c>
      <c r="E5" s="8" t="s">
        <v>17</v>
      </c>
    </row>
    <row r="6" spans="1:5" ht="12.75" customHeight="1" x14ac:dyDescent="0.2">
      <c r="A6" s="44" t="s">
        <v>474</v>
      </c>
      <c r="B6" s="44" t="s">
        <v>474</v>
      </c>
      <c r="C6" s="12" t="s">
        <v>474</v>
      </c>
      <c r="D6" s="12" t="s">
        <v>474</v>
      </c>
      <c r="E6" s="12" t="s">
        <v>474</v>
      </c>
    </row>
    <row r="7" spans="1:5" ht="12.75" customHeight="1" x14ac:dyDescent="0.2">
      <c r="A7" s="45" t="s">
        <v>478</v>
      </c>
      <c r="B7" s="45" t="s">
        <v>478</v>
      </c>
      <c r="C7" s="12"/>
      <c r="D7" s="12" t="s">
        <v>477</v>
      </c>
      <c r="E7" s="12" t="s">
        <v>363</v>
      </c>
    </row>
    <row r="8" spans="1:5" ht="12.75" customHeight="1" x14ac:dyDescent="0.2">
      <c r="A8" s="99" t="str">
        <f>Vendor!A8</f>
        <v>ZCUS-Vinny-Test</v>
      </c>
      <c r="B8" s="99" t="str">
        <f>A8</f>
        <v>ZCUS-Vinny-Test</v>
      </c>
      <c r="C8" s="90" t="s">
        <v>1201</v>
      </c>
      <c r="D8" s="90">
        <v>2</v>
      </c>
      <c r="E8" s="90" t="b">
        <v>1</v>
      </c>
    </row>
    <row r="9" spans="1:5" ht="12.75" customHeight="1" x14ac:dyDescent="0.2">
      <c r="A9" s="38"/>
      <c r="B9" s="38"/>
      <c r="C9" s="8"/>
      <c r="D9" s="8"/>
      <c r="E9" s="8"/>
    </row>
    <row r="10" spans="1:5" ht="12.75" customHeight="1" x14ac:dyDescent="0.2">
      <c r="A10" s="38"/>
      <c r="B10" s="38"/>
      <c r="C10" s="8"/>
      <c r="D10" s="8"/>
      <c r="E10" s="8"/>
    </row>
    <row r="11" spans="1:5" ht="12.75" customHeight="1" x14ac:dyDescent="0.2">
      <c r="A11" s="38"/>
      <c r="B11" s="38"/>
      <c r="C11" s="8"/>
      <c r="D11" s="8"/>
      <c r="E11" s="8"/>
    </row>
    <row r="12" spans="1:5" ht="12.75" customHeight="1" x14ac:dyDescent="0.2">
      <c r="A12" s="38"/>
      <c r="B12" s="38"/>
      <c r="C12" s="8"/>
      <c r="D12" s="8"/>
      <c r="E12" s="8"/>
    </row>
    <row r="13" spans="1:5" ht="12.75" customHeight="1" x14ac:dyDescent="0.2">
      <c r="A13" s="38"/>
      <c r="B13" s="38"/>
      <c r="C13" s="8"/>
      <c r="D13" s="8"/>
      <c r="E13" s="8"/>
    </row>
    <row r="14" spans="1:5" ht="12.75" customHeight="1" x14ac:dyDescent="0.2">
      <c r="A14" s="38"/>
      <c r="B14" s="38"/>
      <c r="C14" s="8"/>
      <c r="D14" s="8"/>
      <c r="E14" s="8"/>
    </row>
    <row r="15" spans="1:5" ht="12.75" customHeight="1" x14ac:dyDescent="0.2">
      <c r="A15" s="38"/>
      <c r="B15" s="38"/>
      <c r="C15" s="8"/>
      <c r="D15" s="8"/>
      <c r="E15" s="8"/>
    </row>
    <row r="16" spans="1:5" ht="12.75" customHeight="1" x14ac:dyDescent="0.2">
      <c r="A16" s="38"/>
      <c r="B16" s="38"/>
      <c r="C16" s="8"/>
      <c r="D16" s="8"/>
      <c r="E16" s="8"/>
    </row>
    <row r="17" spans="1:5" ht="12.75" customHeight="1" x14ac:dyDescent="0.2">
      <c r="A17" s="38"/>
      <c r="B17" s="38"/>
      <c r="C17" s="8"/>
      <c r="D17" s="8"/>
      <c r="E17" s="8"/>
    </row>
    <row r="18" spans="1:5" ht="12.75" customHeight="1" x14ac:dyDescent="0.2">
      <c r="A18" s="38"/>
      <c r="B18" s="38"/>
      <c r="C18" s="8"/>
      <c r="D18" s="8"/>
      <c r="E18" s="8"/>
    </row>
    <row r="19" spans="1:5" ht="12.75" customHeight="1" x14ac:dyDescent="0.2">
      <c r="A19" s="38"/>
      <c r="B19" s="38"/>
      <c r="C19" s="8"/>
      <c r="D19" s="8"/>
      <c r="E19" s="8"/>
    </row>
    <row r="20" spans="1:5" ht="12.75" customHeight="1" x14ac:dyDescent="0.2">
      <c r="A20" s="38"/>
      <c r="B20" s="38"/>
      <c r="C20" s="8"/>
      <c r="D20" s="8"/>
      <c r="E20" s="8"/>
    </row>
    <row r="21" spans="1:5" ht="12.75" customHeight="1" x14ac:dyDescent="0.2">
      <c r="A21" s="38"/>
      <c r="B21" s="38"/>
      <c r="C21" s="8"/>
      <c r="D21" s="8"/>
      <c r="E21" s="8"/>
    </row>
    <row r="22" spans="1:5" ht="12.75" customHeight="1" x14ac:dyDescent="0.2">
      <c r="A22" s="38"/>
      <c r="B22" s="38"/>
      <c r="C22" s="8"/>
      <c r="D22" s="8"/>
      <c r="E22" s="8"/>
    </row>
    <row r="23" spans="1:5" ht="12.75" customHeight="1" x14ac:dyDescent="0.2">
      <c r="A23" s="38"/>
      <c r="B23" s="38"/>
      <c r="C23" s="8"/>
      <c r="D23" s="8"/>
      <c r="E23" s="8"/>
    </row>
    <row r="24" spans="1:5" ht="12.75" customHeight="1" x14ac:dyDescent="0.2">
      <c r="A24" s="38"/>
      <c r="B24" s="38"/>
      <c r="C24" s="8"/>
      <c r="D24" s="8"/>
      <c r="E24" s="8"/>
    </row>
    <row r="25" spans="1:5" ht="12.75" customHeight="1" x14ac:dyDescent="0.2">
      <c r="A25" s="38"/>
      <c r="B25" s="38"/>
      <c r="C25" s="8"/>
      <c r="D25" s="8"/>
      <c r="E25" s="8"/>
    </row>
    <row r="26" spans="1:5" ht="12.75" customHeight="1" x14ac:dyDescent="0.2">
      <c r="A26" s="38"/>
      <c r="B26" s="38"/>
      <c r="C26" s="8"/>
      <c r="D26" s="8"/>
      <c r="E26" s="8"/>
    </row>
    <row r="27" spans="1:5" ht="12.75" customHeight="1" x14ac:dyDescent="0.2">
      <c r="A27" s="38"/>
      <c r="B27" s="38"/>
      <c r="C27" s="8"/>
      <c r="D27" s="8"/>
      <c r="E27" s="8"/>
    </row>
    <row r="28" spans="1:5" ht="12.75" customHeight="1" x14ac:dyDescent="0.2">
      <c r="A28" s="38"/>
      <c r="B28" s="38"/>
      <c r="C28" s="8"/>
      <c r="D28" s="8"/>
      <c r="E28" s="8"/>
    </row>
    <row r="29" spans="1:5" ht="12.75" customHeight="1" x14ac:dyDescent="0.2">
      <c r="A29" s="38"/>
      <c r="B29" s="38"/>
      <c r="C29" s="8"/>
      <c r="D29" s="8"/>
      <c r="E29" s="8"/>
    </row>
    <row r="30" spans="1:5" ht="12.75" customHeight="1" x14ac:dyDescent="0.2">
      <c r="A30" s="38"/>
      <c r="B30" s="38"/>
      <c r="C30" s="8"/>
      <c r="D30" s="8"/>
      <c r="E30" s="8"/>
    </row>
    <row r="31" spans="1:5" ht="12.75" customHeight="1" x14ac:dyDescent="0.2">
      <c r="A31" s="38"/>
      <c r="B31" s="38"/>
      <c r="C31" s="8"/>
      <c r="D31" s="8"/>
      <c r="E31" s="8"/>
    </row>
    <row r="32" spans="1:5" ht="12.75" customHeight="1" x14ac:dyDescent="0.2">
      <c r="A32" s="38"/>
      <c r="B32" s="38"/>
      <c r="C32" s="8"/>
      <c r="D32" s="8"/>
      <c r="E32" s="8"/>
    </row>
    <row r="33" spans="1:5" ht="12.75" customHeight="1" x14ac:dyDescent="0.2">
      <c r="A33" s="38"/>
      <c r="B33" s="38"/>
      <c r="C33" s="8"/>
      <c r="D33" s="8"/>
      <c r="E33" s="8"/>
    </row>
    <row r="34" spans="1:5" ht="12.75" customHeight="1" x14ac:dyDescent="0.2">
      <c r="A34" s="38"/>
      <c r="B34" s="38"/>
      <c r="C34" s="8"/>
      <c r="D34" s="8"/>
      <c r="E34" s="8"/>
    </row>
    <row r="35" spans="1:5" ht="12.75" customHeight="1" x14ac:dyDescent="0.2">
      <c r="A35" s="38"/>
      <c r="B35" s="38"/>
      <c r="C35" s="8"/>
      <c r="D35" s="8"/>
      <c r="E35" s="8"/>
    </row>
    <row r="36" spans="1:5" ht="12.75" customHeight="1" x14ac:dyDescent="0.2">
      <c r="A36" s="38"/>
      <c r="B36" s="38"/>
      <c r="C36" s="8"/>
      <c r="D36" s="8"/>
      <c r="E36" s="8"/>
    </row>
    <row r="37" spans="1:5" ht="12.75" customHeight="1" x14ac:dyDescent="0.2">
      <c r="A37" s="38"/>
      <c r="B37" s="38"/>
      <c r="C37" s="8"/>
      <c r="D37" s="8"/>
      <c r="E37" s="8"/>
    </row>
    <row r="38" spans="1:5" ht="12.75" customHeight="1" x14ac:dyDescent="0.2">
      <c r="A38" s="38"/>
      <c r="B38" s="38"/>
      <c r="C38" s="8"/>
      <c r="D38" s="8"/>
      <c r="E38" s="8"/>
    </row>
    <row r="39" spans="1:5" ht="12.75" customHeight="1" x14ac:dyDescent="0.2">
      <c r="A39" s="38"/>
      <c r="B39" s="38"/>
      <c r="C39" s="8"/>
      <c r="D39" s="8"/>
      <c r="E39" s="8"/>
    </row>
    <row r="40" spans="1:5" ht="12.75" customHeight="1" x14ac:dyDescent="0.2">
      <c r="A40" s="38"/>
      <c r="B40" s="38"/>
      <c r="C40" s="8"/>
      <c r="D40" s="8"/>
      <c r="E40" s="8"/>
    </row>
    <row r="41" spans="1:5" ht="12.75" customHeight="1" x14ac:dyDescent="0.2">
      <c r="A41" s="38"/>
      <c r="B41" s="38"/>
      <c r="C41" s="8"/>
      <c r="D41" s="8"/>
      <c r="E41" s="8"/>
    </row>
    <row r="42" spans="1:5" ht="12.75" customHeight="1" x14ac:dyDescent="0.2">
      <c r="A42" s="38"/>
      <c r="B42" s="38"/>
      <c r="C42" s="8"/>
      <c r="D42" s="8"/>
      <c r="E42" s="8"/>
    </row>
    <row r="43" spans="1:5" ht="12.75" customHeight="1" x14ac:dyDescent="0.2">
      <c r="A43" s="38"/>
      <c r="B43" s="38"/>
      <c r="C43" s="8"/>
      <c r="D43" s="8"/>
      <c r="E43" s="8"/>
    </row>
    <row r="44" spans="1:5" ht="12.75" customHeight="1" x14ac:dyDescent="0.2">
      <c r="A44" s="38"/>
      <c r="B44" s="38"/>
      <c r="C44" s="8"/>
      <c r="D44" s="8"/>
      <c r="E44" s="8"/>
    </row>
    <row r="45" spans="1:5" ht="12.75" customHeight="1" x14ac:dyDescent="0.2">
      <c r="A45" s="38"/>
      <c r="B45" s="38"/>
      <c r="C45" s="8"/>
      <c r="D45" s="8"/>
      <c r="E45" s="8"/>
    </row>
    <row r="46" spans="1:5" ht="12.75" customHeight="1" x14ac:dyDescent="0.2">
      <c r="A46" s="38"/>
      <c r="B46" s="38"/>
      <c r="C46" s="8"/>
      <c r="D46" s="8"/>
      <c r="E46" s="8"/>
    </row>
    <row r="47" spans="1:5" ht="12.75" customHeight="1" x14ac:dyDescent="0.2">
      <c r="A47" s="38"/>
      <c r="B47" s="38"/>
      <c r="C47" s="8"/>
      <c r="D47" s="8"/>
      <c r="E47" s="8"/>
    </row>
    <row r="48" spans="1:5" ht="12.75" customHeight="1" x14ac:dyDescent="0.2">
      <c r="A48" s="38"/>
      <c r="B48" s="38"/>
      <c r="C48" s="8"/>
      <c r="D48" s="8"/>
      <c r="E48" s="8"/>
    </row>
    <row r="49" spans="1:5" ht="12.75" customHeight="1" x14ac:dyDescent="0.2">
      <c r="A49" s="38"/>
      <c r="B49" s="38"/>
      <c r="C49" s="8"/>
      <c r="D49" s="8"/>
      <c r="E49" s="8"/>
    </row>
    <row r="50" spans="1:5" ht="12.75" customHeight="1" x14ac:dyDescent="0.2">
      <c r="A50" s="38"/>
      <c r="B50" s="38"/>
      <c r="C50" s="8"/>
      <c r="D50" s="8"/>
      <c r="E50" s="8"/>
    </row>
    <row r="51" spans="1:5" ht="12.75" customHeight="1" x14ac:dyDescent="0.2">
      <c r="A51" s="38"/>
      <c r="B51" s="38"/>
      <c r="C51" s="8"/>
      <c r="D51" s="8"/>
      <c r="E51" s="8"/>
    </row>
    <row r="52" spans="1:5" ht="12.75" customHeight="1" x14ac:dyDescent="0.2">
      <c r="A52" s="38"/>
      <c r="B52" s="38"/>
      <c r="C52" s="8"/>
      <c r="D52" s="8"/>
      <c r="E52" s="8"/>
    </row>
    <row r="53" spans="1:5" ht="12.75" customHeight="1" x14ac:dyDescent="0.2">
      <c r="A53" s="38"/>
      <c r="B53" s="38"/>
      <c r="C53" s="8"/>
      <c r="D53" s="8"/>
      <c r="E53" s="8"/>
    </row>
    <row r="54" spans="1:5" ht="12.75" customHeight="1" x14ac:dyDescent="0.2">
      <c r="A54" s="38"/>
      <c r="B54" s="38"/>
      <c r="C54" s="8"/>
      <c r="D54" s="8"/>
      <c r="E54" s="8"/>
    </row>
    <row r="55" spans="1:5" ht="12.75" customHeight="1" x14ac:dyDescent="0.2">
      <c r="A55" s="38"/>
      <c r="B55" s="38"/>
      <c r="C55" s="8"/>
      <c r="D55" s="8"/>
      <c r="E55" s="8"/>
    </row>
    <row r="56" spans="1:5" ht="12.75" customHeight="1" x14ac:dyDescent="0.2">
      <c r="A56" s="38"/>
      <c r="B56" s="38"/>
      <c r="C56" s="8"/>
      <c r="D56" s="8"/>
      <c r="E56" s="8"/>
    </row>
    <row r="57" spans="1:5" ht="12.75" customHeight="1" x14ac:dyDescent="0.2">
      <c r="A57" s="38"/>
      <c r="B57" s="38"/>
      <c r="C57" s="8"/>
      <c r="D57" s="8"/>
      <c r="E57" s="8"/>
    </row>
    <row r="58" spans="1:5" ht="12.75" customHeight="1" x14ac:dyDescent="0.2">
      <c r="A58" s="38"/>
      <c r="B58" s="38"/>
      <c r="C58" s="8"/>
      <c r="D58" s="8"/>
      <c r="E58" s="8"/>
    </row>
    <row r="59" spans="1:5" ht="12.75" customHeight="1" x14ac:dyDescent="0.2">
      <c r="A59" s="38"/>
      <c r="B59" s="38"/>
      <c r="C59" s="8"/>
      <c r="D59" s="8"/>
      <c r="E59" s="8"/>
    </row>
    <row r="60" spans="1:5" ht="12.75" customHeight="1" x14ac:dyDescent="0.2">
      <c r="A60" s="38"/>
      <c r="B60" s="38"/>
      <c r="C60" s="8"/>
      <c r="D60" s="8"/>
      <c r="E60" s="8"/>
    </row>
    <row r="61" spans="1:5" ht="12.75" customHeight="1" x14ac:dyDescent="0.2">
      <c r="A61" s="38"/>
      <c r="B61" s="38"/>
      <c r="C61" s="8"/>
      <c r="D61" s="8"/>
      <c r="E61" s="8"/>
    </row>
    <row r="62" spans="1:5" ht="12.75" customHeight="1" x14ac:dyDescent="0.2">
      <c r="A62" s="38"/>
      <c r="B62" s="38"/>
      <c r="C62" s="8"/>
      <c r="D62" s="8"/>
      <c r="E62" s="8"/>
    </row>
    <row r="63" spans="1:5" ht="12.75" customHeight="1" x14ac:dyDescent="0.2">
      <c r="A63" s="38"/>
      <c r="B63" s="38"/>
      <c r="C63" s="8"/>
      <c r="D63" s="8"/>
      <c r="E63" s="8"/>
    </row>
    <row r="64" spans="1:5" ht="12.75" customHeight="1" x14ac:dyDescent="0.2">
      <c r="A64" s="38"/>
      <c r="B64" s="38"/>
      <c r="C64" s="8"/>
      <c r="D64" s="8"/>
      <c r="E64" s="8"/>
    </row>
    <row r="65" spans="1:5" ht="12.75" customHeight="1" x14ac:dyDescent="0.2">
      <c r="A65" s="38"/>
      <c r="B65" s="38"/>
      <c r="C65" s="8"/>
      <c r="D65" s="8"/>
      <c r="E65" s="8"/>
    </row>
    <row r="66" spans="1:5" ht="12.75" customHeight="1" x14ac:dyDescent="0.2">
      <c r="A66" s="38"/>
      <c r="B66" s="38"/>
      <c r="C66" s="8"/>
      <c r="D66" s="8"/>
      <c r="E66" s="8"/>
    </row>
    <row r="67" spans="1:5" ht="12.75" customHeight="1" x14ac:dyDescent="0.2">
      <c r="A67" s="38"/>
      <c r="B67" s="38"/>
      <c r="C67" s="8"/>
      <c r="D67" s="8"/>
      <c r="E67" s="8"/>
    </row>
    <row r="68" spans="1:5" ht="12.75" customHeight="1" x14ac:dyDescent="0.2">
      <c r="A68" s="38"/>
      <c r="B68" s="38"/>
      <c r="C68" s="8"/>
      <c r="D68" s="8"/>
      <c r="E68" s="8"/>
    </row>
    <row r="69" spans="1:5" ht="12.75" customHeight="1" x14ac:dyDescent="0.2">
      <c r="A69" s="38"/>
      <c r="B69" s="38"/>
      <c r="C69" s="8"/>
      <c r="D69" s="8"/>
      <c r="E69" s="8"/>
    </row>
    <row r="70" spans="1:5" ht="12.75" customHeight="1" x14ac:dyDescent="0.2">
      <c r="A70" s="38"/>
      <c r="B70" s="38"/>
      <c r="C70" s="8"/>
      <c r="D70" s="8"/>
      <c r="E70" s="8"/>
    </row>
    <row r="71" spans="1:5" ht="12.75" customHeight="1" x14ac:dyDescent="0.2">
      <c r="A71" s="38"/>
      <c r="B71" s="38"/>
      <c r="C71" s="8"/>
      <c r="D71" s="8"/>
      <c r="E71" s="8"/>
    </row>
    <row r="72" spans="1:5" ht="12.75" customHeight="1" x14ac:dyDescent="0.2">
      <c r="A72" s="38"/>
      <c r="B72" s="38"/>
      <c r="C72" s="8"/>
      <c r="D72" s="8"/>
      <c r="E72" s="8"/>
    </row>
    <row r="73" spans="1:5" ht="12.75" customHeight="1" x14ac:dyDescent="0.2">
      <c r="A73" s="38"/>
      <c r="B73" s="38"/>
      <c r="C73" s="8"/>
      <c r="D73" s="8"/>
      <c r="E73" s="8"/>
    </row>
    <row r="74" spans="1:5" ht="12.75" customHeight="1" x14ac:dyDescent="0.2">
      <c r="A74" s="38"/>
      <c r="B74" s="38"/>
      <c r="C74" s="8"/>
      <c r="D74" s="8"/>
      <c r="E74" s="8"/>
    </row>
    <row r="75" spans="1:5" ht="12.75" customHeight="1" x14ac:dyDescent="0.2">
      <c r="A75" s="38"/>
      <c r="B75" s="38"/>
      <c r="C75" s="8"/>
      <c r="D75" s="8"/>
      <c r="E75" s="8"/>
    </row>
    <row r="76" spans="1:5" ht="12.75" customHeight="1" x14ac:dyDescent="0.2">
      <c r="A76" s="38"/>
      <c r="B76" s="38"/>
      <c r="C76" s="8"/>
      <c r="D76" s="8"/>
      <c r="E76" s="8"/>
    </row>
    <row r="77" spans="1:5" ht="12.75" customHeight="1" x14ac:dyDescent="0.2">
      <c r="A77" s="38"/>
      <c r="B77" s="38"/>
      <c r="C77" s="8"/>
      <c r="D77" s="8"/>
      <c r="E77" s="8"/>
    </row>
    <row r="78" spans="1:5" ht="12.75" customHeight="1" x14ac:dyDescent="0.2">
      <c r="A78" s="38"/>
      <c r="B78" s="38"/>
      <c r="C78" s="8"/>
      <c r="D78" s="8"/>
      <c r="E78" s="8"/>
    </row>
    <row r="79" spans="1:5" ht="12.75" customHeight="1" x14ac:dyDescent="0.2">
      <c r="A79" s="38"/>
      <c r="B79" s="38"/>
      <c r="C79" s="8"/>
      <c r="D79" s="8"/>
      <c r="E79" s="8"/>
    </row>
    <row r="80" spans="1:5" ht="12.75" customHeight="1" x14ac:dyDescent="0.2">
      <c r="A80" s="38"/>
      <c r="B80" s="38"/>
      <c r="C80" s="8"/>
      <c r="D80" s="8"/>
      <c r="E80" s="8"/>
    </row>
    <row r="81" spans="1:5" ht="12.75" customHeight="1" x14ac:dyDescent="0.2">
      <c r="A81" s="38"/>
      <c r="B81" s="38"/>
      <c r="C81" s="8"/>
      <c r="D81" s="8"/>
      <c r="E81" s="8"/>
    </row>
    <row r="82" spans="1:5" ht="12.75" customHeight="1" x14ac:dyDescent="0.2">
      <c r="A82" s="38"/>
      <c r="B82" s="38"/>
      <c r="C82" s="8"/>
      <c r="D82" s="8"/>
      <c r="E82" s="8"/>
    </row>
    <row r="83" spans="1:5" ht="12.75" customHeight="1" x14ac:dyDescent="0.2">
      <c r="A83" s="38"/>
      <c r="B83" s="38"/>
      <c r="C83" s="8"/>
      <c r="D83" s="8"/>
      <c r="E83" s="8"/>
    </row>
    <row r="84" spans="1:5" ht="12.75" customHeight="1" x14ac:dyDescent="0.2">
      <c r="A84" s="38"/>
      <c r="B84" s="38"/>
      <c r="C84" s="8"/>
      <c r="D84" s="8"/>
      <c r="E84" s="8"/>
    </row>
    <row r="85" spans="1:5" ht="12.75" customHeight="1" x14ac:dyDescent="0.2">
      <c r="A85" s="38"/>
      <c r="B85" s="38"/>
      <c r="C85" s="8"/>
      <c r="D85" s="8"/>
      <c r="E85" s="8"/>
    </row>
    <row r="86" spans="1:5" ht="12.75" customHeight="1" x14ac:dyDescent="0.2">
      <c r="A86" s="38"/>
      <c r="B86" s="38"/>
      <c r="C86" s="8"/>
      <c r="D86" s="8"/>
      <c r="E86" s="8"/>
    </row>
    <row r="87" spans="1:5" ht="12.75" customHeight="1" x14ac:dyDescent="0.2">
      <c r="A87" s="38"/>
      <c r="B87" s="38"/>
      <c r="C87" s="8"/>
      <c r="D87" s="8"/>
      <c r="E87" s="8"/>
    </row>
    <row r="88" spans="1:5" ht="12.75" customHeight="1" x14ac:dyDescent="0.2">
      <c r="A88" s="38"/>
      <c r="B88" s="38"/>
      <c r="C88" s="8"/>
      <c r="D88" s="8"/>
      <c r="E88" s="8"/>
    </row>
    <row r="89" spans="1:5" ht="12.75" customHeight="1" x14ac:dyDescent="0.2">
      <c r="A89" s="38"/>
      <c r="B89" s="38"/>
      <c r="C89" s="8"/>
      <c r="D89" s="8"/>
      <c r="E89" s="8"/>
    </row>
    <row r="90" spans="1:5" ht="12.75" customHeight="1" x14ac:dyDescent="0.2">
      <c r="A90" s="38"/>
      <c r="B90" s="38"/>
      <c r="C90" s="8"/>
      <c r="D90" s="8"/>
      <c r="E90" s="8"/>
    </row>
    <row r="91" spans="1:5" ht="12.75" customHeight="1" x14ac:dyDescent="0.2">
      <c r="A91" s="38"/>
      <c r="B91" s="38"/>
      <c r="C91" s="8"/>
      <c r="D91" s="8"/>
      <c r="E91" s="8"/>
    </row>
    <row r="92" spans="1:5" ht="12.75" customHeight="1" x14ac:dyDescent="0.2">
      <c r="A92" s="38"/>
      <c r="B92" s="38"/>
      <c r="C92" s="8"/>
      <c r="D92" s="8"/>
      <c r="E92" s="8"/>
    </row>
    <row r="93" spans="1:5" ht="12.75" customHeight="1" x14ac:dyDescent="0.2">
      <c r="A93" s="38"/>
      <c r="B93" s="38"/>
      <c r="C93" s="8"/>
      <c r="D93" s="8"/>
      <c r="E93" s="8"/>
    </row>
    <row r="94" spans="1:5" ht="12.75" customHeight="1" x14ac:dyDescent="0.2">
      <c r="A94" s="38"/>
      <c r="B94" s="38"/>
      <c r="C94" s="8"/>
      <c r="D94" s="8"/>
      <c r="E94" s="8"/>
    </row>
    <row r="95" spans="1:5" ht="12.75" customHeight="1" x14ac:dyDescent="0.2">
      <c r="A95" s="38"/>
      <c r="B95" s="38"/>
      <c r="C95" s="8"/>
      <c r="D95" s="8"/>
      <c r="E95" s="8"/>
    </row>
    <row r="96" spans="1:5" ht="12.75" customHeight="1" x14ac:dyDescent="0.2">
      <c r="A96" s="38"/>
      <c r="B96" s="38"/>
      <c r="C96" s="8"/>
      <c r="D96" s="8"/>
      <c r="E96" s="8"/>
    </row>
    <row r="97" spans="1:5" ht="12.75" customHeight="1" x14ac:dyDescent="0.2">
      <c r="A97" s="38"/>
      <c r="B97" s="38"/>
      <c r="C97" s="8"/>
      <c r="D97" s="8"/>
      <c r="E97" s="8"/>
    </row>
    <row r="98" spans="1:5" ht="12.75" customHeight="1" x14ac:dyDescent="0.2">
      <c r="A98" s="38"/>
      <c r="B98" s="38"/>
      <c r="C98" s="8"/>
      <c r="D98" s="8"/>
      <c r="E98" s="8"/>
    </row>
    <row r="99" spans="1:5" ht="12.75" customHeight="1" x14ac:dyDescent="0.2">
      <c r="A99" s="38"/>
      <c r="B99" s="38"/>
      <c r="C99" s="8"/>
      <c r="D99" s="8"/>
      <c r="E99" s="8"/>
    </row>
    <row r="100" spans="1:5" ht="12.75" customHeight="1" x14ac:dyDescent="0.2">
      <c r="A100" s="38"/>
      <c r="B100" s="38"/>
      <c r="C100" s="8"/>
      <c r="D100" s="8"/>
      <c r="E100" s="8"/>
    </row>
    <row r="101" spans="1:5" ht="12.75" customHeight="1" x14ac:dyDescent="0.2">
      <c r="A101" s="38"/>
      <c r="B101" s="38"/>
      <c r="C101" s="8"/>
      <c r="D101" s="8"/>
      <c r="E101" s="8"/>
    </row>
    <row r="102" spans="1:5" ht="12.75" customHeight="1" x14ac:dyDescent="0.2">
      <c r="A102" s="38"/>
      <c r="B102" s="38"/>
      <c r="C102" s="8"/>
      <c r="D102" s="8"/>
      <c r="E102" s="8"/>
    </row>
    <row r="103" spans="1:5" ht="12.75" customHeight="1" x14ac:dyDescent="0.2">
      <c r="A103" s="38"/>
      <c r="B103" s="38"/>
      <c r="C103" s="8"/>
      <c r="D103" s="8"/>
      <c r="E103" s="8"/>
    </row>
    <row r="104" spans="1:5" ht="12.75" customHeight="1" x14ac:dyDescent="0.2">
      <c r="A104" s="38"/>
      <c r="B104" s="38"/>
      <c r="C104" s="8"/>
      <c r="D104" s="8"/>
      <c r="E104" s="8"/>
    </row>
    <row r="105" spans="1:5" ht="12.75" customHeight="1" x14ac:dyDescent="0.2">
      <c r="A105" s="38"/>
      <c r="B105" s="38"/>
      <c r="C105" s="8"/>
      <c r="D105" s="8"/>
      <c r="E105" s="8"/>
    </row>
    <row r="106" spans="1:5" ht="12.75" customHeight="1" x14ac:dyDescent="0.2">
      <c r="A106" s="38"/>
      <c r="B106" s="38"/>
      <c r="C106" s="8"/>
      <c r="D106" s="8"/>
      <c r="E106" s="8"/>
    </row>
    <row r="107" spans="1:5" ht="12.75" customHeight="1" x14ac:dyDescent="0.2">
      <c r="A107" s="38"/>
      <c r="B107" s="38"/>
      <c r="C107" s="8"/>
      <c r="D107" s="8"/>
      <c r="E107" s="8"/>
    </row>
    <row r="108" spans="1:5" ht="12.75" customHeight="1" x14ac:dyDescent="0.2">
      <c r="A108" s="38"/>
      <c r="B108" s="38"/>
      <c r="C108" s="8"/>
      <c r="D108" s="8"/>
      <c r="E108" s="8"/>
    </row>
    <row r="109" spans="1:5" ht="12.75" customHeight="1" x14ac:dyDescent="0.2">
      <c r="A109" s="38"/>
      <c r="B109" s="38"/>
      <c r="C109" s="8"/>
      <c r="D109" s="8"/>
      <c r="E109" s="8"/>
    </row>
    <row r="110" spans="1:5" ht="12.75" customHeight="1" x14ac:dyDescent="0.2">
      <c r="A110" s="38"/>
      <c r="B110" s="38"/>
      <c r="C110" s="8"/>
      <c r="D110" s="8"/>
      <c r="E110" s="8"/>
    </row>
    <row r="111" spans="1:5" ht="12.75" customHeight="1" x14ac:dyDescent="0.2">
      <c r="A111" s="38"/>
      <c r="B111" s="38"/>
      <c r="C111" s="8"/>
      <c r="D111" s="8"/>
      <c r="E111" s="8"/>
    </row>
    <row r="112" spans="1:5" ht="12.75" customHeight="1" x14ac:dyDescent="0.2">
      <c r="A112" s="38"/>
      <c r="B112" s="38"/>
      <c r="C112" s="8"/>
      <c r="D112" s="8"/>
      <c r="E112" s="8"/>
    </row>
    <row r="113" spans="1:5" ht="12.75" customHeight="1" x14ac:dyDescent="0.2">
      <c r="A113" s="38"/>
      <c r="B113" s="38"/>
      <c r="C113" s="8"/>
      <c r="D113" s="8"/>
      <c r="E113" s="8"/>
    </row>
    <row r="114" spans="1:5" ht="12.75" customHeight="1" x14ac:dyDescent="0.2">
      <c r="A114" s="38"/>
      <c r="B114" s="38"/>
      <c r="C114" s="8"/>
      <c r="D114" s="8"/>
      <c r="E114" s="8"/>
    </row>
    <row r="115" spans="1:5" ht="12.75" customHeight="1" x14ac:dyDescent="0.2">
      <c r="A115" s="38"/>
      <c r="B115" s="38"/>
      <c r="C115" s="8"/>
      <c r="D115" s="8"/>
      <c r="E115" s="8"/>
    </row>
    <row r="116" spans="1:5" ht="12.75" customHeight="1" x14ac:dyDescent="0.2">
      <c r="A116" s="38"/>
      <c r="B116" s="38"/>
      <c r="C116" s="8"/>
      <c r="D116" s="8"/>
      <c r="E116" s="8"/>
    </row>
    <row r="117" spans="1:5" ht="12.75" customHeight="1" x14ac:dyDescent="0.2">
      <c r="A117" s="38"/>
      <c r="B117" s="38"/>
      <c r="C117" s="8"/>
      <c r="D117" s="8"/>
      <c r="E117" s="8"/>
    </row>
    <row r="118" spans="1:5" ht="12.75" customHeight="1" x14ac:dyDescent="0.2">
      <c r="A118" s="38"/>
      <c r="B118" s="38"/>
      <c r="C118" s="8"/>
      <c r="D118" s="8"/>
      <c r="E118" s="8"/>
    </row>
    <row r="119" spans="1:5" ht="12.75" customHeight="1" x14ac:dyDescent="0.2">
      <c r="A119" s="38"/>
      <c r="B119" s="38"/>
      <c r="C119" s="8"/>
      <c r="D119" s="8"/>
      <c r="E119" s="8"/>
    </row>
    <row r="120" spans="1:5" ht="12.75" customHeight="1" x14ac:dyDescent="0.2">
      <c r="A120" s="38"/>
      <c r="B120" s="38"/>
      <c r="C120" s="8"/>
      <c r="D120" s="8"/>
      <c r="E120" s="8"/>
    </row>
    <row r="121" spans="1:5" ht="12.75" customHeight="1" x14ac:dyDescent="0.2">
      <c r="A121" s="38"/>
      <c r="B121" s="38"/>
      <c r="C121" s="8"/>
      <c r="D121" s="8"/>
      <c r="E121" s="8"/>
    </row>
    <row r="122" spans="1:5" ht="12.75" customHeight="1" x14ac:dyDescent="0.2">
      <c r="A122" s="38"/>
      <c r="B122" s="38"/>
      <c r="C122" s="8"/>
      <c r="D122" s="8"/>
      <c r="E122" s="8"/>
    </row>
    <row r="123" spans="1:5" ht="12.75" customHeight="1" x14ac:dyDescent="0.2">
      <c r="A123" s="38"/>
      <c r="B123" s="38"/>
      <c r="C123" s="8"/>
      <c r="D123" s="8"/>
      <c r="E123" s="8"/>
    </row>
    <row r="124" spans="1:5" ht="12.75" customHeight="1" x14ac:dyDescent="0.2">
      <c r="A124" s="38"/>
      <c r="B124" s="38"/>
      <c r="C124" s="8"/>
      <c r="D124" s="8"/>
      <c r="E124" s="8"/>
    </row>
    <row r="125" spans="1:5" ht="12.75" customHeight="1" x14ac:dyDescent="0.2">
      <c r="A125" s="38"/>
      <c r="B125" s="38"/>
      <c r="C125" s="8"/>
      <c r="D125" s="8"/>
      <c r="E125" s="8"/>
    </row>
    <row r="126" spans="1:5" ht="12.75" customHeight="1" x14ac:dyDescent="0.2">
      <c r="A126" s="38"/>
      <c r="B126" s="38"/>
      <c r="C126" s="8"/>
      <c r="D126" s="8"/>
      <c r="E126" s="8"/>
    </row>
    <row r="127" spans="1:5" ht="12.75" customHeight="1" x14ac:dyDescent="0.2">
      <c r="A127" s="38"/>
      <c r="B127" s="38"/>
      <c r="C127" s="8"/>
      <c r="D127" s="8"/>
      <c r="E127" s="8"/>
    </row>
    <row r="128" spans="1:5" ht="12.75" customHeight="1" x14ac:dyDescent="0.2">
      <c r="A128" s="38"/>
      <c r="B128" s="38"/>
      <c r="C128" s="8"/>
      <c r="D128" s="8"/>
      <c r="E128" s="8"/>
    </row>
    <row r="129" spans="1:5" ht="12.75" customHeight="1" x14ac:dyDescent="0.2">
      <c r="A129" s="38"/>
      <c r="B129" s="38"/>
      <c r="C129" s="8"/>
      <c r="D129" s="8"/>
      <c r="E129" s="8"/>
    </row>
    <row r="130" spans="1:5" ht="12.75" customHeight="1" x14ac:dyDescent="0.2">
      <c r="A130" s="38"/>
      <c r="B130" s="38"/>
      <c r="C130" s="8"/>
      <c r="D130" s="8"/>
      <c r="E130" s="8"/>
    </row>
    <row r="131" spans="1:5" ht="12.75" customHeight="1" x14ac:dyDescent="0.2">
      <c r="A131" s="38"/>
      <c r="B131" s="38"/>
      <c r="C131" s="8"/>
      <c r="D131" s="8"/>
      <c r="E131" s="8"/>
    </row>
    <row r="132" spans="1:5" ht="12.75" customHeight="1" x14ac:dyDescent="0.2">
      <c r="A132" s="38"/>
      <c r="B132" s="38"/>
      <c r="C132" s="8"/>
      <c r="D132" s="8"/>
      <c r="E132" s="8"/>
    </row>
    <row r="133" spans="1:5" ht="12.75" customHeight="1" x14ac:dyDescent="0.2">
      <c r="A133" s="38"/>
      <c r="B133" s="38"/>
      <c r="C133" s="8"/>
      <c r="D133" s="8"/>
      <c r="E133" s="8"/>
    </row>
    <row r="134" spans="1:5" ht="12.75" customHeight="1" x14ac:dyDescent="0.2">
      <c r="A134" s="38"/>
      <c r="B134" s="38"/>
      <c r="C134" s="8"/>
      <c r="D134" s="8"/>
      <c r="E134" s="8"/>
    </row>
    <row r="135" spans="1:5" ht="12.75" customHeight="1" x14ac:dyDescent="0.2">
      <c r="A135" s="38"/>
      <c r="B135" s="38"/>
      <c r="C135" s="8"/>
      <c r="D135" s="8"/>
      <c r="E135" s="8"/>
    </row>
    <row r="136" spans="1:5" ht="12.75" customHeight="1" x14ac:dyDescent="0.2">
      <c r="A136" s="38"/>
      <c r="B136" s="38"/>
      <c r="C136" s="8"/>
      <c r="D136" s="8"/>
      <c r="E136" s="8"/>
    </row>
    <row r="137" spans="1:5" ht="12.75" customHeight="1" x14ac:dyDescent="0.2">
      <c r="A137" s="38"/>
      <c r="B137" s="38"/>
      <c r="C137" s="8"/>
      <c r="D137" s="8"/>
      <c r="E137" s="8"/>
    </row>
    <row r="138" spans="1:5" ht="12.75" customHeight="1" x14ac:dyDescent="0.2">
      <c r="A138" s="38"/>
      <c r="B138" s="38"/>
      <c r="C138" s="8"/>
      <c r="D138" s="8"/>
      <c r="E138" s="8"/>
    </row>
    <row r="139" spans="1:5" ht="12.75" customHeight="1" x14ac:dyDescent="0.2">
      <c r="A139" s="38"/>
      <c r="B139" s="38"/>
      <c r="C139" s="8"/>
      <c r="D139" s="8"/>
      <c r="E139" s="8"/>
    </row>
    <row r="140" spans="1:5" ht="12.75" customHeight="1" x14ac:dyDescent="0.2">
      <c r="A140" s="38"/>
      <c r="B140" s="38"/>
      <c r="C140" s="8"/>
      <c r="D140" s="8"/>
      <c r="E140" s="8"/>
    </row>
    <row r="141" spans="1:5" ht="12.75" customHeight="1" x14ac:dyDescent="0.2">
      <c r="A141" s="38"/>
      <c r="B141" s="38"/>
      <c r="C141" s="8"/>
      <c r="D141" s="8"/>
      <c r="E141" s="8"/>
    </row>
    <row r="142" spans="1:5" ht="12.75" customHeight="1" x14ac:dyDescent="0.2">
      <c r="A142" s="38"/>
      <c r="B142" s="38"/>
      <c r="C142" s="8"/>
      <c r="D142" s="8"/>
      <c r="E142" s="8"/>
    </row>
    <row r="143" spans="1:5" ht="12.75" customHeight="1" x14ac:dyDescent="0.2">
      <c r="A143" s="38"/>
      <c r="B143" s="38"/>
      <c r="C143" s="8"/>
      <c r="D143" s="8"/>
      <c r="E143" s="8"/>
    </row>
    <row r="144" spans="1:5" ht="12.75" customHeight="1" x14ac:dyDescent="0.2">
      <c r="A144" s="38"/>
      <c r="B144" s="38"/>
      <c r="C144" s="8"/>
      <c r="D144" s="8"/>
      <c r="E144" s="8"/>
    </row>
    <row r="145" spans="1:5" ht="12.75" customHeight="1" x14ac:dyDescent="0.2">
      <c r="A145" s="38"/>
      <c r="B145" s="38"/>
      <c r="C145" s="8"/>
      <c r="D145" s="8"/>
      <c r="E145" s="8"/>
    </row>
    <row r="146" spans="1:5" ht="12.75" customHeight="1" x14ac:dyDescent="0.2">
      <c r="A146" s="38"/>
      <c r="B146" s="38"/>
      <c r="C146" s="8"/>
      <c r="D146" s="8"/>
      <c r="E146" s="8"/>
    </row>
    <row r="147" spans="1:5" ht="12.75" customHeight="1" x14ac:dyDescent="0.2">
      <c r="A147" s="38"/>
      <c r="B147" s="38"/>
      <c r="C147" s="8"/>
      <c r="D147" s="8"/>
      <c r="E147" s="8"/>
    </row>
    <row r="148" spans="1:5" ht="12.75" customHeight="1" x14ac:dyDescent="0.2">
      <c r="A148" s="38"/>
      <c r="B148" s="38"/>
      <c r="C148" s="8"/>
      <c r="D148" s="8"/>
      <c r="E148" s="8"/>
    </row>
    <row r="149" spans="1:5" ht="12.75" customHeight="1" x14ac:dyDescent="0.2">
      <c r="A149" s="38"/>
      <c r="B149" s="38"/>
      <c r="C149" s="8"/>
      <c r="D149" s="8"/>
      <c r="E149" s="8"/>
    </row>
    <row r="150" spans="1:5" ht="12.75" customHeight="1" x14ac:dyDescent="0.2">
      <c r="A150" s="38"/>
      <c r="B150" s="38"/>
      <c r="C150" s="8"/>
      <c r="D150" s="8"/>
      <c r="E150" s="8"/>
    </row>
    <row r="151" spans="1:5" ht="12.75" customHeight="1" x14ac:dyDescent="0.2">
      <c r="A151" s="38"/>
      <c r="B151" s="38"/>
      <c r="C151" s="8"/>
      <c r="D151" s="8"/>
      <c r="E151" s="8"/>
    </row>
    <row r="152" spans="1:5" ht="12.75" customHeight="1" x14ac:dyDescent="0.2">
      <c r="A152" s="38"/>
      <c r="B152" s="38"/>
      <c r="C152" s="8"/>
      <c r="D152" s="8"/>
      <c r="E152" s="8"/>
    </row>
    <row r="153" spans="1:5" ht="12.75" customHeight="1" x14ac:dyDescent="0.2">
      <c r="A153" s="38"/>
      <c r="B153" s="38"/>
      <c r="C153" s="8"/>
      <c r="D153" s="8"/>
      <c r="E153" s="8"/>
    </row>
    <row r="154" spans="1:5" ht="12.75" customHeight="1" x14ac:dyDescent="0.2">
      <c r="A154" s="38"/>
      <c r="B154" s="38"/>
      <c r="C154" s="8"/>
      <c r="D154" s="8"/>
      <c r="E154" s="8"/>
    </row>
    <row r="155" spans="1:5" ht="12.75" customHeight="1" x14ac:dyDescent="0.2">
      <c r="A155" s="38"/>
      <c r="B155" s="38"/>
      <c r="C155" s="8"/>
      <c r="D155" s="8"/>
      <c r="E155" s="8"/>
    </row>
    <row r="156" spans="1:5" ht="12.75" customHeight="1" x14ac:dyDescent="0.2">
      <c r="A156" s="38"/>
      <c r="B156" s="38"/>
      <c r="C156" s="8"/>
      <c r="D156" s="8"/>
      <c r="E156" s="8"/>
    </row>
    <row r="157" spans="1:5" ht="12.75" customHeight="1" x14ac:dyDescent="0.2">
      <c r="A157" s="38"/>
      <c r="B157" s="38"/>
      <c r="C157" s="8"/>
      <c r="D157" s="8"/>
      <c r="E157" s="8"/>
    </row>
    <row r="158" spans="1:5" ht="12.75" customHeight="1" x14ac:dyDescent="0.2">
      <c r="A158" s="38"/>
      <c r="B158" s="38"/>
      <c r="C158" s="8"/>
      <c r="D158" s="8"/>
      <c r="E158" s="8"/>
    </row>
    <row r="159" spans="1:5" ht="12.75" customHeight="1" x14ac:dyDescent="0.2">
      <c r="A159" s="38"/>
      <c r="B159" s="38"/>
      <c r="C159" s="8"/>
      <c r="D159" s="8"/>
      <c r="E159" s="8"/>
    </row>
    <row r="160" spans="1:5" ht="12.75" customHeight="1" x14ac:dyDescent="0.2">
      <c r="A160" s="38"/>
      <c r="B160" s="38"/>
      <c r="C160" s="8"/>
      <c r="D160" s="8"/>
      <c r="E160" s="8"/>
    </row>
    <row r="161" spans="1:5" ht="12.75" customHeight="1" x14ac:dyDescent="0.2">
      <c r="A161" s="38"/>
      <c r="B161" s="38"/>
      <c r="C161" s="8"/>
      <c r="D161" s="8"/>
      <c r="E161" s="8"/>
    </row>
    <row r="162" spans="1:5" ht="12.75" customHeight="1" x14ac:dyDescent="0.2">
      <c r="A162" s="38"/>
      <c r="B162" s="38"/>
      <c r="C162" s="8"/>
      <c r="D162" s="8"/>
      <c r="E162" s="8"/>
    </row>
    <row r="163" spans="1:5" ht="12.75" customHeight="1" x14ac:dyDescent="0.2">
      <c r="A163" s="38"/>
      <c r="B163" s="38"/>
      <c r="C163" s="8"/>
      <c r="D163" s="8"/>
      <c r="E163" s="8"/>
    </row>
    <row r="164" spans="1:5" ht="12.75" customHeight="1" x14ac:dyDescent="0.2">
      <c r="A164" s="38"/>
      <c r="B164" s="38"/>
      <c r="C164" s="8"/>
      <c r="D164" s="8"/>
      <c r="E164" s="8"/>
    </row>
    <row r="165" spans="1:5" ht="12.75" customHeight="1" x14ac:dyDescent="0.2">
      <c r="A165" s="38"/>
      <c r="B165" s="38"/>
      <c r="C165" s="8"/>
      <c r="D165" s="8"/>
      <c r="E165" s="8"/>
    </row>
    <row r="166" spans="1:5" ht="12.75" customHeight="1" x14ac:dyDescent="0.2">
      <c r="A166" s="38"/>
      <c r="B166" s="38"/>
      <c r="C166" s="8"/>
      <c r="D166" s="8"/>
      <c r="E166" s="8"/>
    </row>
    <row r="167" spans="1:5" ht="12.75" customHeight="1" x14ac:dyDescent="0.2">
      <c r="A167" s="38"/>
      <c r="B167" s="38"/>
      <c r="C167" s="8"/>
      <c r="D167" s="8"/>
      <c r="E167" s="8"/>
    </row>
    <row r="168" spans="1:5" ht="12.75" customHeight="1" x14ac:dyDescent="0.2">
      <c r="A168" s="38"/>
      <c r="B168" s="38"/>
      <c r="C168" s="8"/>
      <c r="D168" s="8"/>
      <c r="E168" s="8"/>
    </row>
    <row r="169" spans="1:5" ht="12.75" customHeight="1" x14ac:dyDescent="0.2">
      <c r="A169" s="38"/>
      <c r="B169" s="38"/>
      <c r="C169" s="8"/>
      <c r="D169" s="8"/>
      <c r="E169" s="8"/>
    </row>
    <row r="170" spans="1:5" ht="12.75" customHeight="1" x14ac:dyDescent="0.2">
      <c r="A170" s="38"/>
      <c r="B170" s="38"/>
      <c r="C170" s="8"/>
      <c r="D170" s="8"/>
      <c r="E170" s="8"/>
    </row>
    <row r="171" spans="1:5" ht="12.75" customHeight="1" x14ac:dyDescent="0.2">
      <c r="A171" s="38"/>
      <c r="B171" s="38"/>
      <c r="C171" s="8"/>
      <c r="D171" s="8"/>
      <c r="E171" s="8"/>
    </row>
    <row r="172" spans="1:5" ht="12.75" customHeight="1" x14ac:dyDescent="0.2">
      <c r="A172" s="38"/>
      <c r="B172" s="38"/>
      <c r="C172" s="8"/>
      <c r="D172" s="8"/>
      <c r="E172" s="8"/>
    </row>
    <row r="173" spans="1:5" ht="12.75" customHeight="1" x14ac:dyDescent="0.2">
      <c r="A173" s="38"/>
      <c r="B173" s="38"/>
      <c r="C173" s="8"/>
      <c r="D173" s="8"/>
      <c r="E173" s="8"/>
    </row>
    <row r="174" spans="1:5" ht="12.75" customHeight="1" x14ac:dyDescent="0.2">
      <c r="A174" s="38"/>
      <c r="B174" s="38"/>
      <c r="C174" s="8"/>
      <c r="D174" s="8"/>
      <c r="E174" s="8"/>
    </row>
    <row r="175" spans="1:5" ht="12.75" customHeight="1" x14ac:dyDescent="0.2">
      <c r="A175" s="38"/>
      <c r="B175" s="38"/>
      <c r="C175" s="8"/>
      <c r="D175" s="8"/>
      <c r="E175" s="8"/>
    </row>
    <row r="176" spans="1:5" ht="12.75" customHeight="1" x14ac:dyDescent="0.2">
      <c r="A176" s="38"/>
      <c r="B176" s="38"/>
      <c r="C176" s="8"/>
      <c r="D176" s="8"/>
      <c r="E176" s="8"/>
    </row>
    <row r="177" spans="1:5" ht="12.75" customHeight="1" x14ac:dyDescent="0.2">
      <c r="A177" s="38"/>
      <c r="B177" s="38"/>
      <c r="C177" s="8"/>
      <c r="D177" s="8"/>
      <c r="E177" s="8"/>
    </row>
    <row r="178" spans="1:5" ht="12.75" customHeight="1" x14ac:dyDescent="0.2">
      <c r="A178" s="38"/>
      <c r="B178" s="38"/>
      <c r="C178" s="8"/>
      <c r="D178" s="8"/>
      <c r="E178" s="8"/>
    </row>
    <row r="179" spans="1:5" ht="12.75" customHeight="1" x14ac:dyDescent="0.2">
      <c r="A179" s="38"/>
      <c r="B179" s="38"/>
      <c r="C179" s="8"/>
      <c r="D179" s="8"/>
      <c r="E179" s="8"/>
    </row>
    <row r="180" spans="1:5" ht="12.75" customHeight="1" x14ac:dyDescent="0.2">
      <c r="A180" s="38"/>
      <c r="B180" s="38"/>
      <c r="C180" s="8"/>
      <c r="D180" s="8"/>
      <c r="E180" s="8"/>
    </row>
    <row r="181" spans="1:5" ht="12.75" customHeight="1" x14ac:dyDescent="0.2">
      <c r="A181" s="38"/>
      <c r="B181" s="38"/>
      <c r="C181" s="8"/>
      <c r="D181" s="8"/>
      <c r="E181" s="8"/>
    </row>
    <row r="182" spans="1:5" ht="12.75" customHeight="1" x14ac:dyDescent="0.2">
      <c r="A182" s="38"/>
      <c r="B182" s="38"/>
      <c r="C182" s="8"/>
      <c r="D182" s="8"/>
      <c r="E182" s="8"/>
    </row>
    <row r="183" spans="1:5" ht="12.75" customHeight="1" x14ac:dyDescent="0.2">
      <c r="A183" s="38"/>
      <c r="B183" s="38"/>
      <c r="C183" s="8"/>
      <c r="D183" s="8"/>
      <c r="E183" s="8"/>
    </row>
    <row r="184" spans="1:5" ht="12.75" customHeight="1" x14ac:dyDescent="0.2">
      <c r="A184" s="38"/>
      <c r="B184" s="38"/>
      <c r="C184" s="8"/>
      <c r="D184" s="8"/>
      <c r="E184" s="8"/>
    </row>
    <row r="185" spans="1:5" ht="12.75" customHeight="1" x14ac:dyDescent="0.2">
      <c r="A185" s="38"/>
      <c r="B185" s="38"/>
      <c r="C185" s="8"/>
      <c r="D185" s="8"/>
      <c r="E185" s="8"/>
    </row>
    <row r="186" spans="1:5" ht="12.75" customHeight="1" x14ac:dyDescent="0.2">
      <c r="A186" s="38"/>
      <c r="B186" s="38"/>
      <c r="C186" s="8"/>
      <c r="D186" s="8"/>
      <c r="E186" s="8"/>
    </row>
    <row r="187" spans="1:5" ht="12.75" customHeight="1" x14ac:dyDescent="0.2">
      <c r="A187" s="38"/>
      <c r="B187" s="38"/>
      <c r="C187" s="8"/>
      <c r="D187" s="8"/>
      <c r="E187" s="8"/>
    </row>
    <row r="188" spans="1:5" ht="12.75" customHeight="1" x14ac:dyDescent="0.2">
      <c r="A188" s="38"/>
      <c r="B188" s="38"/>
      <c r="C188" s="8"/>
      <c r="D188" s="8"/>
      <c r="E188" s="8"/>
    </row>
    <row r="189" spans="1:5" ht="12.75" customHeight="1" x14ac:dyDescent="0.2">
      <c r="A189" s="38"/>
      <c r="B189" s="38"/>
      <c r="C189" s="8"/>
      <c r="D189" s="8"/>
      <c r="E189" s="8"/>
    </row>
    <row r="190" spans="1:5" ht="12.75" customHeight="1" x14ac:dyDescent="0.2">
      <c r="A190" s="38"/>
      <c r="B190" s="38"/>
      <c r="C190" s="8"/>
      <c r="D190" s="8"/>
      <c r="E190" s="8"/>
    </row>
    <row r="191" spans="1:5" ht="12.75" customHeight="1" x14ac:dyDescent="0.2">
      <c r="A191" s="38"/>
      <c r="B191" s="38"/>
      <c r="C191" s="8"/>
      <c r="D191" s="8"/>
      <c r="E191" s="8"/>
    </row>
    <row r="192" spans="1:5" ht="12.75" customHeight="1" x14ac:dyDescent="0.2">
      <c r="A192" s="38"/>
      <c r="B192" s="38"/>
      <c r="C192" s="8"/>
      <c r="D192" s="8"/>
      <c r="E192" s="8"/>
    </row>
    <row r="193" spans="1:5" ht="12.75" customHeight="1" x14ac:dyDescent="0.2">
      <c r="A193" s="38"/>
      <c r="B193" s="38"/>
      <c r="C193" s="8"/>
      <c r="D193" s="8"/>
      <c r="E193" s="8"/>
    </row>
    <row r="194" spans="1:5" ht="12.75" customHeight="1" x14ac:dyDescent="0.2">
      <c r="A194" s="38"/>
      <c r="B194" s="38"/>
      <c r="C194" s="8"/>
      <c r="D194" s="8"/>
      <c r="E194" s="8"/>
    </row>
    <row r="195" spans="1:5" ht="12.75" customHeight="1" x14ac:dyDescent="0.2">
      <c r="A195" s="38"/>
      <c r="B195" s="38"/>
      <c r="C195" s="8"/>
      <c r="D195" s="8"/>
      <c r="E195" s="8"/>
    </row>
    <row r="196" spans="1:5" ht="12.75" customHeight="1" x14ac:dyDescent="0.2">
      <c r="A196" s="38"/>
      <c r="B196" s="38"/>
      <c r="C196" s="8"/>
      <c r="D196" s="8"/>
      <c r="E196" s="8"/>
    </row>
    <row r="197" spans="1:5" ht="12.75" customHeight="1" x14ac:dyDescent="0.2">
      <c r="A197" s="38"/>
      <c r="B197" s="38"/>
      <c r="C197" s="8"/>
      <c r="D197" s="8"/>
      <c r="E197" s="8"/>
    </row>
    <row r="198" spans="1:5" ht="12.75" customHeight="1" x14ac:dyDescent="0.2">
      <c r="A198" s="38"/>
      <c r="B198" s="38"/>
      <c r="C198" s="8"/>
      <c r="D198" s="8"/>
      <c r="E198" s="8"/>
    </row>
    <row r="199" spans="1:5" ht="12.75" customHeight="1" x14ac:dyDescent="0.2">
      <c r="A199" s="38"/>
      <c r="B199" s="38"/>
      <c r="C199" s="8"/>
      <c r="D199" s="8"/>
      <c r="E199" s="8"/>
    </row>
    <row r="200" spans="1:5" ht="12.75" customHeight="1" x14ac:dyDescent="0.2">
      <c r="A200" s="38"/>
      <c r="B200" s="38"/>
      <c r="C200" s="8"/>
      <c r="D200" s="8"/>
      <c r="E200" s="8"/>
    </row>
    <row r="201" spans="1:5" ht="12.75" customHeight="1" x14ac:dyDescent="0.2">
      <c r="A201" s="38"/>
      <c r="B201" s="38"/>
      <c r="C201" s="8"/>
      <c r="D201" s="8"/>
      <c r="E201" s="8"/>
    </row>
    <row r="202" spans="1:5" ht="12.75" customHeight="1" x14ac:dyDescent="0.2">
      <c r="A202" s="38"/>
      <c r="B202" s="38"/>
      <c r="C202" s="8"/>
      <c r="D202" s="8"/>
      <c r="E202" s="8"/>
    </row>
    <row r="203" spans="1:5" ht="12.75" customHeight="1" x14ac:dyDescent="0.2">
      <c r="A203" s="38"/>
      <c r="B203" s="38"/>
      <c r="C203" s="8"/>
      <c r="D203" s="8"/>
      <c r="E203" s="8"/>
    </row>
    <row r="204" spans="1:5" ht="12.75" customHeight="1" x14ac:dyDescent="0.2">
      <c r="A204" s="38"/>
      <c r="B204" s="38"/>
      <c r="C204" s="8"/>
      <c r="D204" s="8"/>
      <c r="E204" s="8"/>
    </row>
    <row r="205" spans="1:5" ht="12.75" customHeight="1" x14ac:dyDescent="0.2">
      <c r="A205" s="38"/>
      <c r="B205" s="38"/>
      <c r="C205" s="8"/>
      <c r="D205" s="8"/>
      <c r="E205" s="8"/>
    </row>
    <row r="206" spans="1:5" ht="12.75" customHeight="1" x14ac:dyDescent="0.2">
      <c r="A206" s="38"/>
      <c r="B206" s="38"/>
      <c r="C206" s="8"/>
      <c r="D206" s="8"/>
      <c r="E206" s="8"/>
    </row>
    <row r="207" spans="1:5" ht="12.75" customHeight="1" x14ac:dyDescent="0.2">
      <c r="A207" s="38"/>
      <c r="B207" s="38"/>
      <c r="C207" s="8"/>
      <c r="D207" s="8"/>
      <c r="E207" s="8"/>
    </row>
    <row r="208" spans="1:5" ht="12.75" customHeight="1" x14ac:dyDescent="0.2">
      <c r="A208" s="38"/>
      <c r="B208" s="38"/>
      <c r="C208" s="8"/>
      <c r="D208" s="8"/>
      <c r="E208" s="8"/>
    </row>
    <row r="209" spans="1:5" ht="12.75" customHeight="1" x14ac:dyDescent="0.2">
      <c r="A209" s="38"/>
      <c r="B209" s="38"/>
      <c r="C209" s="8"/>
      <c r="D209" s="8"/>
      <c r="E209" s="8"/>
    </row>
    <row r="210" spans="1:5" ht="12.75" customHeight="1" x14ac:dyDescent="0.2">
      <c r="A210" s="38"/>
      <c r="B210" s="38"/>
      <c r="C210" s="8"/>
      <c r="D210" s="8"/>
      <c r="E210" s="8"/>
    </row>
    <row r="211" spans="1:5" ht="12.75" customHeight="1" x14ac:dyDescent="0.2">
      <c r="A211" s="38"/>
      <c r="B211" s="38"/>
      <c r="C211" s="8"/>
      <c r="D211" s="8"/>
      <c r="E211" s="8"/>
    </row>
    <row r="212" spans="1:5" ht="12.75" customHeight="1" x14ac:dyDescent="0.2">
      <c r="A212" s="38"/>
      <c r="B212" s="38"/>
      <c r="C212" s="8"/>
      <c r="D212" s="8"/>
      <c r="E212" s="8"/>
    </row>
    <row r="213" spans="1:5" ht="12.75" customHeight="1" x14ac:dyDescent="0.2">
      <c r="A213" s="38"/>
      <c r="B213" s="38"/>
      <c r="C213" s="8"/>
      <c r="D213" s="8"/>
      <c r="E213" s="8"/>
    </row>
    <row r="214" spans="1:5" ht="12.75" customHeight="1" x14ac:dyDescent="0.2">
      <c r="A214" s="38"/>
      <c r="B214" s="38"/>
      <c r="C214" s="8"/>
      <c r="D214" s="8"/>
      <c r="E214" s="8"/>
    </row>
    <row r="215" spans="1:5" ht="12.75" customHeight="1" x14ac:dyDescent="0.2">
      <c r="A215" s="38"/>
      <c r="B215" s="38"/>
      <c r="C215" s="8"/>
      <c r="D215" s="8"/>
      <c r="E215" s="8"/>
    </row>
    <row r="216" spans="1:5" ht="12.75" customHeight="1" x14ac:dyDescent="0.2">
      <c r="A216" s="38"/>
      <c r="B216" s="38"/>
      <c r="C216" s="8"/>
      <c r="D216" s="8"/>
      <c r="E216" s="8"/>
    </row>
    <row r="217" spans="1:5" ht="12.75" customHeight="1" x14ac:dyDescent="0.2">
      <c r="A217" s="38"/>
      <c r="B217" s="38"/>
      <c r="C217" s="8"/>
      <c r="D217" s="8"/>
      <c r="E217" s="8"/>
    </row>
    <row r="218" spans="1:5" ht="12.75" customHeight="1" x14ac:dyDescent="0.2">
      <c r="A218" s="38"/>
      <c r="B218" s="38"/>
      <c r="C218" s="8"/>
      <c r="D218" s="8"/>
      <c r="E218" s="8"/>
    </row>
    <row r="219" spans="1:5" ht="12.75" customHeight="1" x14ac:dyDescent="0.2">
      <c r="A219" s="38"/>
      <c r="B219" s="38"/>
      <c r="C219" s="8"/>
      <c r="D219" s="8"/>
      <c r="E219" s="8"/>
    </row>
    <row r="220" spans="1:5" ht="12.75" customHeight="1" x14ac:dyDescent="0.2">
      <c r="A220" s="38"/>
      <c r="B220" s="38"/>
      <c r="C220" s="8"/>
      <c r="D220" s="8"/>
      <c r="E220" s="8"/>
    </row>
    <row r="221" spans="1:5" ht="12.75" customHeight="1" x14ac:dyDescent="0.2">
      <c r="A221" s="38"/>
      <c r="B221" s="38"/>
      <c r="C221" s="8"/>
      <c r="D221" s="8"/>
      <c r="E221" s="8"/>
    </row>
    <row r="222" spans="1:5" ht="12.75" customHeight="1" x14ac:dyDescent="0.2">
      <c r="A222" s="38"/>
      <c r="B222" s="38"/>
      <c r="C222" s="8"/>
      <c r="D222" s="8"/>
      <c r="E222" s="8"/>
    </row>
    <row r="223" spans="1:5" ht="12.75" customHeight="1" x14ac:dyDescent="0.2">
      <c r="A223" s="38"/>
      <c r="B223" s="38"/>
      <c r="C223" s="8"/>
      <c r="D223" s="8"/>
      <c r="E223" s="8"/>
    </row>
    <row r="224" spans="1:5" ht="12.75" customHeight="1" x14ac:dyDescent="0.2">
      <c r="A224" s="38"/>
      <c r="B224" s="38"/>
      <c r="C224" s="8"/>
      <c r="D224" s="8"/>
      <c r="E224" s="8"/>
    </row>
    <row r="225" spans="1:5" ht="12.75" customHeight="1" x14ac:dyDescent="0.2">
      <c r="A225" s="38"/>
      <c r="B225" s="38"/>
      <c r="C225" s="8"/>
      <c r="D225" s="8"/>
      <c r="E225" s="8"/>
    </row>
    <row r="226" spans="1:5" ht="12.75" customHeight="1" x14ac:dyDescent="0.2">
      <c r="A226" s="38"/>
      <c r="B226" s="38"/>
      <c r="C226" s="8"/>
      <c r="D226" s="8"/>
      <c r="E226" s="8"/>
    </row>
    <row r="227" spans="1:5" ht="12.75" customHeight="1" x14ac:dyDescent="0.2">
      <c r="A227" s="38"/>
      <c r="B227" s="38"/>
      <c r="C227" s="8"/>
      <c r="D227" s="8"/>
      <c r="E227" s="8"/>
    </row>
    <row r="228" spans="1:5" ht="12.75" customHeight="1" x14ac:dyDescent="0.2">
      <c r="A228" s="38"/>
      <c r="B228" s="38"/>
      <c r="C228" s="8"/>
      <c r="D228" s="8"/>
      <c r="E228" s="8"/>
    </row>
    <row r="229" spans="1:5" ht="12.75" customHeight="1" x14ac:dyDescent="0.2">
      <c r="A229" s="38"/>
      <c r="B229" s="38"/>
      <c r="C229" s="8"/>
      <c r="D229" s="8"/>
      <c r="E229" s="8"/>
    </row>
    <row r="230" spans="1:5" ht="12.75" customHeight="1" x14ac:dyDescent="0.2">
      <c r="A230" s="38"/>
      <c r="B230" s="38"/>
      <c r="C230" s="8"/>
      <c r="D230" s="8"/>
      <c r="E230" s="8"/>
    </row>
    <row r="231" spans="1:5" ht="12.75" customHeight="1" x14ac:dyDescent="0.2">
      <c r="A231" s="38"/>
      <c r="B231" s="38"/>
      <c r="C231" s="8"/>
      <c r="D231" s="8"/>
      <c r="E231" s="8"/>
    </row>
    <row r="232" spans="1:5" ht="12.75" customHeight="1" x14ac:dyDescent="0.2">
      <c r="A232" s="38"/>
      <c r="B232" s="38"/>
      <c r="C232" s="8"/>
      <c r="D232" s="8"/>
      <c r="E232" s="8"/>
    </row>
    <row r="233" spans="1:5" ht="12.75" customHeight="1" x14ac:dyDescent="0.2">
      <c r="A233" s="38"/>
      <c r="B233" s="38"/>
      <c r="C233" s="8"/>
      <c r="D233" s="8"/>
      <c r="E233" s="8"/>
    </row>
    <row r="234" spans="1:5" ht="12.75" customHeight="1" x14ac:dyDescent="0.2">
      <c r="A234" s="38"/>
      <c r="B234" s="38"/>
      <c r="C234" s="8"/>
      <c r="D234" s="8"/>
      <c r="E234" s="8"/>
    </row>
    <row r="235" spans="1:5" ht="12.75" customHeight="1" x14ac:dyDescent="0.2">
      <c r="A235" s="38"/>
      <c r="B235" s="38"/>
      <c r="C235" s="8"/>
      <c r="D235" s="8"/>
      <c r="E235" s="8"/>
    </row>
    <row r="236" spans="1:5" ht="12.75" customHeight="1" x14ac:dyDescent="0.2">
      <c r="A236" s="38"/>
      <c r="B236" s="38"/>
      <c r="C236" s="8"/>
      <c r="D236" s="8"/>
      <c r="E236" s="8"/>
    </row>
    <row r="237" spans="1:5" ht="12.75" customHeight="1" x14ac:dyDescent="0.2">
      <c r="A237" s="38"/>
      <c r="B237" s="38"/>
      <c r="C237" s="8"/>
      <c r="D237" s="8"/>
      <c r="E237" s="8"/>
    </row>
    <row r="238" spans="1:5" ht="12.75" customHeight="1" x14ac:dyDescent="0.2">
      <c r="A238" s="38"/>
      <c r="B238" s="38"/>
      <c r="C238" s="8"/>
      <c r="D238" s="8"/>
      <c r="E238" s="8"/>
    </row>
    <row r="239" spans="1:5" ht="12.75" customHeight="1" x14ac:dyDescent="0.2">
      <c r="A239" s="38"/>
      <c r="B239" s="38"/>
      <c r="C239" s="8"/>
      <c r="D239" s="8"/>
      <c r="E239" s="8"/>
    </row>
    <row r="240" spans="1:5" ht="12.75" customHeight="1" x14ac:dyDescent="0.2">
      <c r="A240" s="38"/>
      <c r="B240" s="38"/>
      <c r="C240" s="8"/>
      <c r="D240" s="8"/>
      <c r="E240" s="8"/>
    </row>
    <row r="241" spans="1:5" ht="12.75" customHeight="1" x14ac:dyDescent="0.2">
      <c r="A241" s="38"/>
      <c r="B241" s="38"/>
      <c r="C241" s="8"/>
      <c r="D241" s="8"/>
      <c r="E241" s="8"/>
    </row>
    <row r="242" spans="1:5" ht="12.75" customHeight="1" x14ac:dyDescent="0.2">
      <c r="A242" s="38"/>
      <c r="B242" s="38"/>
      <c r="C242" s="8"/>
      <c r="D242" s="8"/>
      <c r="E242" s="8"/>
    </row>
    <row r="243" spans="1:5" ht="12.75" customHeight="1" x14ac:dyDescent="0.2">
      <c r="A243" s="38"/>
      <c r="B243" s="38"/>
      <c r="C243" s="8"/>
      <c r="D243" s="8"/>
      <c r="E243" s="8"/>
    </row>
    <row r="244" spans="1:5" ht="12.75" customHeight="1" x14ac:dyDescent="0.2">
      <c r="A244" s="38"/>
      <c r="B244" s="38"/>
      <c r="C244" s="8"/>
      <c r="D244" s="8"/>
      <c r="E244" s="8"/>
    </row>
    <row r="245" spans="1:5" ht="12.75" customHeight="1" x14ac:dyDescent="0.2">
      <c r="A245" s="38"/>
      <c r="B245" s="38"/>
      <c r="C245" s="8"/>
      <c r="D245" s="8"/>
      <c r="E245" s="8"/>
    </row>
    <row r="246" spans="1:5" ht="12.75" customHeight="1" x14ac:dyDescent="0.2">
      <c r="A246" s="38"/>
      <c r="B246" s="38"/>
      <c r="C246" s="8"/>
      <c r="D246" s="8"/>
      <c r="E246" s="8"/>
    </row>
    <row r="247" spans="1:5" ht="12.75" customHeight="1" x14ac:dyDescent="0.2">
      <c r="A247" s="38"/>
      <c r="B247" s="38"/>
      <c r="C247" s="8"/>
      <c r="D247" s="8"/>
      <c r="E247" s="8"/>
    </row>
    <row r="248" spans="1:5" ht="12.75" customHeight="1" x14ac:dyDescent="0.2">
      <c r="A248" s="38"/>
      <c r="B248" s="38"/>
      <c r="C248" s="8"/>
      <c r="D248" s="8"/>
      <c r="E248" s="8"/>
    </row>
    <row r="249" spans="1:5" ht="12.75" customHeight="1" x14ac:dyDescent="0.2">
      <c r="A249" s="38"/>
      <c r="B249" s="38"/>
      <c r="C249" s="8"/>
      <c r="D249" s="8"/>
      <c r="E249" s="8"/>
    </row>
    <row r="250" spans="1:5" ht="12.75" customHeight="1" x14ac:dyDescent="0.2">
      <c r="A250" s="38"/>
      <c r="B250" s="38"/>
      <c r="C250" s="8"/>
      <c r="D250" s="8"/>
      <c r="E250" s="8"/>
    </row>
    <row r="251" spans="1:5" ht="12.75" customHeight="1" x14ac:dyDescent="0.2">
      <c r="A251" s="38"/>
      <c r="B251" s="38"/>
      <c r="C251" s="8"/>
      <c r="D251" s="8"/>
      <c r="E251" s="8"/>
    </row>
    <row r="252" spans="1:5" ht="12.75" customHeight="1" x14ac:dyDescent="0.2">
      <c r="A252" s="38"/>
      <c r="B252" s="38"/>
      <c r="C252" s="8"/>
      <c r="D252" s="8"/>
      <c r="E252" s="8"/>
    </row>
    <row r="253" spans="1:5" ht="12.75" customHeight="1" x14ac:dyDescent="0.2">
      <c r="A253" s="38"/>
      <c r="B253" s="38"/>
      <c r="C253" s="8"/>
      <c r="D253" s="8"/>
      <c r="E253" s="8"/>
    </row>
    <row r="254" spans="1:5" ht="12.75" customHeight="1" x14ac:dyDescent="0.2">
      <c r="A254" s="38"/>
      <c r="B254" s="38"/>
      <c r="C254" s="8"/>
      <c r="D254" s="8"/>
      <c r="E254" s="8"/>
    </row>
    <row r="255" spans="1:5" ht="12.75" customHeight="1" x14ac:dyDescent="0.2">
      <c r="A255" s="38"/>
      <c r="B255" s="38"/>
      <c r="C255" s="8"/>
      <c r="D255" s="8"/>
      <c r="E255" s="8"/>
    </row>
    <row r="256" spans="1:5" ht="12.75" customHeight="1" x14ac:dyDescent="0.2">
      <c r="A256" s="38"/>
      <c r="B256" s="38"/>
      <c r="C256" s="8"/>
      <c r="D256" s="8"/>
      <c r="E256" s="8"/>
    </row>
    <row r="257" spans="1:5" ht="12.75" customHeight="1" x14ac:dyDescent="0.2">
      <c r="A257" s="38"/>
      <c r="B257" s="38"/>
      <c r="C257" s="8"/>
      <c r="D257" s="8"/>
      <c r="E257" s="8"/>
    </row>
    <row r="258" spans="1:5" ht="12.75" customHeight="1" x14ac:dyDescent="0.2">
      <c r="A258" s="38"/>
      <c r="B258" s="38"/>
      <c r="C258" s="8"/>
      <c r="D258" s="8"/>
      <c r="E258" s="8"/>
    </row>
    <row r="259" spans="1:5" ht="12.75" customHeight="1" x14ac:dyDescent="0.2">
      <c r="A259" s="38"/>
      <c r="B259" s="38"/>
      <c r="C259" s="8"/>
      <c r="D259" s="8"/>
      <c r="E259" s="8"/>
    </row>
    <row r="260" spans="1:5" ht="12.75" customHeight="1" x14ac:dyDescent="0.2">
      <c r="A260" s="38"/>
      <c r="B260" s="38"/>
      <c r="C260" s="8"/>
      <c r="D260" s="8"/>
      <c r="E260" s="8"/>
    </row>
    <row r="261" spans="1:5" ht="12.75" customHeight="1" x14ac:dyDescent="0.2">
      <c r="A261" s="38"/>
      <c r="B261" s="38"/>
      <c r="C261" s="8"/>
      <c r="D261" s="8"/>
      <c r="E261" s="8"/>
    </row>
    <row r="262" spans="1:5" ht="12.75" customHeight="1" x14ac:dyDescent="0.2">
      <c r="A262" s="38"/>
      <c r="B262" s="38"/>
      <c r="C262" s="8"/>
      <c r="D262" s="8"/>
      <c r="E262" s="8"/>
    </row>
    <row r="263" spans="1:5" ht="12.75" customHeight="1" x14ac:dyDescent="0.2">
      <c r="A263" s="38"/>
      <c r="B263" s="38"/>
      <c r="C263" s="8"/>
      <c r="D263" s="8"/>
      <c r="E263" s="8"/>
    </row>
    <row r="264" spans="1:5" ht="12.75" customHeight="1" x14ac:dyDescent="0.2">
      <c r="A264" s="38"/>
      <c r="B264" s="38"/>
      <c r="C264" s="8"/>
      <c r="D264" s="8"/>
      <c r="E264" s="8"/>
    </row>
    <row r="265" spans="1:5" ht="12.75" customHeight="1" x14ac:dyDescent="0.2">
      <c r="A265" s="38"/>
      <c r="B265" s="38"/>
      <c r="C265" s="8"/>
      <c r="D265" s="8"/>
      <c r="E265" s="8"/>
    </row>
    <row r="266" spans="1:5" ht="12.75" customHeight="1" x14ac:dyDescent="0.2">
      <c r="A266" s="38"/>
      <c r="B266" s="38"/>
      <c r="C266" s="8"/>
      <c r="D266" s="8"/>
      <c r="E266" s="8"/>
    </row>
    <row r="267" spans="1:5" ht="12.75" customHeight="1" x14ac:dyDescent="0.2">
      <c r="A267" s="38"/>
      <c r="B267" s="38"/>
      <c r="C267" s="8"/>
      <c r="D267" s="8"/>
      <c r="E267" s="8"/>
    </row>
    <row r="268" spans="1:5" ht="12.75" customHeight="1" x14ac:dyDescent="0.2">
      <c r="A268" s="38"/>
      <c r="B268" s="38"/>
      <c r="C268" s="8"/>
      <c r="D268" s="8"/>
      <c r="E268" s="8"/>
    </row>
    <row r="269" spans="1:5" ht="12.75" customHeight="1" x14ac:dyDescent="0.2">
      <c r="A269" s="38"/>
      <c r="B269" s="38"/>
      <c r="C269" s="8"/>
      <c r="D269" s="8"/>
      <c r="E269" s="8"/>
    </row>
    <row r="270" spans="1:5" ht="12.75" customHeight="1" x14ac:dyDescent="0.2">
      <c r="A270" s="38"/>
      <c r="B270" s="38"/>
      <c r="C270" s="8"/>
      <c r="D270" s="8"/>
      <c r="E270" s="8"/>
    </row>
    <row r="271" spans="1:5" ht="12.75" customHeight="1" x14ac:dyDescent="0.2">
      <c r="A271" s="38"/>
      <c r="B271" s="38"/>
      <c r="C271" s="8"/>
      <c r="D271" s="8"/>
      <c r="E271" s="8"/>
    </row>
    <row r="272" spans="1:5" ht="12.75" customHeight="1" x14ac:dyDescent="0.2">
      <c r="A272" s="38"/>
      <c r="B272" s="38"/>
      <c r="C272" s="8"/>
      <c r="D272" s="8"/>
      <c r="E272" s="8"/>
    </row>
    <row r="273" spans="1:5" ht="12.75" customHeight="1" x14ac:dyDescent="0.2">
      <c r="A273" s="38"/>
      <c r="B273" s="38"/>
      <c r="C273" s="8"/>
      <c r="D273" s="8"/>
      <c r="E273" s="8"/>
    </row>
    <row r="274" spans="1:5" ht="12.75" customHeight="1" x14ac:dyDescent="0.2">
      <c r="A274" s="38"/>
      <c r="B274" s="38"/>
      <c r="C274" s="8"/>
      <c r="D274" s="8"/>
      <c r="E274" s="8"/>
    </row>
    <row r="275" spans="1:5" ht="12.75" customHeight="1" x14ac:dyDescent="0.2">
      <c r="A275" s="38"/>
      <c r="B275" s="38"/>
      <c r="C275" s="8"/>
      <c r="D275" s="8"/>
      <c r="E275" s="8"/>
    </row>
    <row r="276" spans="1:5" ht="12.75" customHeight="1" x14ac:dyDescent="0.2">
      <c r="A276" s="38"/>
      <c r="B276" s="38"/>
      <c r="C276" s="8"/>
      <c r="D276" s="8"/>
      <c r="E276" s="8"/>
    </row>
    <row r="277" spans="1:5" ht="12.75" customHeight="1" x14ac:dyDescent="0.2">
      <c r="A277" s="38"/>
      <c r="B277" s="38"/>
      <c r="C277" s="8"/>
      <c r="D277" s="8"/>
      <c r="E277" s="8"/>
    </row>
    <row r="278" spans="1:5" ht="12.75" customHeight="1" x14ac:dyDescent="0.2">
      <c r="A278" s="38"/>
      <c r="B278" s="38"/>
      <c r="C278" s="8"/>
      <c r="D278" s="8"/>
      <c r="E278" s="8"/>
    </row>
    <row r="279" spans="1:5" ht="12.75" customHeight="1" x14ac:dyDescent="0.2">
      <c r="A279" s="38"/>
      <c r="B279" s="38"/>
      <c r="C279" s="8"/>
      <c r="D279" s="8"/>
      <c r="E279" s="8"/>
    </row>
    <row r="280" spans="1:5" ht="12.75" customHeight="1" x14ac:dyDescent="0.2">
      <c r="A280" s="38"/>
      <c r="B280" s="38"/>
      <c r="C280" s="8"/>
      <c r="D280" s="8"/>
      <c r="E280" s="8"/>
    </row>
    <row r="281" spans="1:5" ht="12.75" customHeight="1" x14ac:dyDescent="0.2">
      <c r="A281" s="38"/>
      <c r="B281" s="38"/>
      <c r="C281" s="8"/>
      <c r="D281" s="8"/>
      <c r="E281" s="8"/>
    </row>
    <row r="282" spans="1:5" ht="12.75" customHeight="1" x14ac:dyDescent="0.2">
      <c r="A282" s="38"/>
      <c r="B282" s="38"/>
      <c r="C282" s="8"/>
      <c r="D282" s="8"/>
      <c r="E282" s="8"/>
    </row>
    <row r="283" spans="1:5" ht="12.75" customHeight="1" x14ac:dyDescent="0.2">
      <c r="A283" s="38"/>
      <c r="B283" s="38"/>
      <c r="C283" s="8"/>
      <c r="D283" s="8"/>
      <c r="E283" s="8"/>
    </row>
    <row r="284" spans="1:5" ht="12.75" customHeight="1" x14ac:dyDescent="0.2">
      <c r="A284" s="38"/>
      <c r="B284" s="38"/>
      <c r="C284" s="8"/>
      <c r="D284" s="8"/>
      <c r="E284" s="8"/>
    </row>
    <row r="285" spans="1:5" ht="12.75" customHeight="1" x14ac:dyDescent="0.2">
      <c r="A285" s="38"/>
      <c r="B285" s="38"/>
      <c r="C285" s="8"/>
      <c r="D285" s="8"/>
      <c r="E285" s="8"/>
    </row>
    <row r="286" spans="1:5" ht="12.75" customHeight="1" x14ac:dyDescent="0.2">
      <c r="A286" s="38"/>
      <c r="B286" s="38"/>
      <c r="C286" s="8"/>
      <c r="D286" s="8"/>
      <c r="E286" s="8"/>
    </row>
    <row r="287" spans="1:5" ht="12.75" customHeight="1" x14ac:dyDescent="0.2">
      <c r="A287" s="38"/>
      <c r="B287" s="38"/>
      <c r="C287" s="8"/>
      <c r="D287" s="8"/>
      <c r="E287" s="8"/>
    </row>
    <row r="288" spans="1:5" ht="12.75" customHeight="1" x14ac:dyDescent="0.2">
      <c r="A288" s="38"/>
      <c r="B288" s="38"/>
      <c r="C288" s="8"/>
      <c r="D288" s="8"/>
      <c r="E288" s="8"/>
    </row>
    <row r="289" spans="1:5" ht="12.75" customHeight="1" x14ac:dyDescent="0.2">
      <c r="A289" s="38"/>
      <c r="B289" s="38"/>
      <c r="C289" s="8"/>
      <c r="D289" s="8"/>
      <c r="E289" s="8"/>
    </row>
    <row r="290" spans="1:5" ht="12.75" customHeight="1" x14ac:dyDescent="0.2">
      <c r="A290" s="38"/>
      <c r="B290" s="38"/>
      <c r="C290" s="8"/>
      <c r="D290" s="8"/>
      <c r="E290" s="8"/>
    </row>
    <row r="291" spans="1:5" ht="12.75" customHeight="1" x14ac:dyDescent="0.2">
      <c r="A291" s="38"/>
      <c r="B291" s="38"/>
      <c r="C291" s="8"/>
      <c r="D291" s="8"/>
      <c r="E291" s="8"/>
    </row>
    <row r="292" spans="1:5" ht="12.75" customHeight="1" x14ac:dyDescent="0.2">
      <c r="A292" s="38"/>
      <c r="B292" s="38"/>
      <c r="C292" s="8"/>
      <c r="D292" s="8"/>
      <c r="E292" s="8"/>
    </row>
    <row r="293" spans="1:5" ht="12.75" customHeight="1" x14ac:dyDescent="0.2">
      <c r="A293" s="38"/>
      <c r="B293" s="38"/>
      <c r="C293" s="8"/>
      <c r="D293" s="8"/>
      <c r="E293" s="8"/>
    </row>
    <row r="294" spans="1:5" ht="12.75" customHeight="1" x14ac:dyDescent="0.2">
      <c r="A294" s="38"/>
      <c r="B294" s="38"/>
      <c r="C294" s="8"/>
      <c r="D294" s="8"/>
      <c r="E294" s="8"/>
    </row>
    <row r="295" spans="1:5" ht="12.75" customHeight="1" x14ac:dyDescent="0.2">
      <c r="A295" s="38"/>
      <c r="B295" s="38"/>
      <c r="C295" s="8"/>
      <c r="D295" s="8"/>
      <c r="E295" s="8"/>
    </row>
    <row r="296" spans="1:5" ht="12.75" customHeight="1" x14ac:dyDescent="0.2">
      <c r="A296" s="38"/>
      <c r="B296" s="38"/>
      <c r="C296" s="8"/>
      <c r="D296" s="8"/>
      <c r="E296" s="8"/>
    </row>
    <row r="297" spans="1:5" ht="12.75" customHeight="1" x14ac:dyDescent="0.2">
      <c r="A297" s="38"/>
      <c r="B297" s="38"/>
      <c r="C297" s="8"/>
      <c r="D297" s="8"/>
      <c r="E297" s="8"/>
    </row>
    <row r="298" spans="1:5" ht="12.75" customHeight="1" x14ac:dyDescent="0.2">
      <c r="A298" s="38"/>
      <c r="B298" s="38"/>
      <c r="C298" s="8"/>
      <c r="D298" s="8"/>
      <c r="E298" s="8"/>
    </row>
    <row r="299" spans="1:5" ht="12.75" customHeight="1" x14ac:dyDescent="0.2">
      <c r="A299" s="38"/>
      <c r="B299" s="38"/>
      <c r="C299" s="8"/>
      <c r="D299" s="8"/>
      <c r="E299" s="8"/>
    </row>
    <row r="300" spans="1:5" ht="12.75" customHeight="1" x14ac:dyDescent="0.2">
      <c r="A300" s="38"/>
      <c r="B300" s="38"/>
      <c r="C300" s="8"/>
      <c r="D300" s="8"/>
      <c r="E300" s="8"/>
    </row>
    <row r="301" spans="1:5" ht="12.75" customHeight="1" x14ac:dyDescent="0.2">
      <c r="A301" s="38"/>
      <c r="B301" s="38"/>
      <c r="C301" s="8"/>
      <c r="D301" s="8"/>
      <c r="E301" s="8"/>
    </row>
    <row r="302" spans="1:5" ht="12.75" customHeight="1" x14ac:dyDescent="0.2">
      <c r="A302" s="38"/>
      <c r="B302" s="38"/>
      <c r="C302" s="8"/>
      <c r="D302" s="8"/>
      <c r="E302" s="8"/>
    </row>
    <row r="303" spans="1:5" ht="12.75" customHeight="1" x14ac:dyDescent="0.2">
      <c r="A303" s="38"/>
      <c r="B303" s="38"/>
      <c r="C303" s="8"/>
      <c r="D303" s="8"/>
      <c r="E303" s="8"/>
    </row>
    <row r="304" spans="1:5" ht="12.75" customHeight="1" x14ac:dyDescent="0.2">
      <c r="A304" s="38"/>
      <c r="B304" s="38"/>
      <c r="C304" s="8"/>
      <c r="D304" s="8"/>
      <c r="E304" s="8"/>
    </row>
    <row r="305" spans="1:5" ht="12.75" customHeight="1" x14ac:dyDescent="0.2">
      <c r="A305" s="38"/>
      <c r="B305" s="38"/>
      <c r="C305" s="8"/>
      <c r="D305" s="8"/>
      <c r="E305" s="8"/>
    </row>
    <row r="306" spans="1:5" ht="12.75" customHeight="1" x14ac:dyDescent="0.2">
      <c r="A306" s="38"/>
      <c r="B306" s="38"/>
      <c r="C306" s="8"/>
      <c r="D306" s="8"/>
      <c r="E306" s="8"/>
    </row>
    <row r="307" spans="1:5" ht="12.75" customHeight="1" x14ac:dyDescent="0.2">
      <c r="A307" s="38"/>
      <c r="B307" s="38"/>
      <c r="C307" s="8"/>
      <c r="D307" s="8"/>
      <c r="E307" s="8"/>
    </row>
    <row r="308" spans="1:5" ht="12.75" customHeight="1" x14ac:dyDescent="0.2">
      <c r="A308" s="38"/>
      <c r="B308" s="38"/>
      <c r="C308" s="8"/>
      <c r="D308" s="8"/>
      <c r="E308" s="8"/>
    </row>
    <row r="309" spans="1:5" ht="12.75" customHeight="1" x14ac:dyDescent="0.2">
      <c r="A309" s="38"/>
      <c r="B309" s="38"/>
      <c r="C309" s="8"/>
      <c r="D309" s="8"/>
      <c r="E309" s="8"/>
    </row>
    <row r="310" spans="1:5" ht="12.75" customHeight="1" x14ac:dyDescent="0.2">
      <c r="A310" s="38"/>
      <c r="B310" s="38"/>
      <c r="C310" s="8"/>
      <c r="D310" s="8"/>
      <c r="E310" s="8"/>
    </row>
    <row r="311" spans="1:5" ht="12.75" customHeight="1" x14ac:dyDescent="0.2">
      <c r="A311" s="38"/>
      <c r="B311" s="38"/>
      <c r="C311" s="8"/>
      <c r="D311" s="8"/>
      <c r="E311" s="8"/>
    </row>
    <row r="312" spans="1:5" ht="12.75" customHeight="1" x14ac:dyDescent="0.2">
      <c r="A312" s="38"/>
      <c r="B312" s="38"/>
      <c r="C312" s="8"/>
      <c r="D312" s="8"/>
      <c r="E312" s="8"/>
    </row>
    <row r="313" spans="1:5" ht="12.75" customHeight="1" x14ac:dyDescent="0.2">
      <c r="A313" s="38"/>
      <c r="B313" s="38"/>
      <c r="C313" s="8"/>
      <c r="D313" s="8"/>
      <c r="E313" s="8"/>
    </row>
    <row r="314" spans="1:5" ht="12.75" customHeight="1" x14ac:dyDescent="0.2">
      <c r="A314" s="38"/>
      <c r="B314" s="38"/>
      <c r="C314" s="8"/>
      <c r="D314" s="8"/>
      <c r="E314" s="8"/>
    </row>
    <row r="315" spans="1:5" ht="12.75" customHeight="1" x14ac:dyDescent="0.2">
      <c r="A315" s="38"/>
      <c r="B315" s="38"/>
      <c r="C315" s="8"/>
      <c r="D315" s="8"/>
      <c r="E315" s="8"/>
    </row>
    <row r="316" spans="1:5" ht="12.75" customHeight="1" x14ac:dyDescent="0.2">
      <c r="A316" s="38"/>
      <c r="B316" s="38"/>
      <c r="C316" s="8"/>
      <c r="D316" s="8"/>
      <c r="E316" s="8"/>
    </row>
    <row r="317" spans="1:5" ht="12.75" customHeight="1" x14ac:dyDescent="0.2">
      <c r="A317" s="38"/>
      <c r="B317" s="38"/>
      <c r="C317" s="8"/>
      <c r="D317" s="8"/>
      <c r="E317" s="8"/>
    </row>
    <row r="318" spans="1:5" ht="12.75" customHeight="1" x14ac:dyDescent="0.2">
      <c r="A318" s="38"/>
      <c r="B318" s="38"/>
      <c r="C318" s="8"/>
      <c r="D318" s="8"/>
      <c r="E318" s="8"/>
    </row>
    <row r="319" spans="1:5" ht="12.75" customHeight="1" x14ac:dyDescent="0.2">
      <c r="A319" s="38"/>
      <c r="B319" s="38"/>
      <c r="C319" s="8"/>
      <c r="D319" s="8"/>
      <c r="E319" s="8"/>
    </row>
    <row r="320" spans="1:5" ht="12.75" customHeight="1" x14ac:dyDescent="0.2">
      <c r="A320" s="38"/>
      <c r="B320" s="38"/>
      <c r="C320" s="8"/>
      <c r="D320" s="8"/>
      <c r="E320" s="8"/>
    </row>
    <row r="321" spans="1:5" ht="12.75" customHeight="1" x14ac:dyDescent="0.2">
      <c r="A321" s="38"/>
      <c r="B321" s="38"/>
      <c r="C321" s="8"/>
      <c r="D321" s="8"/>
      <c r="E321" s="8"/>
    </row>
    <row r="322" spans="1:5" ht="12.75" customHeight="1" x14ac:dyDescent="0.2">
      <c r="A322" s="38"/>
      <c r="B322" s="38"/>
      <c r="C322" s="8"/>
      <c r="D322" s="8"/>
      <c r="E322" s="8"/>
    </row>
    <row r="323" spans="1:5" ht="12.75" customHeight="1" x14ac:dyDescent="0.2">
      <c r="A323" s="38"/>
      <c r="B323" s="38"/>
      <c r="C323" s="8"/>
      <c r="D323" s="8"/>
      <c r="E323" s="8"/>
    </row>
    <row r="324" spans="1:5" ht="12.75" customHeight="1" x14ac:dyDescent="0.2">
      <c r="A324" s="38"/>
      <c r="B324" s="38"/>
      <c r="C324" s="8"/>
      <c r="D324" s="8"/>
      <c r="E324" s="8"/>
    </row>
    <row r="325" spans="1:5" ht="12.75" customHeight="1" x14ac:dyDescent="0.2">
      <c r="A325" s="38"/>
      <c r="B325" s="38"/>
      <c r="C325" s="8"/>
      <c r="D325" s="8"/>
      <c r="E325" s="8"/>
    </row>
    <row r="326" spans="1:5" ht="12.75" customHeight="1" x14ac:dyDescent="0.2">
      <c r="A326" s="38"/>
      <c r="B326" s="38"/>
      <c r="C326" s="8"/>
      <c r="D326" s="8"/>
      <c r="E326" s="8"/>
    </row>
    <row r="327" spans="1:5" ht="12.75" customHeight="1" x14ac:dyDescent="0.2">
      <c r="A327" s="38"/>
      <c r="B327" s="38"/>
      <c r="C327" s="8"/>
      <c r="D327" s="8"/>
      <c r="E327" s="8"/>
    </row>
    <row r="328" spans="1:5" ht="12.75" customHeight="1" x14ac:dyDescent="0.2">
      <c r="A328" s="38"/>
      <c r="B328" s="38"/>
      <c r="C328" s="8"/>
      <c r="D328" s="8"/>
      <c r="E328" s="8"/>
    </row>
    <row r="329" spans="1:5" ht="12.75" customHeight="1" x14ac:dyDescent="0.2">
      <c r="A329" s="38"/>
      <c r="B329" s="38"/>
      <c r="C329" s="8"/>
      <c r="D329" s="8"/>
      <c r="E329" s="8"/>
    </row>
    <row r="330" spans="1:5" ht="12.75" customHeight="1" x14ac:dyDescent="0.2">
      <c r="A330" s="38"/>
      <c r="B330" s="38"/>
      <c r="C330" s="8"/>
      <c r="D330" s="8"/>
      <c r="E330" s="8"/>
    </row>
    <row r="331" spans="1:5" ht="12.75" customHeight="1" x14ac:dyDescent="0.2">
      <c r="A331" s="38"/>
      <c r="B331" s="38"/>
      <c r="C331" s="8"/>
      <c r="D331" s="8"/>
      <c r="E331" s="8"/>
    </row>
    <row r="332" spans="1:5" ht="12.75" customHeight="1" x14ac:dyDescent="0.2">
      <c r="A332" s="38"/>
      <c r="B332" s="38"/>
      <c r="C332" s="8"/>
      <c r="D332" s="8"/>
      <c r="E332" s="8"/>
    </row>
    <row r="333" spans="1:5" ht="12.75" customHeight="1" x14ac:dyDescent="0.2">
      <c r="A333" s="38"/>
      <c r="B333" s="38"/>
      <c r="C333" s="8"/>
      <c r="D333" s="8"/>
      <c r="E333" s="8"/>
    </row>
    <row r="334" spans="1:5" ht="12.75" customHeight="1" x14ac:dyDescent="0.2">
      <c r="A334" s="38"/>
      <c r="B334" s="38"/>
      <c r="C334" s="8"/>
      <c r="D334" s="8"/>
      <c r="E334" s="8"/>
    </row>
    <row r="335" spans="1:5" ht="12.75" customHeight="1" x14ac:dyDescent="0.2">
      <c r="A335" s="38"/>
      <c r="B335" s="38"/>
      <c r="C335" s="8"/>
      <c r="D335" s="8"/>
      <c r="E335" s="8"/>
    </row>
    <row r="336" spans="1:5" ht="12.75" customHeight="1" x14ac:dyDescent="0.2">
      <c r="A336" s="38"/>
      <c r="B336" s="38"/>
      <c r="C336" s="8"/>
      <c r="D336" s="8"/>
      <c r="E336" s="8"/>
    </row>
    <row r="337" spans="1:5" ht="12.75" customHeight="1" x14ac:dyDescent="0.2">
      <c r="A337" s="38"/>
      <c r="B337" s="38"/>
      <c r="C337" s="8"/>
      <c r="D337" s="8"/>
      <c r="E337" s="8"/>
    </row>
    <row r="338" spans="1:5" ht="12.75" customHeight="1" x14ac:dyDescent="0.2">
      <c r="A338" s="38"/>
      <c r="B338" s="38"/>
      <c r="C338" s="8"/>
      <c r="D338" s="8"/>
      <c r="E338" s="8"/>
    </row>
    <row r="339" spans="1:5" ht="12.75" customHeight="1" x14ac:dyDescent="0.2">
      <c r="A339" s="38"/>
      <c r="B339" s="38"/>
      <c r="C339" s="8"/>
      <c r="D339" s="8"/>
      <c r="E339" s="8"/>
    </row>
    <row r="340" spans="1:5" ht="12.75" customHeight="1" x14ac:dyDescent="0.2">
      <c r="A340" s="38"/>
      <c r="B340" s="38"/>
      <c r="C340" s="8"/>
      <c r="D340" s="8"/>
      <c r="E340" s="8"/>
    </row>
    <row r="341" spans="1:5" ht="12.75" customHeight="1" x14ac:dyDescent="0.2">
      <c r="A341" s="38"/>
      <c r="B341" s="38"/>
      <c r="C341" s="8"/>
      <c r="D341" s="8"/>
      <c r="E341" s="8"/>
    </row>
    <row r="342" spans="1:5" ht="12.75" customHeight="1" x14ac:dyDescent="0.2">
      <c r="A342" s="38"/>
      <c r="B342" s="38"/>
      <c r="C342" s="8"/>
      <c r="D342" s="8"/>
      <c r="E342" s="8"/>
    </row>
    <row r="343" spans="1:5" ht="12.75" customHeight="1" x14ac:dyDescent="0.2">
      <c r="A343" s="38"/>
      <c r="B343" s="38"/>
      <c r="C343" s="8"/>
      <c r="D343" s="8"/>
      <c r="E343" s="8"/>
    </row>
    <row r="344" spans="1:5" ht="12.75" customHeight="1" x14ac:dyDescent="0.2">
      <c r="A344" s="38"/>
      <c r="B344" s="38"/>
      <c r="C344" s="8"/>
      <c r="D344" s="8"/>
      <c r="E344" s="8"/>
    </row>
    <row r="345" spans="1:5" ht="12.75" customHeight="1" x14ac:dyDescent="0.2">
      <c r="A345" s="38"/>
      <c r="B345" s="38"/>
      <c r="C345" s="8"/>
      <c r="D345" s="8"/>
      <c r="E345" s="8"/>
    </row>
    <row r="346" spans="1:5" ht="12.75" customHeight="1" x14ac:dyDescent="0.2">
      <c r="A346" s="38"/>
      <c r="B346" s="38"/>
      <c r="C346" s="8"/>
      <c r="D346" s="8"/>
      <c r="E346" s="8"/>
    </row>
    <row r="347" spans="1:5" ht="12.75" customHeight="1" x14ac:dyDescent="0.2">
      <c r="A347" s="38"/>
      <c r="B347" s="38"/>
      <c r="C347" s="8"/>
      <c r="D347" s="8"/>
      <c r="E347" s="8"/>
    </row>
    <row r="348" spans="1:5" ht="12.75" customHeight="1" x14ac:dyDescent="0.2">
      <c r="A348" s="38"/>
      <c r="B348" s="38"/>
      <c r="C348" s="8"/>
      <c r="D348" s="8"/>
      <c r="E348" s="8"/>
    </row>
    <row r="349" spans="1:5" ht="12.75" customHeight="1" x14ac:dyDescent="0.2">
      <c r="A349" s="38"/>
      <c r="B349" s="38"/>
      <c r="C349" s="8"/>
      <c r="D349" s="8"/>
      <c r="E349" s="8"/>
    </row>
    <row r="350" spans="1:5" ht="12.75" customHeight="1" x14ac:dyDescent="0.2">
      <c r="A350" s="38"/>
      <c r="B350" s="38"/>
      <c r="C350" s="8"/>
      <c r="D350" s="8"/>
      <c r="E350" s="8"/>
    </row>
    <row r="351" spans="1:5" ht="12.75" customHeight="1" x14ac:dyDescent="0.2">
      <c r="A351" s="38"/>
      <c r="B351" s="38"/>
      <c r="C351" s="8"/>
      <c r="D351" s="8"/>
      <c r="E351" s="8"/>
    </row>
    <row r="352" spans="1:5" ht="12.75" customHeight="1" x14ac:dyDescent="0.2">
      <c r="A352" s="38"/>
      <c r="B352" s="38"/>
      <c r="C352" s="8"/>
      <c r="D352" s="8"/>
      <c r="E352" s="8"/>
    </row>
    <row r="353" spans="1:5" ht="12.75" customHeight="1" x14ac:dyDescent="0.2">
      <c r="A353" s="38"/>
      <c r="B353" s="38"/>
      <c r="C353" s="8"/>
      <c r="D353" s="8"/>
      <c r="E353" s="8"/>
    </row>
    <row r="354" spans="1:5" ht="12.75" customHeight="1" x14ac:dyDescent="0.2">
      <c r="A354" s="38"/>
      <c r="B354" s="38"/>
      <c r="C354" s="8"/>
      <c r="D354" s="8"/>
      <c r="E354" s="8"/>
    </row>
    <row r="355" spans="1:5" ht="12.75" customHeight="1" x14ac:dyDescent="0.2">
      <c r="A355" s="38"/>
      <c r="B355" s="38"/>
      <c r="C355" s="8"/>
      <c r="D355" s="8"/>
      <c r="E355" s="8"/>
    </row>
    <row r="356" spans="1:5" ht="12.75" customHeight="1" x14ac:dyDescent="0.2">
      <c r="A356" s="38"/>
      <c r="B356" s="38"/>
      <c r="C356" s="8"/>
      <c r="D356" s="8"/>
      <c r="E356" s="8"/>
    </row>
    <row r="357" spans="1:5" ht="12.75" customHeight="1" x14ac:dyDescent="0.2">
      <c r="A357" s="38"/>
      <c r="B357" s="38"/>
      <c r="C357" s="8"/>
      <c r="D357" s="8"/>
      <c r="E357" s="8"/>
    </row>
    <row r="358" spans="1:5" ht="12.75" customHeight="1" x14ac:dyDescent="0.2">
      <c r="A358" s="38"/>
      <c r="B358" s="38"/>
      <c r="C358" s="8"/>
      <c r="D358" s="8"/>
      <c r="E358" s="8"/>
    </row>
    <row r="359" spans="1:5" ht="12.75" customHeight="1" x14ac:dyDescent="0.2">
      <c r="A359" s="38"/>
      <c r="B359" s="38"/>
      <c r="C359" s="8"/>
      <c r="D359" s="8"/>
      <c r="E359" s="8"/>
    </row>
    <row r="360" spans="1:5" ht="12.75" customHeight="1" x14ac:dyDescent="0.2">
      <c r="A360" s="38"/>
      <c r="B360" s="38"/>
      <c r="C360" s="8"/>
      <c r="D360" s="8"/>
      <c r="E360" s="8"/>
    </row>
    <row r="361" spans="1:5" ht="12.75" customHeight="1" x14ac:dyDescent="0.2">
      <c r="A361" s="38"/>
      <c r="B361" s="38"/>
      <c r="C361" s="8"/>
      <c r="D361" s="8"/>
      <c r="E361" s="8"/>
    </row>
    <row r="362" spans="1:5" ht="12.75" customHeight="1" x14ac:dyDescent="0.2">
      <c r="A362" s="38"/>
      <c r="B362" s="38"/>
      <c r="C362" s="8"/>
      <c r="D362" s="8"/>
      <c r="E362" s="8"/>
    </row>
    <row r="363" spans="1:5" ht="12.75" customHeight="1" x14ac:dyDescent="0.2">
      <c r="A363" s="38"/>
      <c r="B363" s="38"/>
      <c r="C363" s="8"/>
      <c r="D363" s="8"/>
      <c r="E363" s="8"/>
    </row>
    <row r="364" spans="1:5" ht="12.75" customHeight="1" x14ac:dyDescent="0.2">
      <c r="A364" s="38"/>
      <c r="B364" s="38"/>
      <c r="C364" s="8"/>
      <c r="D364" s="8"/>
      <c r="E364" s="8"/>
    </row>
    <row r="365" spans="1:5" ht="12.75" customHeight="1" x14ac:dyDescent="0.2">
      <c r="A365" s="38"/>
      <c r="B365" s="38"/>
      <c r="C365" s="8"/>
      <c r="D365" s="8"/>
      <c r="E365" s="8"/>
    </row>
    <row r="366" spans="1:5" ht="12.75" customHeight="1" x14ac:dyDescent="0.2">
      <c r="A366" s="38"/>
      <c r="B366" s="38"/>
      <c r="C366" s="8"/>
      <c r="D366" s="8"/>
      <c r="E366" s="8"/>
    </row>
    <row r="367" spans="1:5" ht="12.75" customHeight="1" x14ac:dyDescent="0.2">
      <c r="A367" s="38"/>
      <c r="B367" s="38"/>
      <c r="C367" s="8"/>
      <c r="D367" s="8"/>
      <c r="E367" s="8"/>
    </row>
    <row r="368" spans="1:5" ht="12.75" customHeight="1" x14ac:dyDescent="0.2">
      <c r="A368" s="38"/>
      <c r="B368" s="38"/>
      <c r="C368" s="8"/>
      <c r="D368" s="8"/>
      <c r="E368" s="8"/>
    </row>
    <row r="369" spans="1:5" ht="12.75" customHeight="1" x14ac:dyDescent="0.2">
      <c r="A369" s="38"/>
      <c r="B369" s="38"/>
      <c r="C369" s="8"/>
      <c r="D369" s="8"/>
      <c r="E369" s="8"/>
    </row>
    <row r="370" spans="1:5" ht="12.75" customHeight="1" x14ac:dyDescent="0.2">
      <c r="A370" s="38"/>
      <c r="B370" s="38"/>
      <c r="C370" s="8"/>
      <c r="D370" s="8"/>
      <c r="E370" s="8"/>
    </row>
    <row r="371" spans="1:5" ht="12.75" customHeight="1" x14ac:dyDescent="0.2">
      <c r="A371" s="38"/>
      <c r="B371" s="38"/>
      <c r="C371" s="8"/>
      <c r="D371" s="8"/>
      <c r="E371" s="8"/>
    </row>
    <row r="372" spans="1:5" ht="12.75" customHeight="1" x14ac:dyDescent="0.2">
      <c r="A372" s="38"/>
      <c r="B372" s="38"/>
      <c r="C372" s="8"/>
      <c r="D372" s="8"/>
      <c r="E372" s="8"/>
    </row>
    <row r="373" spans="1:5" ht="12.75" customHeight="1" x14ac:dyDescent="0.2">
      <c r="A373" s="38"/>
      <c r="B373" s="38"/>
      <c r="C373" s="8"/>
      <c r="D373" s="8"/>
      <c r="E373" s="8"/>
    </row>
    <row r="374" spans="1:5" ht="12.75" customHeight="1" x14ac:dyDescent="0.2">
      <c r="A374" s="38"/>
      <c r="B374" s="38"/>
      <c r="C374" s="8"/>
      <c r="D374" s="8"/>
      <c r="E374" s="8"/>
    </row>
    <row r="375" spans="1:5" ht="12.75" customHeight="1" x14ac:dyDescent="0.2">
      <c r="A375" s="38"/>
      <c r="B375" s="38"/>
      <c r="C375" s="8"/>
      <c r="D375" s="8"/>
      <c r="E375" s="8"/>
    </row>
    <row r="376" spans="1:5" ht="12.75" customHeight="1" x14ac:dyDescent="0.2">
      <c r="A376" s="38"/>
      <c r="B376" s="38"/>
      <c r="C376" s="8"/>
      <c r="D376" s="8"/>
      <c r="E376" s="8"/>
    </row>
    <row r="377" spans="1:5" ht="12.75" customHeight="1" x14ac:dyDescent="0.2">
      <c r="A377" s="38"/>
      <c r="B377" s="38"/>
      <c r="C377" s="8"/>
      <c r="D377" s="8"/>
      <c r="E377" s="8"/>
    </row>
    <row r="378" spans="1:5" ht="12.75" customHeight="1" x14ac:dyDescent="0.2">
      <c r="A378" s="38"/>
      <c r="B378" s="38"/>
      <c r="C378" s="8"/>
      <c r="D378" s="8"/>
      <c r="E378" s="8"/>
    </row>
    <row r="379" spans="1:5" ht="12.75" customHeight="1" x14ac:dyDescent="0.2">
      <c r="A379" s="38"/>
      <c r="B379" s="38"/>
      <c r="C379" s="8"/>
      <c r="D379" s="8"/>
      <c r="E379" s="8"/>
    </row>
    <row r="380" spans="1:5" ht="12.75" customHeight="1" x14ac:dyDescent="0.2">
      <c r="A380" s="38"/>
      <c r="B380" s="38"/>
      <c r="C380" s="8"/>
      <c r="D380" s="8"/>
      <c r="E380" s="8"/>
    </row>
    <row r="381" spans="1:5" ht="12.75" customHeight="1" x14ac:dyDescent="0.2">
      <c r="A381" s="38"/>
      <c r="B381" s="38"/>
      <c r="C381" s="8"/>
      <c r="D381" s="8"/>
      <c r="E381" s="8"/>
    </row>
    <row r="382" spans="1:5" ht="12.75" customHeight="1" x14ac:dyDescent="0.2">
      <c r="A382" s="38"/>
      <c r="B382" s="38"/>
      <c r="C382" s="8"/>
      <c r="D382" s="8"/>
      <c r="E382" s="8"/>
    </row>
    <row r="383" spans="1:5" ht="12.75" customHeight="1" x14ac:dyDescent="0.2">
      <c r="A383" s="38"/>
      <c r="B383" s="38"/>
      <c r="C383" s="8"/>
      <c r="D383" s="8"/>
      <c r="E383" s="8"/>
    </row>
    <row r="384" spans="1:5" ht="12.75" customHeight="1" x14ac:dyDescent="0.2">
      <c r="A384" s="38"/>
      <c r="B384" s="38"/>
      <c r="C384" s="8"/>
      <c r="D384" s="8"/>
      <c r="E384" s="8"/>
    </row>
    <row r="385" spans="1:5" ht="12.75" customHeight="1" x14ac:dyDescent="0.2">
      <c r="A385" s="38"/>
      <c r="B385" s="38"/>
      <c r="C385" s="8"/>
      <c r="D385" s="8"/>
      <c r="E385" s="8"/>
    </row>
    <row r="386" spans="1:5" ht="12.75" customHeight="1" x14ac:dyDescent="0.2">
      <c r="A386" s="38"/>
      <c r="B386" s="38"/>
      <c r="C386" s="8"/>
      <c r="D386" s="8"/>
      <c r="E386" s="8"/>
    </row>
    <row r="387" spans="1:5" ht="12.75" customHeight="1" x14ac:dyDescent="0.2">
      <c r="A387" s="38"/>
      <c r="B387" s="38"/>
      <c r="C387" s="8"/>
      <c r="D387" s="8"/>
      <c r="E387" s="8"/>
    </row>
    <row r="388" spans="1:5" ht="12.75" customHeight="1" x14ac:dyDescent="0.2">
      <c r="A388" s="38"/>
      <c r="B388" s="38"/>
      <c r="C388" s="8"/>
      <c r="D388" s="8"/>
      <c r="E388" s="8"/>
    </row>
    <row r="389" spans="1:5" ht="12.75" customHeight="1" x14ac:dyDescent="0.2">
      <c r="A389" s="38"/>
      <c r="B389" s="38"/>
      <c r="C389" s="8"/>
      <c r="D389" s="8"/>
      <c r="E389" s="8"/>
    </row>
    <row r="390" spans="1:5" ht="12.75" customHeight="1" x14ac:dyDescent="0.2">
      <c r="A390" s="38"/>
      <c r="B390" s="38"/>
      <c r="C390" s="8"/>
      <c r="D390" s="8"/>
      <c r="E390" s="8"/>
    </row>
    <row r="391" spans="1:5" ht="12.75" customHeight="1" x14ac:dyDescent="0.2">
      <c r="A391" s="38"/>
      <c r="B391" s="38"/>
      <c r="C391" s="8"/>
      <c r="D391" s="8"/>
      <c r="E391" s="8"/>
    </row>
    <row r="392" spans="1:5" ht="12.75" customHeight="1" x14ac:dyDescent="0.2">
      <c r="A392" s="38"/>
      <c r="B392" s="38"/>
      <c r="C392" s="8"/>
      <c r="D392" s="8"/>
      <c r="E392" s="8"/>
    </row>
    <row r="393" spans="1:5" ht="12.75" customHeight="1" x14ac:dyDescent="0.2">
      <c r="A393" s="38"/>
      <c r="B393" s="38"/>
      <c r="C393" s="8"/>
      <c r="D393" s="8"/>
      <c r="E393" s="8"/>
    </row>
    <row r="394" spans="1:5" ht="12.75" customHeight="1" x14ac:dyDescent="0.2">
      <c r="A394" s="38"/>
      <c r="B394" s="38"/>
      <c r="C394" s="8"/>
      <c r="D394" s="8"/>
      <c r="E394" s="8"/>
    </row>
    <row r="395" spans="1:5" ht="12.75" customHeight="1" x14ac:dyDescent="0.2">
      <c r="A395" s="38"/>
      <c r="B395" s="38"/>
      <c r="C395" s="8"/>
      <c r="D395" s="8"/>
      <c r="E395" s="8"/>
    </row>
    <row r="396" spans="1:5" ht="12.75" customHeight="1" x14ac:dyDescent="0.2">
      <c r="A396" s="38"/>
      <c r="B396" s="38"/>
      <c r="C396" s="8"/>
      <c r="D396" s="8"/>
      <c r="E396" s="8"/>
    </row>
    <row r="397" spans="1:5" ht="12.75" customHeight="1" x14ac:dyDescent="0.2">
      <c r="A397" s="38"/>
      <c r="B397" s="38"/>
      <c r="C397" s="8"/>
      <c r="D397" s="8"/>
      <c r="E397" s="8"/>
    </row>
    <row r="398" spans="1:5" ht="12.75" customHeight="1" x14ac:dyDescent="0.2">
      <c r="A398" s="38"/>
      <c r="B398" s="38"/>
      <c r="C398" s="8"/>
      <c r="D398" s="8"/>
      <c r="E398" s="8"/>
    </row>
    <row r="399" spans="1:5" ht="12.75" customHeight="1" x14ac:dyDescent="0.2">
      <c r="A399" s="38"/>
      <c r="B399" s="38"/>
      <c r="C399" s="8"/>
      <c r="D399" s="8"/>
      <c r="E399" s="8"/>
    </row>
    <row r="400" spans="1:5" ht="12.75" customHeight="1" x14ac:dyDescent="0.2">
      <c r="A400" s="38"/>
      <c r="B400" s="38"/>
      <c r="C400" s="8"/>
      <c r="D400" s="8"/>
      <c r="E400" s="8"/>
    </row>
    <row r="401" spans="1:5" ht="12.75" customHeight="1" x14ac:dyDescent="0.2">
      <c r="A401" s="38"/>
      <c r="B401" s="38"/>
      <c r="C401" s="8"/>
      <c r="D401" s="8"/>
      <c r="E401" s="8"/>
    </row>
    <row r="402" spans="1:5" ht="12.75" customHeight="1" x14ac:dyDescent="0.2">
      <c r="A402" s="38"/>
      <c r="B402" s="38"/>
      <c r="C402" s="8"/>
      <c r="D402" s="8"/>
      <c r="E402" s="8"/>
    </row>
    <row r="403" spans="1:5" ht="12.75" customHeight="1" x14ac:dyDescent="0.2">
      <c r="A403" s="38"/>
      <c r="B403" s="38"/>
      <c r="C403" s="8"/>
      <c r="D403" s="8"/>
      <c r="E403" s="8"/>
    </row>
    <row r="404" spans="1:5" ht="12.75" customHeight="1" x14ac:dyDescent="0.2">
      <c r="A404" s="38"/>
      <c r="B404" s="38"/>
      <c r="C404" s="8"/>
      <c r="D404" s="8"/>
      <c r="E404" s="8"/>
    </row>
    <row r="405" spans="1:5" ht="12.75" customHeight="1" x14ac:dyDescent="0.2">
      <c r="A405" s="38"/>
      <c r="B405" s="38"/>
      <c r="C405" s="8"/>
      <c r="D405" s="8"/>
      <c r="E405" s="8"/>
    </row>
    <row r="406" spans="1:5" ht="12.75" customHeight="1" x14ac:dyDescent="0.2">
      <c r="A406" s="38"/>
      <c r="B406" s="38"/>
      <c r="C406" s="8"/>
      <c r="D406" s="8"/>
      <c r="E406" s="8"/>
    </row>
    <row r="407" spans="1:5" ht="12.75" customHeight="1" x14ac:dyDescent="0.2">
      <c r="A407" s="38"/>
      <c r="B407" s="38"/>
      <c r="C407" s="8"/>
      <c r="D407" s="8"/>
      <c r="E407" s="8"/>
    </row>
    <row r="408" spans="1:5" ht="12.75" customHeight="1" x14ac:dyDescent="0.2">
      <c r="A408" s="38"/>
      <c r="B408" s="38"/>
      <c r="C408" s="8"/>
      <c r="D408" s="8"/>
      <c r="E408" s="8"/>
    </row>
    <row r="409" spans="1:5" ht="12.75" customHeight="1" x14ac:dyDescent="0.2">
      <c r="A409" s="38"/>
      <c r="B409" s="38"/>
      <c r="C409" s="8"/>
      <c r="D409" s="8"/>
      <c r="E409" s="8"/>
    </row>
    <row r="410" spans="1:5" ht="12.75" customHeight="1" x14ac:dyDescent="0.2">
      <c r="A410" s="38"/>
      <c r="B410" s="38"/>
      <c r="C410" s="8"/>
      <c r="D410" s="8"/>
      <c r="E410" s="8"/>
    </row>
    <row r="411" spans="1:5" ht="12.75" customHeight="1" x14ac:dyDescent="0.2">
      <c r="A411" s="38"/>
      <c r="B411" s="38"/>
      <c r="C411" s="8"/>
      <c r="D411" s="8"/>
      <c r="E411" s="8"/>
    </row>
    <row r="412" spans="1:5" ht="12.75" customHeight="1" x14ac:dyDescent="0.2">
      <c r="A412" s="38"/>
      <c r="B412" s="38"/>
      <c r="C412" s="8"/>
      <c r="D412" s="8"/>
      <c r="E412" s="8"/>
    </row>
    <row r="413" spans="1:5" ht="12.75" customHeight="1" x14ac:dyDescent="0.2">
      <c r="A413" s="38"/>
      <c r="B413" s="38"/>
      <c r="C413" s="8"/>
      <c r="D413" s="8"/>
      <c r="E413" s="8"/>
    </row>
    <row r="414" spans="1:5" ht="12.75" customHeight="1" x14ac:dyDescent="0.2">
      <c r="A414" s="38"/>
      <c r="B414" s="38"/>
      <c r="C414" s="8"/>
      <c r="D414" s="8"/>
      <c r="E414" s="8"/>
    </row>
    <row r="415" spans="1:5" ht="12.75" customHeight="1" x14ac:dyDescent="0.2">
      <c r="A415" s="38"/>
      <c r="B415" s="38"/>
      <c r="C415" s="8"/>
      <c r="D415" s="8"/>
      <c r="E415" s="8"/>
    </row>
    <row r="416" spans="1:5" ht="12.75" customHeight="1" x14ac:dyDescent="0.2">
      <c r="A416" s="38"/>
      <c r="B416" s="38"/>
      <c r="C416" s="8"/>
      <c r="D416" s="8"/>
      <c r="E416" s="8"/>
    </row>
    <row r="417" spans="1:5" ht="12.75" customHeight="1" x14ac:dyDescent="0.2">
      <c r="A417" s="38"/>
      <c r="B417" s="38"/>
      <c r="C417" s="8"/>
      <c r="D417" s="8"/>
      <c r="E417" s="8"/>
    </row>
    <row r="418" spans="1:5" ht="12.75" customHeight="1" x14ac:dyDescent="0.2">
      <c r="A418" s="38"/>
      <c r="B418" s="38"/>
      <c r="C418" s="8"/>
      <c r="D418" s="8"/>
      <c r="E418" s="8"/>
    </row>
    <row r="419" spans="1:5" ht="12.75" customHeight="1" x14ac:dyDescent="0.2">
      <c r="A419" s="38"/>
      <c r="B419" s="38"/>
      <c r="C419" s="8"/>
      <c r="D419" s="8"/>
      <c r="E419" s="8"/>
    </row>
    <row r="420" spans="1:5" ht="12.75" customHeight="1" x14ac:dyDescent="0.2">
      <c r="A420" s="38"/>
      <c r="B420" s="38"/>
      <c r="C420" s="8"/>
      <c r="D420" s="8"/>
      <c r="E420" s="8"/>
    </row>
    <row r="421" spans="1:5" ht="12.75" customHeight="1" x14ac:dyDescent="0.2">
      <c r="A421" s="38"/>
      <c r="B421" s="38"/>
      <c r="C421" s="8"/>
      <c r="D421" s="8"/>
      <c r="E421" s="8"/>
    </row>
    <row r="422" spans="1:5" ht="12.75" customHeight="1" x14ac:dyDescent="0.2">
      <c r="A422" s="38"/>
      <c r="B422" s="38"/>
      <c r="C422" s="8"/>
      <c r="D422" s="8"/>
      <c r="E422" s="8"/>
    </row>
    <row r="423" spans="1:5" ht="12.75" customHeight="1" x14ac:dyDescent="0.2">
      <c r="A423" s="38"/>
      <c r="B423" s="38"/>
      <c r="C423" s="8"/>
      <c r="D423" s="8"/>
      <c r="E423" s="8"/>
    </row>
    <row r="424" spans="1:5" ht="12.75" customHeight="1" x14ac:dyDescent="0.2">
      <c r="A424" s="38"/>
      <c r="B424" s="38"/>
      <c r="C424" s="8"/>
      <c r="D424" s="8"/>
      <c r="E424" s="8"/>
    </row>
    <row r="425" spans="1:5" ht="12.75" customHeight="1" x14ac:dyDescent="0.2">
      <c r="A425" s="38"/>
      <c r="B425" s="38"/>
      <c r="C425" s="8"/>
      <c r="D425" s="8"/>
      <c r="E425" s="8"/>
    </row>
    <row r="426" spans="1:5" ht="12.75" customHeight="1" x14ac:dyDescent="0.2">
      <c r="A426" s="38"/>
      <c r="B426" s="38"/>
      <c r="C426" s="8"/>
      <c r="D426" s="8"/>
      <c r="E426" s="8"/>
    </row>
    <row r="427" spans="1:5" ht="12.75" customHeight="1" x14ac:dyDescent="0.2">
      <c r="A427" s="38"/>
      <c r="B427" s="38"/>
      <c r="C427" s="8"/>
      <c r="D427" s="8"/>
      <c r="E427" s="8"/>
    </row>
    <row r="428" spans="1:5" ht="12.75" customHeight="1" x14ac:dyDescent="0.2">
      <c r="A428" s="38"/>
      <c r="B428" s="38"/>
      <c r="C428" s="8"/>
      <c r="D428" s="8"/>
      <c r="E428" s="8"/>
    </row>
    <row r="429" spans="1:5" ht="12.75" customHeight="1" x14ac:dyDescent="0.2">
      <c r="A429" s="38"/>
      <c r="B429" s="38"/>
      <c r="C429" s="8"/>
      <c r="D429" s="8"/>
      <c r="E429" s="8"/>
    </row>
    <row r="430" spans="1:5" ht="12.75" customHeight="1" x14ac:dyDescent="0.2">
      <c r="A430" s="38"/>
      <c r="B430" s="38"/>
      <c r="C430" s="8"/>
      <c r="D430" s="8"/>
      <c r="E430" s="8"/>
    </row>
    <row r="431" spans="1:5" ht="12.75" customHeight="1" x14ac:dyDescent="0.2">
      <c r="A431" s="38"/>
      <c r="B431" s="38"/>
      <c r="C431" s="8"/>
      <c r="D431" s="8"/>
      <c r="E431" s="8"/>
    </row>
    <row r="432" spans="1:5" ht="12.75" customHeight="1" x14ac:dyDescent="0.2">
      <c r="A432" s="38"/>
      <c r="B432" s="38"/>
      <c r="C432" s="8"/>
      <c r="D432" s="8"/>
      <c r="E432" s="8"/>
    </row>
    <row r="433" spans="1:5" ht="12.75" customHeight="1" x14ac:dyDescent="0.2">
      <c r="A433" s="38"/>
      <c r="B433" s="38"/>
      <c r="C433" s="8"/>
      <c r="D433" s="8"/>
      <c r="E433" s="8"/>
    </row>
    <row r="434" spans="1:5" ht="12.75" customHeight="1" x14ac:dyDescent="0.2">
      <c r="A434" s="38"/>
      <c r="B434" s="38"/>
      <c r="C434" s="8"/>
      <c r="D434" s="8"/>
      <c r="E434" s="8"/>
    </row>
    <row r="435" spans="1:5" ht="12.75" customHeight="1" x14ac:dyDescent="0.2">
      <c r="A435" s="38"/>
      <c r="B435" s="38"/>
      <c r="C435" s="8"/>
      <c r="D435" s="8"/>
      <c r="E435" s="8"/>
    </row>
    <row r="436" spans="1:5" ht="12.75" customHeight="1" x14ac:dyDescent="0.2">
      <c r="A436" s="38"/>
      <c r="B436" s="38"/>
      <c r="C436" s="8"/>
      <c r="D436" s="8"/>
      <c r="E436" s="8"/>
    </row>
    <row r="437" spans="1:5" ht="12.75" customHeight="1" x14ac:dyDescent="0.2">
      <c r="A437" s="38"/>
      <c r="B437" s="38"/>
      <c r="C437" s="8"/>
      <c r="D437" s="8"/>
      <c r="E437" s="8"/>
    </row>
    <row r="438" spans="1:5" ht="12.75" customHeight="1" x14ac:dyDescent="0.2">
      <c r="A438" s="38"/>
      <c r="B438" s="38"/>
      <c r="C438" s="8"/>
      <c r="D438" s="8"/>
      <c r="E438" s="8"/>
    </row>
    <row r="439" spans="1:5" ht="12.75" customHeight="1" x14ac:dyDescent="0.2">
      <c r="A439" s="38"/>
      <c r="B439" s="38"/>
      <c r="C439" s="8"/>
      <c r="D439" s="8"/>
      <c r="E439" s="8"/>
    </row>
    <row r="440" spans="1:5" ht="12.75" customHeight="1" x14ac:dyDescent="0.2">
      <c r="A440" s="38"/>
      <c r="B440" s="38"/>
      <c r="C440" s="8"/>
      <c r="D440" s="8"/>
      <c r="E440" s="8"/>
    </row>
    <row r="441" spans="1:5" ht="12.75" customHeight="1" x14ac:dyDescent="0.2">
      <c r="A441" s="38"/>
      <c r="B441" s="38"/>
      <c r="C441" s="8"/>
      <c r="D441" s="8"/>
      <c r="E441" s="8"/>
    </row>
    <row r="442" spans="1:5" ht="12.75" customHeight="1" x14ac:dyDescent="0.2">
      <c r="A442" s="38"/>
      <c r="B442" s="38"/>
      <c r="C442" s="8"/>
      <c r="D442" s="8"/>
      <c r="E442" s="8"/>
    </row>
    <row r="443" spans="1:5" ht="12.75" customHeight="1" x14ac:dyDescent="0.2">
      <c r="A443" s="38"/>
      <c r="B443" s="38"/>
      <c r="C443" s="8"/>
      <c r="D443" s="8"/>
      <c r="E443" s="8"/>
    </row>
    <row r="444" spans="1:5" ht="12.75" customHeight="1" x14ac:dyDescent="0.2">
      <c r="A444" s="38"/>
      <c r="B444" s="38"/>
      <c r="C444" s="8"/>
      <c r="D444" s="8"/>
      <c r="E444" s="8"/>
    </row>
    <row r="445" spans="1:5" ht="12.75" customHeight="1" x14ac:dyDescent="0.2">
      <c r="A445" s="38"/>
      <c r="B445" s="38"/>
      <c r="C445" s="8"/>
      <c r="D445" s="8"/>
      <c r="E445" s="8"/>
    </row>
    <row r="446" spans="1:5" ht="12.75" customHeight="1" x14ac:dyDescent="0.2">
      <c r="A446" s="38"/>
      <c r="B446" s="38"/>
      <c r="C446" s="8"/>
      <c r="D446" s="8"/>
      <c r="E446" s="8"/>
    </row>
    <row r="447" spans="1:5" ht="12.75" customHeight="1" x14ac:dyDescent="0.2">
      <c r="A447" s="38"/>
      <c r="B447" s="38"/>
      <c r="C447" s="8"/>
      <c r="D447" s="8"/>
      <c r="E447" s="8"/>
    </row>
    <row r="448" spans="1:5" ht="12.75" customHeight="1" x14ac:dyDescent="0.2">
      <c r="A448" s="38"/>
      <c r="B448" s="38"/>
      <c r="C448" s="8"/>
      <c r="D448" s="8"/>
      <c r="E448" s="8"/>
    </row>
    <row r="449" spans="1:5" ht="12.75" customHeight="1" x14ac:dyDescent="0.2">
      <c r="A449" s="38"/>
      <c r="B449" s="38"/>
      <c r="C449" s="8"/>
      <c r="D449" s="8"/>
      <c r="E449" s="8"/>
    </row>
    <row r="450" spans="1:5" ht="12.75" customHeight="1" x14ac:dyDescent="0.2">
      <c r="A450" s="38"/>
      <c r="B450" s="38"/>
      <c r="C450" s="8"/>
      <c r="D450" s="8"/>
      <c r="E450" s="8"/>
    </row>
    <row r="451" spans="1:5" ht="12.75" customHeight="1" x14ac:dyDescent="0.2">
      <c r="A451" s="38"/>
      <c r="B451" s="38"/>
      <c r="C451" s="8"/>
      <c r="D451" s="8"/>
      <c r="E451" s="8"/>
    </row>
    <row r="452" spans="1:5" ht="12.75" customHeight="1" x14ac:dyDescent="0.2">
      <c r="A452" s="38"/>
      <c r="B452" s="38"/>
      <c r="C452" s="8"/>
      <c r="D452" s="8"/>
      <c r="E452" s="8"/>
    </row>
    <row r="453" spans="1:5" ht="12.75" customHeight="1" x14ac:dyDescent="0.2">
      <c r="A453" s="38"/>
      <c r="B453" s="38"/>
      <c r="C453" s="8"/>
      <c r="D453" s="8"/>
      <c r="E453" s="8"/>
    </row>
    <row r="454" spans="1:5" ht="12.75" customHeight="1" x14ac:dyDescent="0.2">
      <c r="A454" s="38"/>
      <c r="B454" s="38"/>
      <c r="C454" s="8"/>
      <c r="D454" s="8"/>
      <c r="E454" s="8"/>
    </row>
    <row r="455" spans="1:5" ht="12.75" customHeight="1" x14ac:dyDescent="0.2">
      <c r="A455" s="38"/>
      <c r="B455" s="38"/>
      <c r="C455" s="8"/>
      <c r="D455" s="8"/>
      <c r="E455" s="8"/>
    </row>
    <row r="456" spans="1:5" ht="12.75" customHeight="1" x14ac:dyDescent="0.2">
      <c r="A456" s="38"/>
      <c r="B456" s="38"/>
      <c r="C456" s="8"/>
      <c r="D456" s="8"/>
      <c r="E456" s="8"/>
    </row>
    <row r="457" spans="1:5" ht="12.75" customHeight="1" x14ac:dyDescent="0.2">
      <c r="A457" s="38"/>
      <c r="B457" s="38"/>
      <c r="C457" s="8"/>
      <c r="D457" s="8"/>
      <c r="E457" s="8"/>
    </row>
    <row r="458" spans="1:5" ht="12.75" customHeight="1" x14ac:dyDescent="0.2">
      <c r="A458" s="38"/>
      <c r="B458" s="38"/>
      <c r="C458" s="8"/>
      <c r="D458" s="8"/>
      <c r="E458" s="8"/>
    </row>
    <row r="459" spans="1:5" ht="12.75" customHeight="1" x14ac:dyDescent="0.2">
      <c r="A459" s="38"/>
      <c r="B459" s="38"/>
      <c r="C459" s="8"/>
      <c r="D459" s="8"/>
      <c r="E459" s="8"/>
    </row>
    <row r="460" spans="1:5" ht="12.75" customHeight="1" x14ac:dyDescent="0.2">
      <c r="A460" s="38"/>
      <c r="B460" s="38"/>
      <c r="C460" s="8"/>
      <c r="D460" s="8"/>
      <c r="E460" s="8"/>
    </row>
    <row r="461" spans="1:5" ht="12.75" customHeight="1" x14ac:dyDescent="0.2">
      <c r="A461" s="38"/>
      <c r="B461" s="38"/>
      <c r="C461" s="8"/>
      <c r="D461" s="8"/>
      <c r="E461" s="8"/>
    </row>
    <row r="462" spans="1:5" ht="12.75" customHeight="1" x14ac:dyDescent="0.2">
      <c r="A462" s="38"/>
      <c r="B462" s="38"/>
      <c r="C462" s="8"/>
      <c r="D462" s="8"/>
      <c r="E462" s="8"/>
    </row>
    <row r="463" spans="1:5" ht="12.75" customHeight="1" x14ac:dyDescent="0.2">
      <c r="A463" s="38"/>
      <c r="B463" s="38"/>
      <c r="C463" s="8"/>
      <c r="D463" s="8"/>
      <c r="E463" s="8"/>
    </row>
    <row r="464" spans="1:5" ht="12.75" customHeight="1" x14ac:dyDescent="0.2">
      <c r="A464" s="38"/>
      <c r="B464" s="38"/>
      <c r="C464" s="8"/>
      <c r="D464" s="8"/>
      <c r="E464" s="8"/>
    </row>
    <row r="465" spans="1:5" ht="12.75" customHeight="1" x14ac:dyDescent="0.2">
      <c r="A465" s="38"/>
      <c r="B465" s="38"/>
      <c r="C465" s="8"/>
      <c r="D465" s="8"/>
      <c r="E465" s="8"/>
    </row>
    <row r="466" spans="1:5" ht="12.75" customHeight="1" x14ac:dyDescent="0.2">
      <c r="A466" s="38"/>
      <c r="B466" s="38"/>
      <c r="C466" s="8"/>
      <c r="D466" s="8"/>
      <c r="E466" s="8"/>
    </row>
    <row r="467" spans="1:5" ht="12.75" customHeight="1" x14ac:dyDescent="0.2">
      <c r="A467" s="38"/>
      <c r="B467" s="38"/>
      <c r="C467" s="8"/>
      <c r="D467" s="8"/>
      <c r="E467" s="8"/>
    </row>
    <row r="468" spans="1:5" ht="12.75" customHeight="1" x14ac:dyDescent="0.2">
      <c r="A468" s="38"/>
      <c r="B468" s="38"/>
      <c r="C468" s="8"/>
      <c r="D468" s="8"/>
      <c r="E468" s="8"/>
    </row>
    <row r="469" spans="1:5" ht="12.75" customHeight="1" x14ac:dyDescent="0.2">
      <c r="A469" s="38"/>
      <c r="B469" s="38"/>
      <c r="C469" s="8"/>
      <c r="D469" s="8"/>
      <c r="E469" s="8"/>
    </row>
    <row r="470" spans="1:5" ht="12.75" customHeight="1" x14ac:dyDescent="0.2">
      <c r="A470" s="38"/>
      <c r="B470" s="38"/>
      <c r="C470" s="8"/>
      <c r="D470" s="8"/>
      <c r="E470" s="8"/>
    </row>
    <row r="471" spans="1:5" ht="12.75" customHeight="1" x14ac:dyDescent="0.2">
      <c r="A471" s="38"/>
      <c r="B471" s="38"/>
      <c r="C471" s="8"/>
      <c r="D471" s="8"/>
      <c r="E471" s="8"/>
    </row>
    <row r="472" spans="1:5" ht="12.75" customHeight="1" x14ac:dyDescent="0.2">
      <c r="A472" s="38"/>
      <c r="B472" s="38"/>
      <c r="C472" s="8"/>
      <c r="D472" s="8"/>
      <c r="E472" s="8"/>
    </row>
    <row r="473" spans="1:5" ht="12.75" customHeight="1" x14ac:dyDescent="0.2">
      <c r="A473" s="38"/>
      <c r="B473" s="38"/>
      <c r="C473" s="8"/>
      <c r="D473" s="8"/>
      <c r="E473" s="8"/>
    </row>
    <row r="474" spans="1:5" ht="12.75" customHeight="1" x14ac:dyDescent="0.2">
      <c r="A474" s="38"/>
      <c r="B474" s="38"/>
      <c r="C474" s="8"/>
      <c r="D474" s="8"/>
      <c r="E474" s="8"/>
    </row>
    <row r="475" spans="1:5" ht="12.75" customHeight="1" x14ac:dyDescent="0.2">
      <c r="A475" s="38"/>
      <c r="B475" s="38"/>
      <c r="C475" s="8"/>
      <c r="D475" s="8"/>
      <c r="E475" s="8"/>
    </row>
    <row r="476" spans="1:5" ht="12.75" customHeight="1" x14ac:dyDescent="0.2">
      <c r="A476" s="38"/>
      <c r="B476" s="38"/>
      <c r="C476" s="8"/>
      <c r="D476" s="8"/>
      <c r="E476" s="8"/>
    </row>
    <row r="477" spans="1:5" ht="12.75" customHeight="1" x14ac:dyDescent="0.2">
      <c r="A477" s="38"/>
      <c r="B477" s="38"/>
      <c r="C477" s="8"/>
      <c r="D477" s="8"/>
      <c r="E477" s="8"/>
    </row>
    <row r="478" spans="1:5" ht="12.75" customHeight="1" x14ac:dyDescent="0.2">
      <c r="A478" s="38"/>
      <c r="B478" s="38"/>
      <c r="C478" s="8"/>
      <c r="D478" s="8"/>
      <c r="E478" s="8"/>
    </row>
    <row r="479" spans="1:5" ht="12.75" customHeight="1" x14ac:dyDescent="0.2">
      <c r="A479" s="38"/>
      <c r="B479" s="38"/>
      <c r="C479" s="8"/>
      <c r="D479" s="8"/>
      <c r="E479" s="8"/>
    </row>
    <row r="480" spans="1:5" ht="12.75" customHeight="1" x14ac:dyDescent="0.2">
      <c r="A480" s="38"/>
      <c r="B480" s="38"/>
      <c r="C480" s="8"/>
      <c r="D480" s="8"/>
      <c r="E480" s="8"/>
    </row>
    <row r="481" spans="1:5" ht="12.75" customHeight="1" x14ac:dyDescent="0.2">
      <c r="A481" s="38"/>
      <c r="B481" s="38"/>
      <c r="C481" s="8"/>
      <c r="D481" s="8"/>
      <c r="E481" s="8"/>
    </row>
    <row r="482" spans="1:5" ht="12.75" customHeight="1" x14ac:dyDescent="0.2">
      <c r="A482" s="38"/>
      <c r="B482" s="38"/>
      <c r="C482" s="8"/>
      <c r="D482" s="8"/>
      <c r="E482" s="8"/>
    </row>
    <row r="483" spans="1:5" ht="12.75" customHeight="1" x14ac:dyDescent="0.2">
      <c r="A483" s="38"/>
      <c r="B483" s="38"/>
      <c r="C483" s="8"/>
      <c r="D483" s="8"/>
      <c r="E483" s="8"/>
    </row>
    <row r="484" spans="1:5" ht="12.75" customHeight="1" x14ac:dyDescent="0.2">
      <c r="A484" s="38"/>
      <c r="B484" s="38"/>
      <c r="C484" s="8"/>
      <c r="D484" s="8"/>
      <c r="E484" s="8"/>
    </row>
    <row r="485" spans="1:5" ht="12.75" customHeight="1" x14ac:dyDescent="0.2">
      <c r="A485" s="38"/>
      <c r="B485" s="38"/>
      <c r="C485" s="8"/>
      <c r="D485" s="8"/>
      <c r="E485" s="8"/>
    </row>
    <row r="486" spans="1:5" ht="12.75" customHeight="1" x14ac:dyDescent="0.2">
      <c r="A486" s="38"/>
      <c r="B486" s="38"/>
      <c r="C486" s="8"/>
      <c r="D486" s="8"/>
      <c r="E486" s="8"/>
    </row>
    <row r="487" spans="1:5" ht="12.75" customHeight="1" x14ac:dyDescent="0.2">
      <c r="A487" s="38"/>
      <c r="B487" s="38"/>
      <c r="C487" s="8"/>
      <c r="D487" s="8"/>
      <c r="E487" s="8"/>
    </row>
    <row r="488" spans="1:5" ht="12.75" customHeight="1" x14ac:dyDescent="0.2">
      <c r="A488" s="38"/>
      <c r="B488" s="38"/>
      <c r="C488" s="8"/>
      <c r="D488" s="8"/>
      <c r="E488" s="8"/>
    </row>
    <row r="489" spans="1:5" ht="12.75" customHeight="1" x14ac:dyDescent="0.2">
      <c r="A489" s="38"/>
      <c r="B489" s="38"/>
      <c r="C489" s="8"/>
      <c r="D489" s="8"/>
      <c r="E489" s="8"/>
    </row>
    <row r="490" spans="1:5" ht="12.75" customHeight="1" x14ac:dyDescent="0.2">
      <c r="A490" s="38"/>
      <c r="B490" s="38"/>
      <c r="C490" s="8"/>
      <c r="D490" s="8"/>
      <c r="E490" s="8"/>
    </row>
    <row r="491" spans="1:5" ht="12.75" customHeight="1" x14ac:dyDescent="0.2">
      <c r="A491" s="38"/>
      <c r="B491" s="38"/>
      <c r="C491" s="8"/>
      <c r="D491" s="8"/>
      <c r="E491" s="8"/>
    </row>
    <row r="492" spans="1:5" ht="12.75" customHeight="1" x14ac:dyDescent="0.2">
      <c r="A492" s="38"/>
      <c r="B492" s="38"/>
      <c r="C492" s="8"/>
      <c r="D492" s="8"/>
      <c r="E492" s="8"/>
    </row>
    <row r="493" spans="1:5" ht="12.75" customHeight="1" x14ac:dyDescent="0.2">
      <c r="A493" s="38"/>
      <c r="B493" s="38"/>
      <c r="C493" s="8"/>
      <c r="D493" s="8"/>
      <c r="E493" s="8"/>
    </row>
    <row r="494" spans="1:5" ht="12.75" customHeight="1" x14ac:dyDescent="0.2">
      <c r="A494" s="38"/>
      <c r="B494" s="38"/>
      <c r="C494" s="8"/>
      <c r="D494" s="8"/>
      <c r="E494" s="8"/>
    </row>
    <row r="495" spans="1:5" ht="12.75" customHeight="1" x14ac:dyDescent="0.2">
      <c r="A495" s="38"/>
      <c r="B495" s="38"/>
      <c r="C495" s="8"/>
      <c r="D495" s="8"/>
      <c r="E495" s="8"/>
    </row>
    <row r="496" spans="1:5" ht="12.75" customHeight="1" x14ac:dyDescent="0.2">
      <c r="A496" s="38"/>
      <c r="B496" s="38"/>
      <c r="C496" s="8"/>
      <c r="D496" s="8"/>
      <c r="E496" s="8"/>
    </row>
    <row r="497" spans="1:5" ht="12.75" customHeight="1" x14ac:dyDescent="0.2">
      <c r="A497" s="38"/>
      <c r="B497" s="38"/>
      <c r="C497" s="8"/>
      <c r="D497" s="8"/>
      <c r="E497" s="8"/>
    </row>
    <row r="498" spans="1:5" ht="12.75" customHeight="1" x14ac:dyDescent="0.2">
      <c r="A498" s="38"/>
      <c r="B498" s="38"/>
      <c r="C498" s="8"/>
      <c r="D498" s="8"/>
      <c r="E498" s="8"/>
    </row>
    <row r="499" spans="1:5" ht="12.75" customHeight="1" x14ac:dyDescent="0.2">
      <c r="A499" s="38"/>
      <c r="B499" s="38"/>
      <c r="C499" s="8"/>
      <c r="D499" s="8"/>
      <c r="E499" s="8"/>
    </row>
    <row r="500" spans="1:5" ht="12.75" customHeight="1" x14ac:dyDescent="0.2">
      <c r="A500" s="38"/>
      <c r="B500" s="38"/>
      <c r="C500" s="8"/>
      <c r="D500" s="8"/>
      <c r="E500" s="8"/>
    </row>
    <row r="501" spans="1:5" ht="12.75" customHeight="1" x14ac:dyDescent="0.2">
      <c r="A501" s="38"/>
      <c r="B501" s="38"/>
      <c r="C501" s="8"/>
      <c r="D501" s="8"/>
      <c r="E501" s="8"/>
    </row>
    <row r="502" spans="1:5" ht="12.75" customHeight="1" x14ac:dyDescent="0.2">
      <c r="A502" s="38"/>
      <c r="B502" s="38"/>
      <c r="C502" s="8"/>
      <c r="D502" s="8"/>
      <c r="E502" s="8"/>
    </row>
    <row r="503" spans="1:5" ht="12.75" customHeight="1" x14ac:dyDescent="0.2">
      <c r="A503" s="38"/>
      <c r="B503" s="38"/>
      <c r="C503" s="8"/>
      <c r="D503" s="8"/>
      <c r="E503" s="8"/>
    </row>
    <row r="504" spans="1:5" ht="12.75" customHeight="1" x14ac:dyDescent="0.2">
      <c r="A504" s="38"/>
      <c r="B504" s="38"/>
      <c r="C504" s="8"/>
      <c r="D504" s="8"/>
      <c r="E504" s="8"/>
    </row>
    <row r="505" spans="1:5" ht="12.75" customHeight="1" x14ac:dyDescent="0.2">
      <c r="A505" s="38"/>
      <c r="B505" s="38"/>
      <c r="C505" s="8"/>
      <c r="D505" s="8"/>
      <c r="E505" s="8"/>
    </row>
    <row r="506" spans="1:5" ht="12.75" customHeight="1" x14ac:dyDescent="0.2">
      <c r="A506" s="38"/>
      <c r="B506" s="38"/>
      <c r="C506" s="8"/>
      <c r="D506" s="8"/>
      <c r="E506" s="8"/>
    </row>
    <row r="507" spans="1:5" ht="12.75" customHeight="1" x14ac:dyDescent="0.2">
      <c r="A507" s="38"/>
      <c r="B507" s="38"/>
      <c r="C507" s="8"/>
      <c r="D507" s="8"/>
      <c r="E507" s="8"/>
    </row>
    <row r="508" spans="1:5" ht="12.75" customHeight="1" x14ac:dyDescent="0.2">
      <c r="A508" s="38"/>
      <c r="B508" s="38"/>
      <c r="C508" s="8"/>
      <c r="D508" s="8"/>
      <c r="E508" s="8"/>
    </row>
    <row r="509" spans="1:5" ht="12.75" customHeight="1" x14ac:dyDescent="0.2">
      <c r="A509" s="38"/>
      <c r="B509" s="38"/>
      <c r="C509" s="8"/>
      <c r="D509" s="8"/>
      <c r="E509" s="8"/>
    </row>
    <row r="510" spans="1:5" ht="12.75" customHeight="1" x14ac:dyDescent="0.2">
      <c r="A510" s="38"/>
      <c r="B510" s="38"/>
      <c r="C510" s="8"/>
      <c r="D510" s="8"/>
      <c r="E510" s="8"/>
    </row>
    <row r="511" spans="1:5" ht="12.75" customHeight="1" x14ac:dyDescent="0.2">
      <c r="A511" s="38"/>
      <c r="B511" s="38"/>
      <c r="C511" s="8"/>
      <c r="D511" s="8"/>
      <c r="E511" s="8"/>
    </row>
    <row r="512" spans="1:5" ht="12.75" customHeight="1" x14ac:dyDescent="0.2">
      <c r="A512" s="38"/>
      <c r="B512" s="38"/>
      <c r="C512" s="8"/>
      <c r="D512" s="8"/>
      <c r="E512" s="8"/>
    </row>
    <row r="513" spans="1:5" ht="12.75" customHeight="1" x14ac:dyDescent="0.2">
      <c r="A513" s="38"/>
      <c r="B513" s="38"/>
      <c r="C513" s="8"/>
      <c r="D513" s="8"/>
      <c r="E513" s="8"/>
    </row>
    <row r="514" spans="1:5" ht="12.75" customHeight="1" x14ac:dyDescent="0.2">
      <c r="A514" s="38"/>
      <c r="B514" s="38"/>
      <c r="C514" s="8"/>
      <c r="D514" s="8"/>
      <c r="E514" s="8"/>
    </row>
    <row r="515" spans="1:5" ht="12.75" customHeight="1" x14ac:dyDescent="0.2">
      <c r="A515" s="38"/>
      <c r="B515" s="38"/>
      <c r="C515" s="8"/>
      <c r="D515" s="8"/>
      <c r="E515" s="8"/>
    </row>
    <row r="516" spans="1:5" ht="12.75" customHeight="1" x14ac:dyDescent="0.2">
      <c r="A516" s="38"/>
      <c r="B516" s="38"/>
      <c r="C516" s="8"/>
      <c r="D516" s="8"/>
      <c r="E516" s="8"/>
    </row>
    <row r="517" spans="1:5" ht="12.75" customHeight="1" x14ac:dyDescent="0.2">
      <c r="A517" s="38"/>
      <c r="B517" s="38"/>
      <c r="C517" s="8"/>
      <c r="D517" s="8"/>
      <c r="E517" s="8"/>
    </row>
    <row r="518" spans="1:5" ht="12.75" customHeight="1" x14ac:dyDescent="0.2">
      <c r="A518" s="38"/>
      <c r="B518" s="38"/>
      <c r="C518" s="8"/>
      <c r="D518" s="8"/>
      <c r="E518" s="8"/>
    </row>
    <row r="519" spans="1:5" ht="12.75" customHeight="1" x14ac:dyDescent="0.2">
      <c r="A519" s="38"/>
      <c r="B519" s="38"/>
      <c r="C519" s="8"/>
      <c r="D519" s="8"/>
      <c r="E519" s="8"/>
    </row>
    <row r="520" spans="1:5" ht="12.75" customHeight="1" x14ac:dyDescent="0.2">
      <c r="A520" s="38"/>
      <c r="B520" s="38"/>
      <c r="C520" s="8"/>
      <c r="D520" s="8"/>
      <c r="E520" s="8"/>
    </row>
    <row r="521" spans="1:5" ht="12.75" customHeight="1" x14ac:dyDescent="0.2">
      <c r="A521" s="38"/>
      <c r="B521" s="38"/>
      <c r="C521" s="8"/>
      <c r="D521" s="8"/>
      <c r="E521" s="8"/>
    </row>
    <row r="522" spans="1:5" ht="12.75" customHeight="1" x14ac:dyDescent="0.2">
      <c r="A522" s="38"/>
      <c r="B522" s="38"/>
      <c r="C522" s="8"/>
      <c r="D522" s="8"/>
      <c r="E522" s="8"/>
    </row>
    <row r="523" spans="1:5" ht="12.75" customHeight="1" x14ac:dyDescent="0.2">
      <c r="A523" s="38"/>
      <c r="B523" s="38"/>
      <c r="C523" s="8"/>
      <c r="D523" s="8"/>
      <c r="E523" s="8"/>
    </row>
    <row r="524" spans="1:5" ht="12.75" customHeight="1" x14ac:dyDescent="0.2">
      <c r="A524" s="38"/>
      <c r="B524" s="38"/>
      <c r="C524" s="8"/>
      <c r="D524" s="8"/>
      <c r="E524" s="8"/>
    </row>
    <row r="525" spans="1:5" ht="12.75" customHeight="1" x14ac:dyDescent="0.2">
      <c r="A525" s="38"/>
      <c r="B525" s="38"/>
      <c r="C525" s="8"/>
      <c r="D525" s="8"/>
      <c r="E525" s="8"/>
    </row>
    <row r="526" spans="1:5" ht="12.75" customHeight="1" x14ac:dyDescent="0.2">
      <c r="A526" s="38"/>
      <c r="B526" s="38"/>
      <c r="C526" s="8"/>
      <c r="D526" s="8"/>
      <c r="E526" s="8"/>
    </row>
    <row r="527" spans="1:5" ht="12.75" customHeight="1" x14ac:dyDescent="0.2">
      <c r="A527" s="38"/>
      <c r="B527" s="38"/>
      <c r="C527" s="8"/>
      <c r="D527" s="8"/>
      <c r="E527" s="8"/>
    </row>
    <row r="528" spans="1:5" ht="12.75" customHeight="1" x14ac:dyDescent="0.2">
      <c r="A528" s="38"/>
      <c r="B528" s="38"/>
      <c r="C528" s="8"/>
      <c r="D528" s="8"/>
      <c r="E528" s="8"/>
    </row>
    <row r="529" spans="1:5" ht="12.75" customHeight="1" x14ac:dyDescent="0.2">
      <c r="A529" s="38"/>
      <c r="B529" s="38"/>
      <c r="C529" s="8"/>
      <c r="D529" s="8"/>
      <c r="E529" s="8"/>
    </row>
    <row r="530" spans="1:5" ht="12.75" customHeight="1" x14ac:dyDescent="0.2">
      <c r="A530" s="38"/>
      <c r="B530" s="38"/>
      <c r="C530" s="8"/>
      <c r="D530" s="8"/>
      <c r="E530" s="8"/>
    </row>
    <row r="531" spans="1:5" ht="12.75" customHeight="1" x14ac:dyDescent="0.2">
      <c r="A531" s="38"/>
      <c r="B531" s="38"/>
      <c r="C531" s="8"/>
      <c r="D531" s="8"/>
      <c r="E531" s="8"/>
    </row>
    <row r="532" spans="1:5" ht="12.75" customHeight="1" x14ac:dyDescent="0.2">
      <c r="A532" s="38"/>
      <c r="B532" s="38"/>
      <c r="C532" s="8"/>
      <c r="D532" s="8"/>
      <c r="E532" s="8"/>
    </row>
    <row r="533" spans="1:5" ht="12.75" customHeight="1" x14ac:dyDescent="0.2">
      <c r="A533" s="38"/>
      <c r="B533" s="38"/>
      <c r="C533" s="8"/>
      <c r="D533" s="8"/>
      <c r="E533" s="8"/>
    </row>
    <row r="534" spans="1:5" ht="12.75" customHeight="1" x14ac:dyDescent="0.2">
      <c r="A534" s="38"/>
      <c r="B534" s="38"/>
      <c r="C534" s="8"/>
      <c r="D534" s="8"/>
      <c r="E534" s="8"/>
    </row>
    <row r="535" spans="1:5" ht="12.75" customHeight="1" x14ac:dyDescent="0.2">
      <c r="A535" s="38"/>
      <c r="B535" s="38"/>
      <c r="C535" s="8"/>
      <c r="D535" s="8"/>
      <c r="E535" s="8"/>
    </row>
    <row r="536" spans="1:5" ht="12.75" customHeight="1" x14ac:dyDescent="0.2">
      <c r="A536" s="38"/>
      <c r="B536" s="38"/>
      <c r="C536" s="8"/>
      <c r="D536" s="8"/>
      <c r="E536" s="8"/>
    </row>
    <row r="537" spans="1:5" ht="12.75" customHeight="1" x14ac:dyDescent="0.2">
      <c r="A537" s="38"/>
      <c r="B537" s="38"/>
      <c r="C537" s="8"/>
      <c r="D537" s="8"/>
      <c r="E537" s="8"/>
    </row>
    <row r="538" spans="1:5" ht="12.75" customHeight="1" x14ac:dyDescent="0.2">
      <c r="A538" s="38"/>
      <c r="B538" s="38"/>
      <c r="C538" s="8"/>
      <c r="D538" s="8"/>
      <c r="E538" s="8"/>
    </row>
    <row r="539" spans="1:5" ht="12.75" customHeight="1" x14ac:dyDescent="0.2">
      <c r="A539" s="38"/>
      <c r="B539" s="38"/>
      <c r="C539" s="8"/>
      <c r="D539" s="8"/>
      <c r="E539" s="8"/>
    </row>
    <row r="540" spans="1:5" ht="12.75" customHeight="1" x14ac:dyDescent="0.2">
      <c r="A540" s="38"/>
      <c r="B540" s="38"/>
      <c r="C540" s="8"/>
      <c r="D540" s="8"/>
      <c r="E540" s="8"/>
    </row>
    <row r="541" spans="1:5" ht="12.75" customHeight="1" x14ac:dyDescent="0.2">
      <c r="A541" s="38"/>
      <c r="B541" s="38"/>
      <c r="C541" s="8"/>
      <c r="D541" s="8"/>
      <c r="E541" s="8"/>
    </row>
    <row r="542" spans="1:5" ht="12.75" customHeight="1" x14ac:dyDescent="0.2">
      <c r="A542" s="38"/>
      <c r="B542" s="38"/>
      <c r="C542" s="8"/>
      <c r="D542" s="8"/>
      <c r="E542" s="8"/>
    </row>
    <row r="543" spans="1:5" ht="12.75" customHeight="1" x14ac:dyDescent="0.2">
      <c r="A543" s="38"/>
      <c r="B543" s="38"/>
      <c r="C543" s="8"/>
      <c r="D543" s="8"/>
      <c r="E543" s="8"/>
    </row>
    <row r="544" spans="1:5" ht="12.75" customHeight="1" x14ac:dyDescent="0.2">
      <c r="A544" s="38"/>
      <c r="B544" s="38"/>
      <c r="C544" s="8"/>
      <c r="D544" s="8"/>
      <c r="E544" s="8"/>
    </row>
    <row r="545" spans="1:5" ht="12.75" customHeight="1" x14ac:dyDescent="0.2">
      <c r="A545" s="38"/>
      <c r="B545" s="38"/>
      <c r="C545" s="8"/>
      <c r="D545" s="8"/>
      <c r="E545" s="8"/>
    </row>
    <row r="546" spans="1:5" ht="12.75" customHeight="1" x14ac:dyDescent="0.2">
      <c r="A546" s="38"/>
      <c r="B546" s="38"/>
      <c r="C546" s="8"/>
      <c r="D546" s="8"/>
      <c r="E546" s="8"/>
    </row>
    <row r="547" spans="1:5" ht="12.75" customHeight="1" x14ac:dyDescent="0.2">
      <c r="A547" s="38"/>
      <c r="B547" s="38"/>
      <c r="C547" s="8"/>
      <c r="D547" s="8"/>
      <c r="E547" s="8"/>
    </row>
    <row r="548" spans="1:5" ht="12.75" customHeight="1" x14ac:dyDescent="0.2">
      <c r="A548" s="38"/>
      <c r="B548" s="38"/>
      <c r="C548" s="8"/>
      <c r="D548" s="8"/>
      <c r="E548" s="8"/>
    </row>
    <row r="549" spans="1:5" ht="12.75" customHeight="1" x14ac:dyDescent="0.2">
      <c r="A549" s="38"/>
      <c r="B549" s="38"/>
      <c r="C549" s="8"/>
      <c r="D549" s="8"/>
      <c r="E549" s="8"/>
    </row>
    <row r="550" spans="1:5" ht="12.75" customHeight="1" x14ac:dyDescent="0.2">
      <c r="A550" s="38"/>
      <c r="B550" s="38"/>
      <c r="C550" s="8"/>
      <c r="D550" s="8"/>
      <c r="E550" s="8"/>
    </row>
    <row r="551" spans="1:5" ht="12.75" customHeight="1" x14ac:dyDescent="0.2">
      <c r="A551" s="38"/>
      <c r="B551" s="38"/>
      <c r="C551" s="8"/>
      <c r="D551" s="8"/>
      <c r="E551" s="8"/>
    </row>
    <row r="552" spans="1:5" ht="12.75" customHeight="1" x14ac:dyDescent="0.2">
      <c r="A552" s="38"/>
      <c r="B552" s="38"/>
      <c r="C552" s="8"/>
      <c r="D552" s="8"/>
      <c r="E552" s="8"/>
    </row>
    <row r="553" spans="1:5" ht="12.75" customHeight="1" x14ac:dyDescent="0.2">
      <c r="A553" s="38"/>
      <c r="B553" s="38"/>
      <c r="C553" s="8"/>
      <c r="D553" s="8"/>
      <c r="E553" s="8"/>
    </row>
    <row r="554" spans="1:5" ht="12.75" customHeight="1" x14ac:dyDescent="0.2">
      <c r="A554" s="38"/>
      <c r="B554" s="38"/>
      <c r="C554" s="8"/>
      <c r="D554" s="8"/>
      <c r="E554" s="8"/>
    </row>
    <row r="555" spans="1:5" ht="12.75" customHeight="1" x14ac:dyDescent="0.2">
      <c r="A555" s="38"/>
      <c r="B555" s="38"/>
      <c r="C555" s="8"/>
      <c r="D555" s="8"/>
      <c r="E555" s="8"/>
    </row>
    <row r="556" spans="1:5" ht="12.75" customHeight="1" x14ac:dyDescent="0.2">
      <c r="A556" s="38"/>
      <c r="B556" s="38"/>
      <c r="C556" s="8"/>
      <c r="D556" s="8"/>
      <c r="E556" s="8"/>
    </row>
    <row r="557" spans="1:5" ht="12.75" customHeight="1" x14ac:dyDescent="0.2">
      <c r="A557" s="38"/>
      <c r="B557" s="38"/>
      <c r="C557" s="8"/>
      <c r="D557" s="8"/>
      <c r="E557" s="8"/>
    </row>
    <row r="558" spans="1:5" ht="12.75" customHeight="1" x14ac:dyDescent="0.2">
      <c r="A558" s="38"/>
      <c r="B558" s="38"/>
      <c r="C558" s="8"/>
      <c r="D558" s="8"/>
      <c r="E558" s="8"/>
    </row>
    <row r="559" spans="1:5" ht="12.75" customHeight="1" x14ac:dyDescent="0.2">
      <c r="A559" s="38"/>
      <c r="B559" s="38"/>
      <c r="C559" s="8"/>
      <c r="D559" s="8"/>
      <c r="E559" s="8"/>
    </row>
    <row r="560" spans="1:5" ht="12.75" customHeight="1" x14ac:dyDescent="0.2">
      <c r="A560" s="38"/>
      <c r="B560" s="38"/>
      <c r="C560" s="8"/>
      <c r="D560" s="8"/>
      <c r="E560" s="8"/>
    </row>
    <row r="561" spans="1:5" ht="12.75" customHeight="1" x14ac:dyDescent="0.2">
      <c r="A561" s="38"/>
      <c r="B561" s="38"/>
      <c r="C561" s="8"/>
      <c r="D561" s="8"/>
      <c r="E561" s="8"/>
    </row>
    <row r="562" spans="1:5" ht="12.75" customHeight="1" x14ac:dyDescent="0.2">
      <c r="A562" s="38"/>
      <c r="B562" s="38"/>
      <c r="C562" s="8"/>
      <c r="D562" s="8"/>
      <c r="E562" s="8"/>
    </row>
    <row r="563" spans="1:5" ht="12.75" customHeight="1" x14ac:dyDescent="0.2">
      <c r="A563" s="38"/>
      <c r="B563" s="38"/>
      <c r="C563" s="8"/>
      <c r="D563" s="8"/>
      <c r="E563" s="8"/>
    </row>
    <row r="564" spans="1:5" ht="12.75" customHeight="1" x14ac:dyDescent="0.2">
      <c r="A564" s="38"/>
      <c r="B564" s="38"/>
      <c r="C564" s="8"/>
      <c r="D564" s="8"/>
      <c r="E564" s="8"/>
    </row>
    <row r="565" spans="1:5" ht="12.75" customHeight="1" x14ac:dyDescent="0.2">
      <c r="A565" s="38"/>
      <c r="B565" s="38"/>
      <c r="C565" s="8"/>
      <c r="D565" s="8"/>
      <c r="E565" s="8"/>
    </row>
    <row r="566" spans="1:5" ht="12.75" customHeight="1" x14ac:dyDescent="0.2">
      <c r="A566" s="38"/>
      <c r="B566" s="38"/>
      <c r="C566" s="8"/>
      <c r="D566" s="8"/>
      <c r="E566" s="8"/>
    </row>
    <row r="567" spans="1:5" ht="12.75" customHeight="1" x14ac:dyDescent="0.2">
      <c r="A567" s="38"/>
      <c r="B567" s="38"/>
      <c r="C567" s="8"/>
      <c r="D567" s="8"/>
      <c r="E567" s="8"/>
    </row>
    <row r="568" spans="1:5" ht="12.75" customHeight="1" x14ac:dyDescent="0.2">
      <c r="A568" s="38"/>
      <c r="B568" s="38"/>
      <c r="C568" s="8"/>
      <c r="D568" s="8"/>
      <c r="E568" s="8"/>
    </row>
    <row r="569" spans="1:5" ht="12.75" customHeight="1" x14ac:dyDescent="0.2">
      <c r="A569" s="38"/>
      <c r="B569" s="38"/>
      <c r="C569" s="8"/>
      <c r="D569" s="8"/>
      <c r="E569" s="8"/>
    </row>
    <row r="570" spans="1:5" ht="12.75" customHeight="1" x14ac:dyDescent="0.2">
      <c r="A570" s="38"/>
      <c r="B570" s="38"/>
      <c r="C570" s="8"/>
      <c r="D570" s="8"/>
      <c r="E570" s="8"/>
    </row>
    <row r="571" spans="1:5" ht="12.75" customHeight="1" x14ac:dyDescent="0.2">
      <c r="A571" s="38"/>
      <c r="B571" s="38"/>
      <c r="C571" s="8"/>
      <c r="D571" s="8"/>
      <c r="E571" s="8"/>
    </row>
    <row r="572" spans="1:5" ht="12.75" customHeight="1" x14ac:dyDescent="0.2">
      <c r="A572" s="38"/>
      <c r="B572" s="38"/>
      <c r="C572" s="8"/>
      <c r="D572" s="8"/>
      <c r="E572" s="8"/>
    </row>
    <row r="573" spans="1:5" ht="12.75" customHeight="1" x14ac:dyDescent="0.2">
      <c r="A573" s="38"/>
      <c r="B573" s="38"/>
      <c r="C573" s="8"/>
      <c r="D573" s="8"/>
      <c r="E573" s="8"/>
    </row>
    <row r="574" spans="1:5" ht="12.75" customHeight="1" x14ac:dyDescent="0.2">
      <c r="A574" s="38"/>
      <c r="B574" s="38"/>
      <c r="C574" s="8"/>
      <c r="D574" s="8"/>
      <c r="E574" s="8"/>
    </row>
    <row r="575" spans="1:5" ht="12.75" customHeight="1" x14ac:dyDescent="0.2">
      <c r="A575" s="38"/>
      <c r="B575" s="38"/>
      <c r="C575" s="8"/>
      <c r="D575" s="8"/>
      <c r="E575" s="8"/>
    </row>
    <row r="576" spans="1:5" ht="12.75" customHeight="1" x14ac:dyDescent="0.2">
      <c r="A576" s="38"/>
      <c r="B576" s="38"/>
      <c r="C576" s="8"/>
      <c r="D576" s="8"/>
      <c r="E576" s="8"/>
    </row>
    <row r="577" spans="1:5" ht="12.75" customHeight="1" x14ac:dyDescent="0.2">
      <c r="A577" s="38"/>
      <c r="B577" s="38"/>
      <c r="C577" s="8"/>
      <c r="D577" s="8"/>
      <c r="E577" s="8"/>
    </row>
    <row r="578" spans="1:5" ht="12.75" customHeight="1" x14ac:dyDescent="0.2">
      <c r="A578" s="38"/>
      <c r="B578" s="38"/>
      <c r="C578" s="8"/>
      <c r="D578" s="8"/>
      <c r="E578" s="8"/>
    </row>
    <row r="579" spans="1:5" ht="12.75" customHeight="1" x14ac:dyDescent="0.2">
      <c r="A579" s="38"/>
      <c r="B579" s="38"/>
      <c r="C579" s="8"/>
      <c r="D579" s="8"/>
      <c r="E579" s="8"/>
    </row>
    <row r="580" spans="1:5" ht="12.75" customHeight="1" x14ac:dyDescent="0.2">
      <c r="A580" s="38"/>
      <c r="B580" s="38"/>
      <c r="C580" s="8"/>
      <c r="D580" s="8"/>
      <c r="E580" s="8"/>
    </row>
    <row r="581" spans="1:5" ht="12.75" customHeight="1" x14ac:dyDescent="0.2">
      <c r="A581" s="38"/>
      <c r="B581" s="38"/>
      <c r="C581" s="8"/>
      <c r="D581" s="8"/>
      <c r="E581" s="8"/>
    </row>
    <row r="582" spans="1:5" ht="12.75" customHeight="1" x14ac:dyDescent="0.2">
      <c r="A582" s="38"/>
      <c r="B582" s="38"/>
      <c r="C582" s="8"/>
      <c r="D582" s="8"/>
      <c r="E582" s="8"/>
    </row>
    <row r="583" spans="1:5" ht="12.75" customHeight="1" x14ac:dyDescent="0.2">
      <c r="A583" s="38"/>
      <c r="B583" s="38"/>
      <c r="C583" s="8"/>
      <c r="D583" s="8"/>
      <c r="E583" s="8"/>
    </row>
    <row r="584" spans="1:5" ht="12.75" customHeight="1" x14ac:dyDescent="0.2">
      <c r="A584" s="38"/>
      <c r="B584" s="38"/>
      <c r="C584" s="8"/>
      <c r="D584" s="8"/>
      <c r="E584" s="8"/>
    </row>
    <row r="585" spans="1:5" ht="12.75" customHeight="1" x14ac:dyDescent="0.2">
      <c r="A585" s="38"/>
      <c r="B585" s="38"/>
      <c r="C585" s="8"/>
      <c r="D585" s="8"/>
      <c r="E585" s="8"/>
    </row>
    <row r="586" spans="1:5" ht="12.75" customHeight="1" x14ac:dyDescent="0.2">
      <c r="A586" s="38"/>
      <c r="B586" s="38"/>
      <c r="C586" s="8"/>
      <c r="D586" s="8"/>
      <c r="E586" s="8"/>
    </row>
    <row r="587" spans="1:5" ht="12.75" customHeight="1" x14ac:dyDescent="0.2">
      <c r="A587" s="38"/>
      <c r="B587" s="38"/>
      <c r="C587" s="8"/>
      <c r="D587" s="8"/>
      <c r="E587" s="8"/>
    </row>
    <row r="588" spans="1:5" ht="12.75" customHeight="1" x14ac:dyDescent="0.2">
      <c r="A588" s="38"/>
      <c r="B588" s="38"/>
      <c r="C588" s="8"/>
      <c r="D588" s="8"/>
      <c r="E588" s="8"/>
    </row>
    <row r="589" spans="1:5" ht="12.75" customHeight="1" x14ac:dyDescent="0.2">
      <c r="A589" s="38"/>
      <c r="B589" s="38"/>
      <c r="C589" s="8"/>
      <c r="D589" s="8"/>
      <c r="E589" s="8"/>
    </row>
    <row r="590" spans="1:5" ht="12.75" customHeight="1" x14ac:dyDescent="0.2">
      <c r="A590" s="38"/>
      <c r="B590" s="38"/>
      <c r="C590" s="8"/>
      <c r="D590" s="8"/>
      <c r="E590" s="8"/>
    </row>
    <row r="591" spans="1:5" ht="12.75" customHeight="1" x14ac:dyDescent="0.2">
      <c r="A591" s="38"/>
      <c r="B591" s="38"/>
      <c r="C591" s="8"/>
      <c r="D591" s="8"/>
      <c r="E591" s="8"/>
    </row>
    <row r="592" spans="1:5" ht="12.75" customHeight="1" x14ac:dyDescent="0.2">
      <c r="A592" s="38"/>
      <c r="B592" s="38"/>
      <c r="C592" s="8"/>
      <c r="D592" s="8"/>
      <c r="E592" s="8"/>
    </row>
    <row r="593" spans="1:5" ht="12.75" customHeight="1" x14ac:dyDescent="0.2">
      <c r="A593" s="38"/>
      <c r="B593" s="38"/>
      <c r="C593" s="8"/>
      <c r="D593" s="8"/>
      <c r="E593" s="8"/>
    </row>
    <row r="594" spans="1:5" ht="12.75" customHeight="1" x14ac:dyDescent="0.2">
      <c r="A594" s="38"/>
      <c r="B594" s="38"/>
      <c r="C594" s="8"/>
      <c r="D594" s="8"/>
      <c r="E594" s="8"/>
    </row>
    <row r="595" spans="1:5" ht="12.75" customHeight="1" x14ac:dyDescent="0.2">
      <c r="A595" s="38"/>
      <c r="B595" s="38"/>
      <c r="C595" s="8"/>
      <c r="D595" s="8"/>
      <c r="E595" s="8"/>
    </row>
    <row r="596" spans="1:5" ht="12.75" customHeight="1" x14ac:dyDescent="0.2">
      <c r="A596" s="38"/>
      <c r="B596" s="38"/>
      <c r="C596" s="8"/>
      <c r="D596" s="8"/>
      <c r="E596" s="8"/>
    </row>
    <row r="597" spans="1:5" ht="12.75" customHeight="1" x14ac:dyDescent="0.2">
      <c r="A597" s="38"/>
      <c r="B597" s="38"/>
      <c r="C597" s="8"/>
      <c r="D597" s="8"/>
      <c r="E597" s="8"/>
    </row>
    <row r="598" spans="1:5" ht="12.75" customHeight="1" x14ac:dyDescent="0.2">
      <c r="A598" s="38"/>
      <c r="B598" s="38"/>
      <c r="C598" s="8"/>
      <c r="D598" s="8"/>
      <c r="E598" s="8"/>
    </row>
    <row r="599" spans="1:5" ht="12.75" customHeight="1" x14ac:dyDescent="0.2">
      <c r="A599" s="38"/>
      <c r="B599" s="38"/>
      <c r="C599" s="8"/>
      <c r="D599" s="8"/>
      <c r="E599" s="8"/>
    </row>
    <row r="600" spans="1:5" ht="12.75" customHeight="1" x14ac:dyDescent="0.2">
      <c r="A600" s="38"/>
      <c r="B600" s="38"/>
      <c r="C600" s="8"/>
      <c r="D600" s="8"/>
      <c r="E600" s="8"/>
    </row>
    <row r="601" spans="1:5" ht="12.75" customHeight="1" x14ac:dyDescent="0.2">
      <c r="A601" s="38"/>
      <c r="B601" s="38"/>
      <c r="C601" s="8"/>
      <c r="D601" s="8"/>
      <c r="E601" s="8"/>
    </row>
    <row r="602" spans="1:5" ht="12.75" customHeight="1" x14ac:dyDescent="0.2">
      <c r="A602" s="38"/>
      <c r="B602" s="38"/>
      <c r="C602" s="8"/>
      <c r="D602" s="8"/>
      <c r="E602" s="8"/>
    </row>
    <row r="603" spans="1:5" ht="12.75" customHeight="1" x14ac:dyDescent="0.2">
      <c r="A603" s="38"/>
      <c r="B603" s="38"/>
      <c r="C603" s="8"/>
      <c r="D603" s="8"/>
      <c r="E603" s="8"/>
    </row>
    <row r="604" spans="1:5" ht="12.75" customHeight="1" x14ac:dyDescent="0.2">
      <c r="A604" s="38"/>
      <c r="B604" s="38"/>
      <c r="C604" s="8"/>
      <c r="D604" s="8"/>
      <c r="E604" s="8"/>
    </row>
    <row r="605" spans="1:5" ht="12.75" customHeight="1" x14ac:dyDescent="0.2">
      <c r="A605" s="38"/>
      <c r="B605" s="38"/>
      <c r="C605" s="8"/>
      <c r="D605" s="8"/>
      <c r="E605" s="8"/>
    </row>
    <row r="606" spans="1:5" ht="12.75" customHeight="1" x14ac:dyDescent="0.2">
      <c r="A606" s="38"/>
      <c r="B606" s="38"/>
      <c r="C606" s="8"/>
      <c r="D606" s="8"/>
      <c r="E606" s="8"/>
    </row>
    <row r="607" spans="1:5" ht="12.75" customHeight="1" x14ac:dyDescent="0.2">
      <c r="A607" s="38"/>
      <c r="B607" s="38"/>
      <c r="C607" s="8"/>
      <c r="D607" s="8"/>
      <c r="E607" s="8"/>
    </row>
    <row r="608" spans="1:5" ht="12.75" customHeight="1" x14ac:dyDescent="0.2">
      <c r="A608" s="38"/>
      <c r="B608" s="38"/>
      <c r="C608" s="8"/>
      <c r="D608" s="8"/>
      <c r="E608" s="8"/>
    </row>
    <row r="609" spans="1:5" ht="12.75" customHeight="1" x14ac:dyDescent="0.2">
      <c r="A609" s="38"/>
      <c r="B609" s="38"/>
      <c r="C609" s="8"/>
      <c r="D609" s="8"/>
      <c r="E609" s="8"/>
    </row>
    <row r="610" spans="1:5" ht="12.75" customHeight="1" x14ac:dyDescent="0.2">
      <c r="A610" s="38"/>
      <c r="B610" s="38"/>
      <c r="C610" s="8"/>
      <c r="D610" s="8"/>
      <c r="E610" s="8"/>
    </row>
    <row r="611" spans="1:5" ht="12.75" customHeight="1" x14ac:dyDescent="0.2">
      <c r="A611" s="38"/>
      <c r="B611" s="38"/>
      <c r="C611" s="8"/>
      <c r="D611" s="8"/>
      <c r="E611" s="8"/>
    </row>
    <row r="612" spans="1:5" ht="12.75" customHeight="1" x14ac:dyDescent="0.2">
      <c r="A612" s="38"/>
      <c r="B612" s="38"/>
      <c r="C612" s="8"/>
      <c r="D612" s="8"/>
      <c r="E612" s="8"/>
    </row>
    <row r="613" spans="1:5" ht="12.75" customHeight="1" x14ac:dyDescent="0.2">
      <c r="A613" s="38"/>
      <c r="B613" s="38"/>
      <c r="C613" s="8"/>
      <c r="D613" s="8"/>
      <c r="E613" s="8"/>
    </row>
    <row r="614" spans="1:5" ht="12.75" customHeight="1" x14ac:dyDescent="0.2">
      <c r="A614" s="38"/>
      <c r="B614" s="38"/>
      <c r="C614" s="8"/>
      <c r="D614" s="8"/>
      <c r="E614" s="8"/>
    </row>
    <row r="615" spans="1:5" ht="12.75" customHeight="1" x14ac:dyDescent="0.2">
      <c r="A615" s="38"/>
      <c r="B615" s="38"/>
      <c r="C615" s="8"/>
      <c r="D615" s="8"/>
      <c r="E615" s="8"/>
    </row>
    <row r="616" spans="1:5" ht="12.75" customHeight="1" x14ac:dyDescent="0.2">
      <c r="A616" s="38"/>
      <c r="B616" s="38"/>
      <c r="C616" s="8"/>
      <c r="D616" s="8"/>
      <c r="E616" s="8"/>
    </row>
    <row r="617" spans="1:5" ht="12.75" customHeight="1" x14ac:dyDescent="0.2">
      <c r="A617" s="38"/>
      <c r="B617" s="38"/>
      <c r="C617" s="8"/>
      <c r="D617" s="8"/>
      <c r="E617" s="8"/>
    </row>
    <row r="618" spans="1:5" ht="12.75" customHeight="1" x14ac:dyDescent="0.2">
      <c r="A618" s="38"/>
      <c r="B618" s="38"/>
      <c r="C618" s="8"/>
      <c r="D618" s="8"/>
      <c r="E618" s="8"/>
    </row>
    <row r="619" spans="1:5" ht="12.75" customHeight="1" x14ac:dyDescent="0.2">
      <c r="A619" s="38"/>
      <c r="B619" s="38"/>
      <c r="C619" s="8"/>
      <c r="D619" s="8"/>
      <c r="E619" s="8"/>
    </row>
    <row r="620" spans="1:5" ht="12.75" customHeight="1" x14ac:dyDescent="0.2">
      <c r="A620" s="38"/>
      <c r="B620" s="38"/>
      <c r="C620" s="8"/>
      <c r="D620" s="8"/>
      <c r="E620" s="8"/>
    </row>
    <row r="621" spans="1:5" ht="12.75" customHeight="1" x14ac:dyDescent="0.2">
      <c r="A621" s="38"/>
      <c r="B621" s="38"/>
      <c r="C621" s="8"/>
      <c r="D621" s="8"/>
      <c r="E621" s="8"/>
    </row>
    <row r="622" spans="1:5" ht="12.75" customHeight="1" x14ac:dyDescent="0.2">
      <c r="A622" s="38"/>
      <c r="B622" s="38"/>
      <c r="C622" s="8"/>
      <c r="D622" s="8"/>
      <c r="E622" s="8"/>
    </row>
    <row r="623" spans="1:5" ht="12.75" customHeight="1" x14ac:dyDescent="0.2">
      <c r="A623" s="38"/>
      <c r="B623" s="38"/>
      <c r="C623" s="8"/>
      <c r="D623" s="8"/>
      <c r="E623" s="8"/>
    </row>
    <row r="624" spans="1:5" ht="12.75" customHeight="1" x14ac:dyDescent="0.2">
      <c r="A624" s="38"/>
      <c r="B624" s="38"/>
      <c r="C624" s="8"/>
      <c r="D624" s="8"/>
      <c r="E624" s="8"/>
    </row>
    <row r="625" spans="1:5" ht="12.75" customHeight="1" x14ac:dyDescent="0.2">
      <c r="A625" s="38"/>
      <c r="B625" s="38"/>
      <c r="C625" s="8"/>
      <c r="D625" s="8"/>
      <c r="E625" s="8"/>
    </row>
    <row r="626" spans="1:5" ht="12.75" customHeight="1" x14ac:dyDescent="0.2">
      <c r="A626" s="38"/>
      <c r="B626" s="38"/>
      <c r="C626" s="8"/>
      <c r="D626" s="8"/>
      <c r="E626" s="8"/>
    </row>
    <row r="627" spans="1:5" ht="12.75" customHeight="1" x14ac:dyDescent="0.2">
      <c r="A627" s="38"/>
      <c r="B627" s="38"/>
      <c r="C627" s="8"/>
      <c r="D627" s="8"/>
      <c r="E627" s="8"/>
    </row>
    <row r="628" spans="1:5" ht="12.75" customHeight="1" x14ac:dyDescent="0.2">
      <c r="A628" s="38"/>
      <c r="B628" s="38"/>
      <c r="C628" s="8"/>
      <c r="D628" s="8"/>
      <c r="E628" s="8"/>
    </row>
    <row r="629" spans="1:5" ht="12.75" customHeight="1" x14ac:dyDescent="0.2">
      <c r="A629" s="38"/>
      <c r="B629" s="38"/>
      <c r="C629" s="8"/>
      <c r="D629" s="8"/>
      <c r="E629" s="8"/>
    </row>
    <row r="630" spans="1:5" ht="12.75" customHeight="1" x14ac:dyDescent="0.2">
      <c r="A630" s="38"/>
      <c r="B630" s="38"/>
      <c r="C630" s="8"/>
      <c r="D630" s="8"/>
      <c r="E630" s="8"/>
    </row>
    <row r="631" spans="1:5" ht="12.75" customHeight="1" x14ac:dyDescent="0.2">
      <c r="A631" s="38"/>
      <c r="B631" s="38"/>
      <c r="C631" s="8"/>
      <c r="D631" s="8"/>
      <c r="E631" s="8"/>
    </row>
    <row r="632" spans="1:5" ht="12.75" customHeight="1" x14ac:dyDescent="0.2">
      <c r="A632" s="38"/>
      <c r="B632" s="38"/>
      <c r="C632" s="8"/>
      <c r="D632" s="8"/>
      <c r="E632" s="8"/>
    </row>
    <row r="633" spans="1:5" ht="12.75" customHeight="1" x14ac:dyDescent="0.2">
      <c r="A633" s="38"/>
      <c r="B633" s="38"/>
      <c r="C633" s="8"/>
      <c r="D633" s="8"/>
      <c r="E633" s="8"/>
    </row>
    <row r="634" spans="1:5" ht="12.75" customHeight="1" x14ac:dyDescent="0.2">
      <c r="A634" s="38"/>
      <c r="B634" s="38"/>
      <c r="C634" s="8"/>
      <c r="D634" s="8"/>
      <c r="E634" s="8"/>
    </row>
    <row r="635" spans="1:5" ht="12.75" customHeight="1" x14ac:dyDescent="0.2">
      <c r="A635" s="38"/>
      <c r="B635" s="38"/>
      <c r="C635" s="8"/>
      <c r="D635" s="8"/>
      <c r="E635" s="8"/>
    </row>
    <row r="636" spans="1:5" ht="12.75" customHeight="1" x14ac:dyDescent="0.2">
      <c r="A636" s="38"/>
      <c r="B636" s="38"/>
      <c r="C636" s="8"/>
      <c r="D636" s="8"/>
      <c r="E636" s="8"/>
    </row>
    <row r="637" spans="1:5" ht="12.75" customHeight="1" x14ac:dyDescent="0.2">
      <c r="A637" s="38"/>
      <c r="B637" s="38"/>
      <c r="C637" s="8"/>
      <c r="D637" s="8"/>
      <c r="E637" s="8"/>
    </row>
    <row r="638" spans="1:5" ht="12.75" customHeight="1" x14ac:dyDescent="0.2">
      <c r="A638" s="38"/>
      <c r="B638" s="38"/>
      <c r="C638" s="8"/>
      <c r="D638" s="8"/>
      <c r="E638" s="8"/>
    </row>
    <row r="639" spans="1:5" ht="12.75" customHeight="1" x14ac:dyDescent="0.2">
      <c r="A639" s="38"/>
      <c r="B639" s="38"/>
      <c r="C639" s="8"/>
      <c r="D639" s="8"/>
      <c r="E639" s="8"/>
    </row>
    <row r="640" spans="1:5" ht="12.75" customHeight="1" x14ac:dyDescent="0.2">
      <c r="A640" s="38"/>
      <c r="B640" s="38"/>
      <c r="C640" s="8"/>
      <c r="D640" s="8"/>
      <c r="E640" s="8"/>
    </row>
    <row r="641" spans="1:5" ht="12.75" customHeight="1" x14ac:dyDescent="0.2">
      <c r="A641" s="38"/>
      <c r="B641" s="38"/>
      <c r="C641" s="8"/>
      <c r="D641" s="8"/>
      <c r="E641" s="8"/>
    </row>
    <row r="642" spans="1:5" ht="12.75" customHeight="1" x14ac:dyDescent="0.2">
      <c r="A642" s="38"/>
      <c r="B642" s="38"/>
      <c r="C642" s="8"/>
      <c r="D642" s="8"/>
      <c r="E642" s="8"/>
    </row>
    <row r="643" spans="1:5" ht="12.75" customHeight="1" x14ac:dyDescent="0.2">
      <c r="A643" s="38"/>
      <c r="B643" s="38"/>
      <c r="C643" s="8"/>
      <c r="D643" s="8"/>
      <c r="E643" s="8"/>
    </row>
    <row r="644" spans="1:5" ht="12.75" customHeight="1" x14ac:dyDescent="0.2">
      <c r="A644" s="38"/>
      <c r="B644" s="38"/>
      <c r="C644" s="8"/>
      <c r="D644" s="8"/>
      <c r="E644" s="8"/>
    </row>
    <row r="645" spans="1:5" ht="12.75" customHeight="1" x14ac:dyDescent="0.2">
      <c r="A645" s="38"/>
      <c r="B645" s="38"/>
      <c r="C645" s="8"/>
      <c r="D645" s="8"/>
      <c r="E645" s="8"/>
    </row>
    <row r="646" spans="1:5" ht="12.75" customHeight="1" x14ac:dyDescent="0.2">
      <c r="A646" s="38"/>
      <c r="B646" s="38"/>
      <c r="C646" s="8"/>
      <c r="D646" s="8"/>
      <c r="E646" s="8"/>
    </row>
    <row r="647" spans="1:5" ht="12.75" customHeight="1" x14ac:dyDescent="0.2">
      <c r="A647" s="38"/>
      <c r="B647" s="38"/>
      <c r="C647" s="8"/>
      <c r="D647" s="8"/>
      <c r="E647" s="8"/>
    </row>
    <row r="648" spans="1:5" ht="12.75" customHeight="1" x14ac:dyDescent="0.2">
      <c r="A648" s="38"/>
      <c r="B648" s="38"/>
      <c r="C648" s="8"/>
      <c r="D648" s="8"/>
      <c r="E648" s="8"/>
    </row>
    <row r="649" spans="1:5" ht="12.75" customHeight="1" x14ac:dyDescent="0.2">
      <c r="A649" s="38"/>
      <c r="B649" s="38"/>
      <c r="C649" s="8"/>
      <c r="D649" s="8"/>
      <c r="E649" s="8"/>
    </row>
    <row r="650" spans="1:5" ht="12.75" customHeight="1" x14ac:dyDescent="0.2">
      <c r="A650" s="38"/>
      <c r="B650" s="38"/>
      <c r="C650" s="8"/>
      <c r="D650" s="8"/>
      <c r="E650" s="8"/>
    </row>
    <row r="651" spans="1:5" ht="12.75" customHeight="1" x14ac:dyDescent="0.2">
      <c r="A651" s="38"/>
      <c r="B651" s="38"/>
      <c r="C651" s="8"/>
      <c r="D651" s="8"/>
      <c r="E651" s="8"/>
    </row>
    <row r="652" spans="1:5" ht="12.75" customHeight="1" x14ac:dyDescent="0.2">
      <c r="A652" s="38"/>
      <c r="B652" s="38"/>
      <c r="C652" s="8"/>
      <c r="D652" s="8"/>
      <c r="E652" s="8"/>
    </row>
    <row r="653" spans="1:5" ht="12.75" customHeight="1" x14ac:dyDescent="0.2">
      <c r="A653" s="38"/>
      <c r="B653" s="38"/>
      <c r="C653" s="8"/>
      <c r="D653" s="8"/>
      <c r="E653" s="8"/>
    </row>
    <row r="654" spans="1:5" ht="12.75" customHeight="1" x14ac:dyDescent="0.2">
      <c r="A654" s="38"/>
      <c r="B654" s="38"/>
      <c r="C654" s="8"/>
      <c r="D654" s="8"/>
      <c r="E654" s="8"/>
    </row>
    <row r="655" spans="1:5" ht="12.75" customHeight="1" x14ac:dyDescent="0.2">
      <c r="A655" s="38"/>
      <c r="B655" s="38"/>
      <c r="C655" s="8"/>
      <c r="D655" s="8"/>
      <c r="E655" s="8"/>
    </row>
    <row r="656" spans="1:5" ht="12.75" customHeight="1" x14ac:dyDescent="0.2">
      <c r="A656" s="38"/>
      <c r="B656" s="38"/>
      <c r="C656" s="8"/>
      <c r="D656" s="8"/>
      <c r="E656" s="8"/>
    </row>
    <row r="657" spans="1:5" ht="12.75" customHeight="1" x14ac:dyDescent="0.2">
      <c r="A657" s="38"/>
      <c r="B657" s="38"/>
      <c r="C657" s="8"/>
      <c r="D657" s="8"/>
      <c r="E657" s="8"/>
    </row>
    <row r="658" spans="1:5" ht="12.75" customHeight="1" x14ac:dyDescent="0.2">
      <c r="A658" s="38"/>
      <c r="B658" s="38"/>
      <c r="C658" s="8"/>
      <c r="D658" s="8"/>
      <c r="E658" s="8"/>
    </row>
    <row r="659" spans="1:5" ht="12.75" customHeight="1" x14ac:dyDescent="0.2">
      <c r="A659" s="38"/>
      <c r="B659" s="38"/>
      <c r="C659" s="8"/>
      <c r="D659" s="8"/>
      <c r="E659" s="8"/>
    </row>
    <row r="660" spans="1:5" ht="12.75" customHeight="1" x14ac:dyDescent="0.2">
      <c r="A660" s="38"/>
      <c r="B660" s="38"/>
      <c r="C660" s="8"/>
      <c r="D660" s="8"/>
      <c r="E660" s="8"/>
    </row>
    <row r="661" spans="1:5" ht="12.75" customHeight="1" x14ac:dyDescent="0.2">
      <c r="A661" s="38"/>
      <c r="B661" s="38"/>
      <c r="C661" s="8"/>
      <c r="D661" s="8"/>
      <c r="E661" s="8"/>
    </row>
    <row r="662" spans="1:5" ht="12.75" customHeight="1" x14ac:dyDescent="0.2">
      <c r="A662" s="38"/>
      <c r="B662" s="38"/>
      <c r="C662" s="8"/>
      <c r="D662" s="8"/>
      <c r="E662" s="8"/>
    </row>
    <row r="663" spans="1:5" ht="12.75" customHeight="1" x14ac:dyDescent="0.2">
      <c r="A663" s="38"/>
      <c r="B663" s="38"/>
      <c r="C663" s="8"/>
      <c r="D663" s="8"/>
      <c r="E663" s="8"/>
    </row>
    <row r="664" spans="1:5" ht="12.75" customHeight="1" x14ac:dyDescent="0.2">
      <c r="A664" s="38"/>
      <c r="B664" s="38"/>
      <c r="C664" s="8"/>
      <c r="D664" s="8"/>
      <c r="E664" s="8"/>
    </row>
    <row r="665" spans="1:5" ht="12.75" customHeight="1" x14ac:dyDescent="0.2">
      <c r="A665" s="38"/>
      <c r="B665" s="38"/>
      <c r="C665" s="8"/>
      <c r="D665" s="8"/>
      <c r="E665" s="8"/>
    </row>
    <row r="666" spans="1:5" ht="12.75" customHeight="1" x14ac:dyDescent="0.2">
      <c r="A666" s="38"/>
      <c r="B666" s="38"/>
      <c r="C666" s="8"/>
      <c r="D666" s="8"/>
      <c r="E666" s="8"/>
    </row>
    <row r="667" spans="1:5" ht="12.75" customHeight="1" x14ac:dyDescent="0.2">
      <c r="A667" s="38"/>
      <c r="B667" s="38"/>
      <c r="C667" s="8"/>
      <c r="D667" s="8"/>
      <c r="E667" s="8"/>
    </row>
    <row r="668" spans="1:5" ht="12.75" customHeight="1" x14ac:dyDescent="0.2">
      <c r="A668" s="38"/>
      <c r="B668" s="38"/>
      <c r="C668" s="8"/>
      <c r="D668" s="8"/>
      <c r="E668" s="8"/>
    </row>
    <row r="669" spans="1:5" ht="12.75" customHeight="1" x14ac:dyDescent="0.2">
      <c r="A669" s="38"/>
      <c r="B669" s="38"/>
      <c r="C669" s="8"/>
      <c r="D669" s="8"/>
      <c r="E669" s="8"/>
    </row>
    <row r="670" spans="1:5" ht="12.75" customHeight="1" x14ac:dyDescent="0.2">
      <c r="A670" s="38"/>
      <c r="B670" s="38"/>
      <c r="C670" s="8"/>
      <c r="D670" s="8"/>
      <c r="E670" s="8"/>
    </row>
    <row r="671" spans="1:5" ht="12.75" customHeight="1" x14ac:dyDescent="0.2">
      <c r="A671" s="38"/>
      <c r="B671" s="38"/>
      <c r="C671" s="8"/>
      <c r="D671" s="8"/>
      <c r="E671" s="8"/>
    </row>
    <row r="672" spans="1:5" ht="12.75" customHeight="1" x14ac:dyDescent="0.2">
      <c r="A672" s="38"/>
      <c r="B672" s="38"/>
      <c r="C672" s="8"/>
      <c r="D672" s="8"/>
      <c r="E672" s="8"/>
    </row>
    <row r="673" spans="1:5" ht="12.75" customHeight="1" x14ac:dyDescent="0.2">
      <c r="A673" s="38"/>
      <c r="B673" s="38"/>
      <c r="C673" s="8"/>
      <c r="D673" s="8"/>
      <c r="E673" s="8"/>
    </row>
    <row r="674" spans="1:5" ht="12.75" customHeight="1" x14ac:dyDescent="0.2">
      <c r="A674" s="38"/>
      <c r="B674" s="38"/>
      <c r="C674" s="8"/>
      <c r="D674" s="8"/>
      <c r="E674" s="8"/>
    </row>
    <row r="675" spans="1:5" ht="12.75" customHeight="1" x14ac:dyDescent="0.2">
      <c r="A675" s="38"/>
      <c r="B675" s="38"/>
      <c r="C675" s="8"/>
      <c r="D675" s="8"/>
      <c r="E675" s="8"/>
    </row>
    <row r="676" spans="1:5" ht="12.75" customHeight="1" x14ac:dyDescent="0.2">
      <c r="A676" s="38"/>
      <c r="B676" s="38"/>
      <c r="C676" s="8"/>
      <c r="D676" s="8"/>
      <c r="E676" s="8"/>
    </row>
    <row r="677" spans="1:5" ht="12.75" customHeight="1" x14ac:dyDescent="0.2">
      <c r="A677" s="38"/>
      <c r="B677" s="38"/>
      <c r="C677" s="8"/>
      <c r="D677" s="8"/>
      <c r="E677" s="8"/>
    </row>
    <row r="678" spans="1:5" ht="12.75" customHeight="1" x14ac:dyDescent="0.2">
      <c r="A678" s="38"/>
      <c r="B678" s="38"/>
      <c r="C678" s="8"/>
      <c r="D678" s="8"/>
      <c r="E678" s="8"/>
    </row>
    <row r="679" spans="1:5" ht="12.75" customHeight="1" x14ac:dyDescent="0.2">
      <c r="A679" s="38"/>
      <c r="B679" s="38"/>
      <c r="C679" s="8"/>
      <c r="D679" s="8"/>
      <c r="E679" s="8"/>
    </row>
    <row r="680" spans="1:5" ht="12.75" customHeight="1" x14ac:dyDescent="0.2">
      <c r="A680" s="38"/>
      <c r="B680" s="38"/>
      <c r="C680" s="8"/>
      <c r="D680" s="8"/>
      <c r="E680" s="8"/>
    </row>
    <row r="681" spans="1:5" ht="12.75" customHeight="1" x14ac:dyDescent="0.2">
      <c r="A681" s="38"/>
      <c r="B681" s="38"/>
      <c r="C681" s="8"/>
      <c r="D681" s="8"/>
      <c r="E681" s="8"/>
    </row>
    <row r="682" spans="1:5" ht="12.75" customHeight="1" x14ac:dyDescent="0.2">
      <c r="A682" s="38"/>
      <c r="B682" s="38"/>
      <c r="C682" s="8"/>
      <c r="D682" s="8"/>
      <c r="E682" s="8"/>
    </row>
    <row r="683" spans="1:5" ht="12.75" customHeight="1" x14ac:dyDescent="0.2">
      <c r="A683" s="38"/>
      <c r="B683" s="38"/>
      <c r="C683" s="8"/>
      <c r="D683" s="8"/>
      <c r="E683" s="8"/>
    </row>
    <row r="684" spans="1:5" ht="12.75" customHeight="1" x14ac:dyDescent="0.2">
      <c r="A684" s="38"/>
      <c r="B684" s="38"/>
      <c r="C684" s="8"/>
      <c r="D684" s="8"/>
      <c r="E684" s="8"/>
    </row>
    <row r="685" spans="1:5" ht="12.75" customHeight="1" x14ac:dyDescent="0.2">
      <c r="A685" s="38"/>
      <c r="B685" s="38"/>
      <c r="C685" s="8"/>
      <c r="D685" s="8"/>
      <c r="E685" s="8"/>
    </row>
    <row r="686" spans="1:5" ht="12.75" customHeight="1" x14ac:dyDescent="0.2">
      <c r="A686" s="38"/>
      <c r="B686" s="38"/>
      <c r="C686" s="8"/>
      <c r="D686" s="8"/>
      <c r="E686" s="8"/>
    </row>
    <row r="687" spans="1:5" ht="12.75" customHeight="1" x14ac:dyDescent="0.2">
      <c r="A687" s="38"/>
      <c r="B687" s="38"/>
      <c r="C687" s="8"/>
      <c r="D687" s="8"/>
      <c r="E687" s="8"/>
    </row>
    <row r="688" spans="1:5" ht="12.75" customHeight="1" x14ac:dyDescent="0.2">
      <c r="A688" s="38"/>
      <c r="B688" s="38"/>
      <c r="C688" s="8"/>
      <c r="D688" s="8"/>
      <c r="E688" s="8"/>
    </row>
    <row r="689" spans="1:5" ht="12.75" customHeight="1" x14ac:dyDescent="0.2">
      <c r="A689" s="38"/>
      <c r="B689" s="38"/>
      <c r="C689" s="8"/>
      <c r="D689" s="8"/>
      <c r="E689" s="8"/>
    </row>
    <row r="690" spans="1:5" ht="12.75" customHeight="1" x14ac:dyDescent="0.2">
      <c r="A690" s="38"/>
      <c r="B690" s="38"/>
      <c r="C690" s="8"/>
      <c r="D690" s="8"/>
      <c r="E690" s="8"/>
    </row>
    <row r="691" spans="1:5" ht="12.75" customHeight="1" x14ac:dyDescent="0.2">
      <c r="A691" s="38"/>
      <c r="B691" s="38"/>
      <c r="C691" s="8"/>
      <c r="D691" s="8"/>
      <c r="E691" s="8"/>
    </row>
    <row r="692" spans="1:5" ht="12.75" customHeight="1" x14ac:dyDescent="0.2">
      <c r="A692" s="38"/>
      <c r="B692" s="38"/>
      <c r="C692" s="8"/>
      <c r="D692" s="8"/>
      <c r="E692" s="8"/>
    </row>
    <row r="693" spans="1:5" ht="12.75" customHeight="1" x14ac:dyDescent="0.2">
      <c r="A693" s="38"/>
      <c r="B693" s="38"/>
      <c r="C693" s="8"/>
      <c r="D693" s="8"/>
      <c r="E693" s="8"/>
    </row>
    <row r="694" spans="1:5" ht="12.75" customHeight="1" x14ac:dyDescent="0.2">
      <c r="A694" s="38"/>
      <c r="B694" s="38"/>
      <c r="C694" s="8"/>
      <c r="D694" s="8"/>
      <c r="E694" s="8"/>
    </row>
    <row r="695" spans="1:5" ht="12.75" customHeight="1" x14ac:dyDescent="0.2">
      <c r="A695" s="38"/>
      <c r="B695" s="38"/>
      <c r="C695" s="8"/>
      <c r="D695" s="8"/>
      <c r="E695" s="8"/>
    </row>
    <row r="696" spans="1:5" ht="12.75" customHeight="1" x14ac:dyDescent="0.2">
      <c r="A696" s="38"/>
      <c r="B696" s="38"/>
      <c r="C696" s="8"/>
      <c r="D696" s="8"/>
      <c r="E696" s="8"/>
    </row>
    <row r="697" spans="1:5" ht="12.75" customHeight="1" x14ac:dyDescent="0.2">
      <c r="A697" s="38"/>
      <c r="B697" s="38"/>
      <c r="C697" s="8"/>
      <c r="D697" s="8"/>
      <c r="E697" s="8"/>
    </row>
    <row r="698" spans="1:5" ht="12.75" customHeight="1" x14ac:dyDescent="0.2">
      <c r="A698" s="38"/>
      <c r="B698" s="38"/>
      <c r="C698" s="8"/>
      <c r="D698" s="8"/>
      <c r="E698" s="8"/>
    </row>
    <row r="699" spans="1:5" ht="12.75" customHeight="1" x14ac:dyDescent="0.2">
      <c r="A699" s="38"/>
      <c r="B699" s="38"/>
      <c r="C699" s="8"/>
      <c r="D699" s="8"/>
      <c r="E699" s="8"/>
    </row>
    <row r="700" spans="1:5" ht="12.75" customHeight="1" x14ac:dyDescent="0.2">
      <c r="A700" s="38"/>
      <c r="B700" s="38"/>
      <c r="C700" s="8"/>
      <c r="D700" s="8"/>
      <c r="E700" s="8"/>
    </row>
    <row r="701" spans="1:5" ht="12.75" customHeight="1" x14ac:dyDescent="0.2">
      <c r="A701" s="38"/>
      <c r="B701" s="38"/>
      <c r="C701" s="8"/>
      <c r="D701" s="8"/>
      <c r="E701" s="8"/>
    </row>
    <row r="702" spans="1:5" ht="12.75" customHeight="1" x14ac:dyDescent="0.2">
      <c r="A702" s="38"/>
      <c r="B702" s="38"/>
      <c r="C702" s="8"/>
      <c r="D702" s="8"/>
      <c r="E702" s="8"/>
    </row>
    <row r="703" spans="1:5" ht="12.75" customHeight="1" x14ac:dyDescent="0.2">
      <c r="A703" s="38"/>
      <c r="B703" s="38"/>
      <c r="C703" s="8"/>
      <c r="D703" s="8"/>
      <c r="E703" s="8"/>
    </row>
    <row r="704" spans="1:5" ht="12.75" customHeight="1" x14ac:dyDescent="0.2">
      <c r="A704" s="38"/>
      <c r="B704" s="38"/>
      <c r="C704" s="8"/>
      <c r="D704" s="8"/>
      <c r="E704" s="8"/>
    </row>
    <row r="705" spans="1:5" ht="12.75" customHeight="1" x14ac:dyDescent="0.2">
      <c r="A705" s="38"/>
      <c r="B705" s="38"/>
      <c r="C705" s="8"/>
      <c r="D705" s="8"/>
      <c r="E705" s="8"/>
    </row>
    <row r="706" spans="1:5" ht="12.75" customHeight="1" x14ac:dyDescent="0.2">
      <c r="A706" s="38"/>
      <c r="B706" s="38"/>
      <c r="C706" s="8"/>
      <c r="D706" s="8"/>
      <c r="E706" s="8"/>
    </row>
    <row r="707" spans="1:5" ht="12.75" customHeight="1" x14ac:dyDescent="0.2">
      <c r="A707" s="38"/>
      <c r="B707" s="38"/>
      <c r="C707" s="8"/>
      <c r="D707" s="8"/>
      <c r="E707" s="8"/>
    </row>
    <row r="708" spans="1:5" ht="12.75" customHeight="1" x14ac:dyDescent="0.2">
      <c r="A708" s="38"/>
      <c r="B708" s="38"/>
      <c r="C708" s="8"/>
      <c r="D708" s="8"/>
      <c r="E708" s="8"/>
    </row>
    <row r="709" spans="1:5" ht="12.75" customHeight="1" x14ac:dyDescent="0.2">
      <c r="A709" s="38"/>
      <c r="B709" s="38"/>
      <c r="C709" s="8"/>
      <c r="D709" s="8"/>
      <c r="E709" s="8"/>
    </row>
    <row r="710" spans="1:5" ht="12.75" customHeight="1" x14ac:dyDescent="0.2">
      <c r="A710" s="38"/>
      <c r="B710" s="38"/>
      <c r="C710" s="8"/>
      <c r="D710" s="8"/>
      <c r="E710" s="8"/>
    </row>
    <row r="711" spans="1:5" ht="12.75" customHeight="1" x14ac:dyDescent="0.2">
      <c r="A711" s="38"/>
      <c r="B711" s="38"/>
      <c r="C711" s="8"/>
      <c r="D711" s="8"/>
      <c r="E711" s="8"/>
    </row>
    <row r="712" spans="1:5" ht="12.75" customHeight="1" x14ac:dyDescent="0.2">
      <c r="A712" s="38"/>
      <c r="B712" s="38"/>
      <c r="C712" s="8"/>
      <c r="D712" s="8"/>
      <c r="E712" s="8"/>
    </row>
    <row r="713" spans="1:5" ht="12.75" customHeight="1" x14ac:dyDescent="0.2">
      <c r="A713" s="38"/>
      <c r="B713" s="38"/>
      <c r="C713" s="8"/>
      <c r="D713" s="8"/>
      <c r="E713" s="8"/>
    </row>
    <row r="714" spans="1:5" ht="12.75" customHeight="1" x14ac:dyDescent="0.2">
      <c r="A714" s="38"/>
      <c r="B714" s="38"/>
      <c r="C714" s="8"/>
      <c r="D714" s="8"/>
      <c r="E714" s="8"/>
    </row>
    <row r="715" spans="1:5" ht="12.75" customHeight="1" x14ac:dyDescent="0.2">
      <c r="A715" s="38"/>
      <c r="B715" s="38"/>
      <c r="C715" s="8"/>
      <c r="D715" s="8"/>
      <c r="E715" s="8"/>
    </row>
    <row r="716" spans="1:5" ht="12.75" customHeight="1" x14ac:dyDescent="0.2">
      <c r="A716" s="38"/>
      <c r="B716" s="38"/>
      <c r="C716" s="8"/>
      <c r="D716" s="8"/>
      <c r="E716" s="8"/>
    </row>
    <row r="717" spans="1:5" ht="12.75" customHeight="1" x14ac:dyDescent="0.2">
      <c r="A717" s="38"/>
      <c r="B717" s="38"/>
      <c r="C717" s="8"/>
      <c r="D717" s="8"/>
      <c r="E717" s="8"/>
    </row>
    <row r="718" spans="1:5" ht="12.75" customHeight="1" x14ac:dyDescent="0.2">
      <c r="A718" s="38"/>
      <c r="B718" s="38"/>
      <c r="C718" s="8"/>
      <c r="D718" s="8"/>
      <c r="E718" s="8"/>
    </row>
    <row r="719" spans="1:5" ht="12.75" customHeight="1" x14ac:dyDescent="0.2">
      <c r="A719" s="38"/>
      <c r="B719" s="38"/>
      <c r="C719" s="8"/>
      <c r="D719" s="8"/>
      <c r="E719" s="8"/>
    </row>
    <row r="720" spans="1:5" ht="12.75" customHeight="1" x14ac:dyDescent="0.2">
      <c r="A720" s="38"/>
      <c r="B720" s="38"/>
      <c r="C720" s="8"/>
      <c r="D720" s="8"/>
      <c r="E720" s="8"/>
    </row>
    <row r="721" spans="1:5" ht="12.75" customHeight="1" x14ac:dyDescent="0.2">
      <c r="A721" s="38"/>
      <c r="B721" s="38"/>
      <c r="C721" s="8"/>
      <c r="D721" s="8"/>
      <c r="E721" s="8"/>
    </row>
    <row r="722" spans="1:5" ht="12.75" customHeight="1" x14ac:dyDescent="0.2">
      <c r="A722" s="38"/>
      <c r="B722" s="38"/>
      <c r="C722" s="8"/>
      <c r="D722" s="8"/>
      <c r="E722" s="8"/>
    </row>
    <row r="723" spans="1:5" ht="12.75" customHeight="1" x14ac:dyDescent="0.2">
      <c r="A723" s="38"/>
      <c r="B723" s="38"/>
      <c r="C723" s="8"/>
      <c r="D723" s="8"/>
      <c r="E723" s="8"/>
    </row>
    <row r="724" spans="1:5" ht="12.75" customHeight="1" x14ac:dyDescent="0.2">
      <c r="A724" s="38"/>
      <c r="B724" s="38"/>
      <c r="C724" s="8"/>
      <c r="D724" s="8"/>
      <c r="E724" s="8"/>
    </row>
    <row r="725" spans="1:5" ht="12.75" customHeight="1" x14ac:dyDescent="0.2">
      <c r="A725" s="38"/>
      <c r="B725" s="38"/>
      <c r="C725" s="8"/>
      <c r="D725" s="8"/>
      <c r="E725" s="8"/>
    </row>
    <row r="726" spans="1:5" ht="12.75" customHeight="1" x14ac:dyDescent="0.2">
      <c r="A726" s="38"/>
      <c r="B726" s="38"/>
      <c r="C726" s="8"/>
      <c r="D726" s="8"/>
      <c r="E726" s="8"/>
    </row>
    <row r="727" spans="1:5" ht="12.75" customHeight="1" x14ac:dyDescent="0.2">
      <c r="A727" s="38"/>
      <c r="B727" s="38"/>
      <c r="C727" s="8"/>
      <c r="D727" s="8"/>
      <c r="E727" s="8"/>
    </row>
    <row r="728" spans="1:5" ht="12.75" customHeight="1" x14ac:dyDescent="0.2">
      <c r="A728" s="38"/>
      <c r="B728" s="38"/>
      <c r="C728" s="8"/>
      <c r="D728" s="8"/>
      <c r="E728" s="8"/>
    </row>
    <row r="729" spans="1:5" ht="12.75" customHeight="1" x14ac:dyDescent="0.2">
      <c r="A729" s="38"/>
      <c r="B729" s="38"/>
      <c r="C729" s="8"/>
      <c r="D729" s="8"/>
      <c r="E729" s="8"/>
    </row>
    <row r="730" spans="1:5" ht="12.75" customHeight="1" x14ac:dyDescent="0.2">
      <c r="A730" s="38"/>
      <c r="B730" s="38"/>
      <c r="C730" s="8"/>
      <c r="D730" s="8"/>
      <c r="E730" s="8"/>
    </row>
    <row r="731" spans="1:5" ht="12.75" customHeight="1" x14ac:dyDescent="0.2">
      <c r="A731" s="38"/>
      <c r="B731" s="38"/>
      <c r="C731" s="8"/>
      <c r="D731" s="8"/>
      <c r="E731" s="8"/>
    </row>
    <row r="732" spans="1:5" ht="12.75" customHeight="1" x14ac:dyDescent="0.2">
      <c r="A732" s="38"/>
      <c r="B732" s="38"/>
      <c r="C732" s="8"/>
      <c r="D732" s="8"/>
      <c r="E732" s="8"/>
    </row>
    <row r="733" spans="1:5" ht="12.75" customHeight="1" x14ac:dyDescent="0.2">
      <c r="A733" s="38"/>
      <c r="B733" s="38"/>
      <c r="C733" s="8"/>
      <c r="D733" s="8"/>
      <c r="E733" s="8"/>
    </row>
    <row r="734" spans="1:5" ht="12.75" customHeight="1" x14ac:dyDescent="0.2">
      <c r="A734" s="38"/>
      <c r="B734" s="38"/>
      <c r="C734" s="8"/>
      <c r="D734" s="8"/>
      <c r="E734" s="8"/>
    </row>
    <row r="735" spans="1:5" ht="12.75" customHeight="1" x14ac:dyDescent="0.2">
      <c r="A735" s="38"/>
      <c r="B735" s="38"/>
      <c r="C735" s="8"/>
      <c r="D735" s="8"/>
      <c r="E735" s="8"/>
    </row>
    <row r="736" spans="1:5" ht="12.75" customHeight="1" x14ac:dyDescent="0.2">
      <c r="A736" s="38"/>
      <c r="B736" s="38"/>
      <c r="C736" s="8"/>
      <c r="D736" s="8"/>
      <c r="E736" s="8"/>
    </row>
    <row r="737" spans="1:5" ht="12.75" customHeight="1" x14ac:dyDescent="0.2">
      <c r="A737" s="38"/>
      <c r="B737" s="38"/>
      <c r="C737" s="8"/>
      <c r="D737" s="8"/>
      <c r="E737" s="8"/>
    </row>
    <row r="738" spans="1:5" ht="12.75" customHeight="1" x14ac:dyDescent="0.2">
      <c r="A738" s="38"/>
      <c r="B738" s="38"/>
      <c r="C738" s="8"/>
      <c r="D738" s="8"/>
      <c r="E738" s="8"/>
    </row>
    <row r="739" spans="1:5" ht="12.75" customHeight="1" x14ac:dyDescent="0.2">
      <c r="A739" s="38"/>
      <c r="B739" s="38"/>
      <c r="C739" s="8"/>
      <c r="D739" s="8"/>
      <c r="E739" s="8"/>
    </row>
    <row r="740" spans="1:5" ht="12.75" customHeight="1" x14ac:dyDescent="0.2">
      <c r="A740" s="38"/>
      <c r="B740" s="38"/>
      <c r="C740" s="8"/>
      <c r="D740" s="8"/>
      <c r="E740" s="8"/>
    </row>
    <row r="741" spans="1:5" ht="12.75" customHeight="1" x14ac:dyDescent="0.2">
      <c r="A741" s="38"/>
      <c r="B741" s="38"/>
      <c r="C741" s="8"/>
      <c r="D741" s="8"/>
      <c r="E741" s="8"/>
    </row>
    <row r="742" spans="1:5" ht="12.75" customHeight="1" x14ac:dyDescent="0.2">
      <c r="A742" s="38"/>
      <c r="B742" s="38"/>
      <c r="C742" s="8"/>
      <c r="D742" s="8"/>
      <c r="E742" s="8"/>
    </row>
    <row r="743" spans="1:5" ht="12.75" customHeight="1" x14ac:dyDescent="0.2">
      <c r="A743" s="38"/>
      <c r="B743" s="38"/>
      <c r="C743" s="8"/>
      <c r="D743" s="8"/>
      <c r="E743" s="8"/>
    </row>
    <row r="744" spans="1:5" ht="12.75" customHeight="1" x14ac:dyDescent="0.2">
      <c r="A744" s="38"/>
      <c r="B744" s="38"/>
      <c r="C744" s="8"/>
      <c r="D744" s="8"/>
      <c r="E744" s="8"/>
    </row>
    <row r="745" spans="1:5" ht="12.75" customHeight="1" x14ac:dyDescent="0.2">
      <c r="A745" s="38"/>
      <c r="B745" s="38"/>
      <c r="C745" s="8"/>
      <c r="D745" s="8"/>
      <c r="E745" s="8"/>
    </row>
    <row r="746" spans="1:5" ht="12.75" customHeight="1" x14ac:dyDescent="0.2">
      <c r="A746" s="38"/>
      <c r="B746" s="38"/>
      <c r="C746" s="8"/>
      <c r="D746" s="8"/>
      <c r="E746" s="8"/>
    </row>
    <row r="747" spans="1:5" ht="12.75" customHeight="1" x14ac:dyDescent="0.2">
      <c r="A747" s="38"/>
      <c r="B747" s="38"/>
      <c r="C747" s="8"/>
      <c r="D747" s="8"/>
      <c r="E747" s="8"/>
    </row>
    <row r="748" spans="1:5" ht="12.75" customHeight="1" x14ac:dyDescent="0.2">
      <c r="A748" s="38"/>
      <c r="B748" s="38"/>
      <c r="C748" s="8"/>
      <c r="D748" s="8"/>
      <c r="E748" s="8"/>
    </row>
    <row r="749" spans="1:5" ht="12.75" customHeight="1" x14ac:dyDescent="0.2">
      <c r="A749" s="38"/>
      <c r="B749" s="38"/>
      <c r="C749" s="8"/>
      <c r="D749" s="8"/>
      <c r="E749" s="8"/>
    </row>
    <row r="750" spans="1:5" ht="12.75" customHeight="1" x14ac:dyDescent="0.2">
      <c r="A750" s="38"/>
      <c r="B750" s="38"/>
      <c r="C750" s="8"/>
      <c r="D750" s="8"/>
      <c r="E750" s="8"/>
    </row>
    <row r="751" spans="1:5" ht="12.75" customHeight="1" x14ac:dyDescent="0.2">
      <c r="A751" s="38"/>
      <c r="B751" s="38"/>
      <c r="C751" s="8"/>
      <c r="D751" s="8"/>
      <c r="E751" s="8"/>
    </row>
    <row r="752" spans="1:5" ht="12.75" customHeight="1" x14ac:dyDescent="0.2">
      <c r="A752" s="38"/>
      <c r="B752" s="38"/>
      <c r="C752" s="8"/>
      <c r="D752" s="8"/>
      <c r="E752" s="8"/>
    </row>
    <row r="753" spans="1:5" ht="12.75" customHeight="1" x14ac:dyDescent="0.2">
      <c r="A753" s="38"/>
      <c r="B753" s="38"/>
      <c r="C753" s="8"/>
      <c r="D753" s="8"/>
      <c r="E753" s="8"/>
    </row>
    <row r="754" spans="1:5" ht="12.75" customHeight="1" x14ac:dyDescent="0.2">
      <c r="A754" s="38"/>
      <c r="B754" s="38"/>
      <c r="C754" s="8"/>
      <c r="D754" s="8"/>
      <c r="E754" s="8"/>
    </row>
    <row r="755" spans="1:5" ht="12.75" customHeight="1" x14ac:dyDescent="0.2">
      <c r="A755" s="38"/>
      <c r="B755" s="38"/>
      <c r="C755" s="8"/>
      <c r="D755" s="8"/>
      <c r="E755" s="8"/>
    </row>
    <row r="756" spans="1:5" ht="12.75" customHeight="1" x14ac:dyDescent="0.2">
      <c r="A756" s="38"/>
      <c r="B756" s="38"/>
      <c r="C756" s="8"/>
      <c r="D756" s="8"/>
      <c r="E756" s="8"/>
    </row>
    <row r="757" spans="1:5" ht="12.75" customHeight="1" x14ac:dyDescent="0.2">
      <c r="A757" s="38"/>
      <c r="B757" s="38"/>
      <c r="C757" s="8"/>
      <c r="D757" s="8"/>
      <c r="E757" s="8"/>
    </row>
    <row r="758" spans="1:5" ht="12.75" customHeight="1" x14ac:dyDescent="0.2">
      <c r="A758" s="38"/>
      <c r="B758" s="38"/>
      <c r="C758" s="8"/>
      <c r="D758" s="8"/>
      <c r="E758" s="8"/>
    </row>
    <row r="759" spans="1:5" ht="12.75" customHeight="1" x14ac:dyDescent="0.2">
      <c r="A759" s="38"/>
      <c r="B759" s="38"/>
      <c r="C759" s="8"/>
      <c r="D759" s="8"/>
      <c r="E759" s="8"/>
    </row>
    <row r="760" spans="1:5" ht="12.75" customHeight="1" x14ac:dyDescent="0.2">
      <c r="A760" s="38"/>
      <c r="B760" s="38"/>
      <c r="C760" s="8"/>
      <c r="D760" s="8"/>
      <c r="E760" s="8"/>
    </row>
    <row r="761" spans="1:5" ht="12.75" customHeight="1" x14ac:dyDescent="0.2">
      <c r="A761" s="38"/>
      <c r="B761" s="38"/>
      <c r="C761" s="8"/>
      <c r="D761" s="8"/>
      <c r="E761" s="8"/>
    </row>
    <row r="762" spans="1:5" ht="12.75" customHeight="1" x14ac:dyDescent="0.2">
      <c r="A762" s="38"/>
      <c r="B762" s="38"/>
      <c r="C762" s="8"/>
      <c r="D762" s="8"/>
      <c r="E762" s="8"/>
    </row>
    <row r="763" spans="1:5" ht="12.75" customHeight="1" x14ac:dyDescent="0.2">
      <c r="A763" s="38"/>
      <c r="B763" s="38"/>
      <c r="C763" s="8"/>
      <c r="D763" s="8"/>
      <c r="E763" s="8"/>
    </row>
    <row r="764" spans="1:5" ht="12.75" customHeight="1" x14ac:dyDescent="0.2">
      <c r="A764" s="38"/>
      <c r="B764" s="38"/>
      <c r="C764" s="8"/>
      <c r="D764" s="8"/>
      <c r="E764" s="8"/>
    </row>
    <row r="765" spans="1:5" ht="12.75" customHeight="1" x14ac:dyDescent="0.2">
      <c r="A765" s="38"/>
      <c r="B765" s="38"/>
      <c r="C765" s="8"/>
      <c r="D765" s="8"/>
      <c r="E765" s="8"/>
    </row>
    <row r="766" spans="1:5" ht="12.75" customHeight="1" x14ac:dyDescent="0.2">
      <c r="A766" s="38"/>
      <c r="B766" s="38"/>
      <c r="C766" s="8"/>
      <c r="D766" s="8"/>
      <c r="E766" s="8"/>
    </row>
    <row r="767" spans="1:5" ht="12.75" customHeight="1" x14ac:dyDescent="0.2">
      <c r="A767" s="38"/>
      <c r="B767" s="38"/>
      <c r="C767" s="8"/>
      <c r="D767" s="8"/>
      <c r="E767" s="8"/>
    </row>
    <row r="768" spans="1:5" ht="12.75" customHeight="1" x14ac:dyDescent="0.2">
      <c r="A768" s="38"/>
      <c r="B768" s="38"/>
      <c r="C768" s="8"/>
      <c r="D768" s="8"/>
      <c r="E768" s="8"/>
    </row>
    <row r="769" spans="1:5" ht="12.75" customHeight="1" x14ac:dyDescent="0.2">
      <c r="A769" s="38"/>
      <c r="B769" s="38"/>
      <c r="C769" s="8"/>
      <c r="D769" s="8"/>
      <c r="E769" s="8"/>
    </row>
    <row r="770" spans="1:5" ht="12.75" customHeight="1" x14ac:dyDescent="0.2">
      <c r="A770" s="38"/>
      <c r="B770" s="38"/>
      <c r="C770" s="8"/>
      <c r="D770" s="8"/>
      <c r="E770" s="8"/>
    </row>
    <row r="771" spans="1:5" ht="12.75" customHeight="1" x14ac:dyDescent="0.2">
      <c r="A771" s="38"/>
      <c r="B771" s="38"/>
      <c r="C771" s="8"/>
      <c r="D771" s="8"/>
      <c r="E771" s="8"/>
    </row>
    <row r="772" spans="1:5" ht="12.75" customHeight="1" x14ac:dyDescent="0.2">
      <c r="A772" s="38"/>
      <c r="B772" s="38"/>
      <c r="C772" s="8"/>
      <c r="D772" s="8"/>
      <c r="E772" s="8"/>
    </row>
    <row r="773" spans="1:5" ht="12.75" customHeight="1" x14ac:dyDescent="0.2">
      <c r="A773" s="38"/>
      <c r="B773" s="38"/>
      <c r="C773" s="8"/>
      <c r="D773" s="8"/>
      <c r="E773" s="8"/>
    </row>
    <row r="774" spans="1:5" ht="12.75" customHeight="1" x14ac:dyDescent="0.2">
      <c r="A774" s="38"/>
      <c r="B774" s="38"/>
      <c r="C774" s="8"/>
      <c r="D774" s="8"/>
      <c r="E774" s="8"/>
    </row>
    <row r="775" spans="1:5" ht="12.75" customHeight="1" x14ac:dyDescent="0.2">
      <c r="A775" s="38"/>
      <c r="B775" s="38"/>
      <c r="C775" s="8"/>
      <c r="D775" s="8"/>
      <c r="E775" s="8"/>
    </row>
    <row r="776" spans="1:5" ht="12.75" customHeight="1" x14ac:dyDescent="0.2">
      <c r="A776" s="38"/>
      <c r="B776" s="38"/>
      <c r="C776" s="8"/>
      <c r="D776" s="8"/>
      <c r="E776" s="8"/>
    </row>
    <row r="777" spans="1:5" ht="12.75" customHeight="1" x14ac:dyDescent="0.2">
      <c r="A777" s="38"/>
      <c r="B777" s="38"/>
      <c r="C777" s="8"/>
      <c r="D777" s="8"/>
      <c r="E777" s="8"/>
    </row>
    <row r="778" spans="1:5" ht="12.75" customHeight="1" x14ac:dyDescent="0.2">
      <c r="A778" s="38"/>
      <c r="B778" s="38"/>
      <c r="C778" s="8"/>
      <c r="D778" s="8"/>
      <c r="E778" s="8"/>
    </row>
    <row r="779" spans="1:5" ht="12.75" customHeight="1" x14ac:dyDescent="0.2">
      <c r="A779" s="38"/>
      <c r="B779" s="38"/>
      <c r="C779" s="8"/>
      <c r="D779" s="8"/>
      <c r="E779" s="8"/>
    </row>
    <row r="780" spans="1:5" ht="12.75" customHeight="1" x14ac:dyDescent="0.2">
      <c r="A780" s="38"/>
      <c r="B780" s="38"/>
      <c r="C780" s="8"/>
      <c r="D780" s="8"/>
      <c r="E780" s="8"/>
    </row>
    <row r="781" spans="1:5" ht="12.75" customHeight="1" x14ac:dyDescent="0.2">
      <c r="A781" s="38"/>
      <c r="B781" s="38"/>
      <c r="C781" s="8"/>
      <c r="D781" s="8"/>
      <c r="E781" s="8"/>
    </row>
    <row r="782" spans="1:5" ht="12.75" customHeight="1" x14ac:dyDescent="0.2">
      <c r="A782" s="38"/>
      <c r="B782" s="38"/>
      <c r="C782" s="8"/>
      <c r="D782" s="8"/>
      <c r="E782" s="8"/>
    </row>
    <row r="783" spans="1:5" ht="12.75" customHeight="1" x14ac:dyDescent="0.2">
      <c r="A783" s="38"/>
      <c r="B783" s="38"/>
      <c r="C783" s="8"/>
      <c r="D783" s="8"/>
      <c r="E783" s="8"/>
    </row>
    <row r="784" spans="1:5" ht="12.75" customHeight="1" x14ac:dyDescent="0.2">
      <c r="A784" s="38"/>
      <c r="B784" s="38"/>
      <c r="C784" s="8"/>
      <c r="D784" s="8"/>
      <c r="E784" s="8"/>
    </row>
    <row r="785" spans="1:5" ht="12.75" customHeight="1" x14ac:dyDescent="0.2">
      <c r="A785" s="38"/>
      <c r="B785" s="38"/>
      <c r="C785" s="8"/>
      <c r="D785" s="8"/>
      <c r="E785" s="8"/>
    </row>
    <row r="786" spans="1:5" ht="12.75" customHeight="1" x14ac:dyDescent="0.2">
      <c r="A786" s="38"/>
      <c r="B786" s="38"/>
      <c r="C786" s="8"/>
      <c r="D786" s="8"/>
      <c r="E786" s="8"/>
    </row>
    <row r="787" spans="1:5" ht="12.75" customHeight="1" x14ac:dyDescent="0.2">
      <c r="A787" s="38"/>
      <c r="B787" s="38"/>
      <c r="C787" s="8"/>
      <c r="D787" s="8"/>
      <c r="E787" s="8"/>
    </row>
    <row r="788" spans="1:5" ht="12.75" customHeight="1" x14ac:dyDescent="0.2">
      <c r="A788" s="38"/>
      <c r="B788" s="38"/>
      <c r="C788" s="8"/>
      <c r="D788" s="8"/>
      <c r="E788" s="8"/>
    </row>
    <row r="789" spans="1:5" ht="12.75" customHeight="1" x14ac:dyDescent="0.2">
      <c r="A789" s="38"/>
      <c r="B789" s="38"/>
      <c r="C789" s="8"/>
      <c r="D789" s="8"/>
      <c r="E789" s="8"/>
    </row>
    <row r="790" spans="1:5" ht="12.75" customHeight="1" x14ac:dyDescent="0.2">
      <c r="A790" s="38"/>
      <c r="B790" s="38"/>
      <c r="C790" s="8"/>
      <c r="D790" s="8"/>
      <c r="E790" s="8"/>
    </row>
    <row r="791" spans="1:5" ht="12.75" customHeight="1" x14ac:dyDescent="0.2">
      <c r="A791" s="38"/>
      <c r="B791" s="38"/>
      <c r="C791" s="8"/>
      <c r="D791" s="8"/>
      <c r="E791" s="8"/>
    </row>
    <row r="792" spans="1:5" ht="12.75" customHeight="1" x14ac:dyDescent="0.2">
      <c r="A792" s="38"/>
      <c r="B792" s="38"/>
      <c r="C792" s="8"/>
      <c r="D792" s="8"/>
      <c r="E792" s="8"/>
    </row>
    <row r="793" spans="1:5" ht="12.75" customHeight="1" x14ac:dyDescent="0.2">
      <c r="A793" s="38"/>
      <c r="B793" s="38"/>
      <c r="C793" s="8"/>
      <c r="D793" s="8"/>
      <c r="E793" s="8"/>
    </row>
    <row r="794" spans="1:5" ht="12.75" customHeight="1" x14ac:dyDescent="0.2">
      <c r="A794" s="38"/>
      <c r="B794" s="38"/>
      <c r="C794" s="8"/>
      <c r="D794" s="8"/>
      <c r="E794" s="8"/>
    </row>
    <row r="795" spans="1:5" ht="12.75" customHeight="1" x14ac:dyDescent="0.2">
      <c r="A795" s="38"/>
      <c r="B795" s="38"/>
      <c r="C795" s="8"/>
      <c r="D795" s="8"/>
      <c r="E795" s="8"/>
    </row>
    <row r="796" spans="1:5" ht="12.75" customHeight="1" x14ac:dyDescent="0.2">
      <c r="A796" s="38"/>
      <c r="B796" s="38"/>
      <c r="C796" s="8"/>
      <c r="D796" s="8"/>
      <c r="E796" s="8"/>
    </row>
    <row r="797" spans="1:5" ht="12.75" customHeight="1" x14ac:dyDescent="0.2">
      <c r="A797" s="38"/>
      <c r="B797" s="38"/>
      <c r="C797" s="8"/>
      <c r="D797" s="8"/>
      <c r="E797" s="8"/>
    </row>
    <row r="798" spans="1:5" ht="12.75" customHeight="1" x14ac:dyDescent="0.2">
      <c r="A798" s="38"/>
      <c r="B798" s="38"/>
      <c r="C798" s="8"/>
      <c r="D798" s="8"/>
      <c r="E798" s="8"/>
    </row>
    <row r="799" spans="1:5" ht="12.75" customHeight="1" x14ac:dyDescent="0.2">
      <c r="A799" s="38"/>
      <c r="B799" s="38"/>
      <c r="C799" s="8"/>
      <c r="D799" s="8"/>
      <c r="E799" s="8"/>
    </row>
    <row r="800" spans="1:5" ht="12.75" customHeight="1" x14ac:dyDescent="0.2">
      <c r="A800" s="38"/>
      <c r="B800" s="38"/>
      <c r="C800" s="8"/>
      <c r="D800" s="8"/>
      <c r="E800" s="8"/>
    </row>
    <row r="801" spans="1:5" ht="12.75" customHeight="1" x14ac:dyDescent="0.2">
      <c r="A801" s="38"/>
      <c r="B801" s="38"/>
      <c r="C801" s="8"/>
      <c r="D801" s="8"/>
      <c r="E801" s="8"/>
    </row>
    <row r="802" spans="1:5" ht="12.75" customHeight="1" x14ac:dyDescent="0.2">
      <c r="A802" s="38"/>
      <c r="B802" s="38"/>
      <c r="C802" s="8"/>
      <c r="D802" s="8"/>
      <c r="E802" s="8"/>
    </row>
    <row r="803" spans="1:5" ht="12.75" customHeight="1" x14ac:dyDescent="0.2">
      <c r="A803" s="38"/>
      <c r="B803" s="38"/>
      <c r="C803" s="8"/>
      <c r="D803" s="8"/>
      <c r="E803" s="8"/>
    </row>
    <row r="804" spans="1:5" ht="12.75" customHeight="1" x14ac:dyDescent="0.2">
      <c r="A804" s="38"/>
      <c r="B804" s="38"/>
      <c r="C804" s="8"/>
      <c r="D804" s="8"/>
      <c r="E804" s="8"/>
    </row>
    <row r="805" spans="1:5" ht="12.75" customHeight="1" x14ac:dyDescent="0.2">
      <c r="A805" s="38"/>
      <c r="B805" s="38"/>
      <c r="C805" s="8"/>
      <c r="D805" s="8"/>
      <c r="E805" s="8"/>
    </row>
    <row r="806" spans="1:5" ht="12.75" customHeight="1" x14ac:dyDescent="0.2">
      <c r="A806" s="38"/>
      <c r="B806" s="38"/>
      <c r="E806" s="8"/>
    </row>
    <row r="807" spans="1:5" ht="12.75" customHeight="1" x14ac:dyDescent="0.2">
      <c r="A807" s="38"/>
      <c r="B807" s="38"/>
      <c r="E807" s="8"/>
    </row>
    <row r="808" spans="1:5" ht="12.75" customHeight="1" x14ac:dyDescent="0.2">
      <c r="A808" s="38"/>
      <c r="B808" s="38"/>
      <c r="E808" s="8"/>
    </row>
    <row r="809" spans="1:5" ht="12.75" customHeight="1" x14ac:dyDescent="0.2">
      <c r="A809" s="38"/>
      <c r="B809" s="38"/>
      <c r="E809" s="8"/>
    </row>
    <row r="810" spans="1:5" ht="12.75" customHeight="1" x14ac:dyDescent="0.2">
      <c r="A810" s="38"/>
      <c r="B810" s="38"/>
      <c r="E810" s="8"/>
    </row>
    <row r="811" spans="1:5" ht="12.75" customHeight="1" x14ac:dyDescent="0.2">
      <c r="A811" s="38"/>
      <c r="B811" s="38"/>
      <c r="E811" s="8"/>
    </row>
    <row r="812" spans="1:5" ht="15" customHeight="1" x14ac:dyDescent="0.2">
      <c r="A812" s="38"/>
      <c r="B812" s="38"/>
      <c r="E812" s="8"/>
    </row>
    <row r="813" spans="1:5" ht="15" customHeight="1" x14ac:dyDescent="0.2">
      <c r="A813" s="38"/>
      <c r="B813" s="38"/>
      <c r="E813" s="8"/>
    </row>
    <row r="814" spans="1:5" ht="15" customHeight="1" x14ac:dyDescent="0.2">
      <c r="A814" s="38"/>
      <c r="B814" s="38"/>
      <c r="E814" s="8"/>
    </row>
    <row r="815" spans="1:5" ht="15" customHeight="1" x14ac:dyDescent="0.2">
      <c r="A815" s="38"/>
      <c r="B815" s="38"/>
      <c r="E815" s="8"/>
    </row>
    <row r="816" spans="1:5" ht="15" customHeight="1" x14ac:dyDescent="0.2">
      <c r="A816" s="38"/>
      <c r="B816" s="38"/>
      <c r="E816" s="8"/>
    </row>
    <row r="817" spans="1:5" ht="15" customHeight="1" x14ac:dyDescent="0.2">
      <c r="A817" s="38"/>
      <c r="B817" s="38"/>
      <c r="E817" s="8"/>
    </row>
    <row r="818" spans="1:5" ht="15" customHeight="1" x14ac:dyDescent="0.2">
      <c r="A818" s="38"/>
      <c r="B818" s="38"/>
      <c r="E818" s="8"/>
    </row>
    <row r="819" spans="1:5" ht="15" customHeight="1" x14ac:dyDescent="0.2">
      <c r="A819" s="38"/>
      <c r="B819" s="38"/>
      <c r="E819" s="8"/>
    </row>
    <row r="820" spans="1:5" ht="15" customHeight="1" x14ac:dyDescent="0.2">
      <c r="A820" s="38"/>
      <c r="B820" s="38"/>
      <c r="E820" s="8"/>
    </row>
    <row r="821" spans="1:5" ht="15" customHeight="1" x14ac:dyDescent="0.2">
      <c r="A821" s="38"/>
      <c r="B821" s="38"/>
      <c r="E821" s="8"/>
    </row>
    <row r="822" spans="1:5" ht="15" customHeight="1" x14ac:dyDescent="0.2">
      <c r="A822" s="38"/>
      <c r="B822" s="38"/>
      <c r="E822" s="8"/>
    </row>
    <row r="823" spans="1:5" ht="15" customHeight="1" x14ac:dyDescent="0.2">
      <c r="A823" s="38"/>
      <c r="B823" s="38"/>
      <c r="E823" s="8"/>
    </row>
    <row r="824" spans="1:5" ht="15" customHeight="1" x14ac:dyDescent="0.2">
      <c r="A824" s="38"/>
      <c r="B824" s="38"/>
      <c r="E824" s="8"/>
    </row>
    <row r="825" spans="1:5" ht="15" customHeight="1" x14ac:dyDescent="0.2">
      <c r="A825" s="38"/>
      <c r="B825" s="38"/>
      <c r="E825" s="8"/>
    </row>
    <row r="826" spans="1:5" ht="15" customHeight="1" x14ac:dyDescent="0.2">
      <c r="A826" s="38"/>
      <c r="B826" s="38"/>
      <c r="E826" s="8"/>
    </row>
    <row r="827" spans="1:5" ht="15" customHeight="1" x14ac:dyDescent="0.2">
      <c r="A827" s="38"/>
      <c r="B827" s="38"/>
      <c r="E827" s="8"/>
    </row>
    <row r="828" spans="1:5" ht="15" customHeight="1" x14ac:dyDescent="0.2">
      <c r="A828" s="38"/>
      <c r="B828" s="38"/>
      <c r="E828" s="8"/>
    </row>
    <row r="829" spans="1:5" ht="15" customHeight="1" x14ac:dyDescent="0.2">
      <c r="A829" s="38"/>
      <c r="B829" s="38"/>
      <c r="E829" s="8"/>
    </row>
    <row r="830" spans="1:5" ht="15" customHeight="1" x14ac:dyDescent="0.2">
      <c r="A830" s="38"/>
      <c r="B830" s="38"/>
      <c r="E830" s="8"/>
    </row>
    <row r="831" spans="1:5" ht="15" customHeight="1" x14ac:dyDescent="0.2">
      <c r="A831" s="38"/>
      <c r="B831" s="38"/>
      <c r="E831" s="8"/>
    </row>
    <row r="832" spans="1:5" ht="15" customHeight="1" x14ac:dyDescent="0.2">
      <c r="A832" s="38"/>
      <c r="B832" s="38"/>
      <c r="E832" s="8"/>
    </row>
    <row r="833" spans="1:5" ht="15" customHeight="1" x14ac:dyDescent="0.2">
      <c r="A833" s="38"/>
      <c r="B833" s="38"/>
      <c r="E833" s="8"/>
    </row>
    <row r="834" spans="1:5" ht="15" customHeight="1" x14ac:dyDescent="0.2">
      <c r="A834" s="38"/>
      <c r="B834" s="38"/>
      <c r="E834" s="8"/>
    </row>
    <row r="835" spans="1:5" ht="15" customHeight="1" x14ac:dyDescent="0.2">
      <c r="A835" s="38"/>
      <c r="B835" s="38"/>
      <c r="E835" s="8"/>
    </row>
    <row r="836" spans="1:5" ht="15" customHeight="1" x14ac:dyDescent="0.2">
      <c r="A836" s="38"/>
      <c r="B836" s="38"/>
      <c r="E836" s="8"/>
    </row>
    <row r="837" spans="1:5" ht="15" customHeight="1" x14ac:dyDescent="0.2">
      <c r="A837" s="38"/>
      <c r="B837" s="38"/>
      <c r="E837" s="8"/>
    </row>
    <row r="838" spans="1:5" ht="15" customHeight="1" x14ac:dyDescent="0.2">
      <c r="A838" s="38"/>
      <c r="B838" s="38"/>
      <c r="E838" s="8"/>
    </row>
    <row r="839" spans="1:5" ht="15" customHeight="1" x14ac:dyDescent="0.2">
      <c r="A839" s="38"/>
      <c r="B839" s="38"/>
      <c r="E839" s="8"/>
    </row>
    <row r="840" spans="1:5" ht="15" customHeight="1" x14ac:dyDescent="0.2">
      <c r="A840" s="38"/>
      <c r="B840" s="38"/>
      <c r="E840" s="8"/>
    </row>
    <row r="841" spans="1:5" ht="15" customHeight="1" x14ac:dyDescent="0.2">
      <c r="A841" s="38"/>
      <c r="B841" s="38"/>
      <c r="E841" s="8"/>
    </row>
    <row r="842" spans="1:5" ht="15" customHeight="1" x14ac:dyDescent="0.2">
      <c r="A842" s="38"/>
      <c r="B842" s="38"/>
      <c r="E842" s="8"/>
    </row>
    <row r="843" spans="1:5" ht="15" customHeight="1" x14ac:dyDescent="0.2">
      <c r="A843" s="38"/>
      <c r="B843" s="38"/>
      <c r="E843" s="8"/>
    </row>
    <row r="844" spans="1:5" ht="15" customHeight="1" x14ac:dyDescent="0.2">
      <c r="A844" s="38"/>
      <c r="B844" s="38"/>
      <c r="E844" s="8"/>
    </row>
    <row r="845" spans="1:5" ht="15" customHeight="1" x14ac:dyDescent="0.2">
      <c r="A845" s="38"/>
      <c r="B845" s="38"/>
      <c r="E845" s="8"/>
    </row>
    <row r="846" spans="1:5" ht="15" customHeight="1" x14ac:dyDescent="0.2">
      <c r="A846" s="38"/>
      <c r="B846" s="38"/>
      <c r="E846" s="8"/>
    </row>
    <row r="847" spans="1:5" ht="15" customHeight="1" x14ac:dyDescent="0.2">
      <c r="A847" s="38"/>
      <c r="B847" s="38"/>
      <c r="E847" s="8"/>
    </row>
    <row r="848" spans="1:5" ht="15" customHeight="1" x14ac:dyDescent="0.2">
      <c r="A848" s="38"/>
      <c r="B848" s="38"/>
      <c r="E848" s="8"/>
    </row>
    <row r="849" spans="1:5" ht="15" customHeight="1" x14ac:dyDescent="0.2">
      <c r="A849" s="38"/>
      <c r="B849" s="38"/>
      <c r="E849" s="8"/>
    </row>
    <row r="850" spans="1:5" ht="15" customHeight="1" x14ac:dyDescent="0.2">
      <c r="A850" s="38"/>
      <c r="B850" s="38"/>
      <c r="E850" s="8"/>
    </row>
    <row r="851" spans="1:5" ht="15" customHeight="1" x14ac:dyDescent="0.2">
      <c r="A851" s="38"/>
      <c r="B851" s="38"/>
      <c r="E851" s="8"/>
    </row>
    <row r="852" spans="1:5" ht="15" customHeight="1" x14ac:dyDescent="0.2">
      <c r="A852" s="38"/>
      <c r="B852" s="38"/>
      <c r="E852" s="8"/>
    </row>
    <row r="853" spans="1:5" ht="15" customHeight="1" x14ac:dyDescent="0.2">
      <c r="A853" s="38"/>
      <c r="B853" s="38"/>
      <c r="E853" s="8"/>
    </row>
    <row r="854" spans="1:5" ht="15" customHeight="1" x14ac:dyDescent="0.2">
      <c r="A854" s="38"/>
      <c r="B854" s="38"/>
      <c r="E854" s="8"/>
    </row>
    <row r="855" spans="1:5" ht="15" customHeight="1" x14ac:dyDescent="0.2">
      <c r="A855" s="38"/>
      <c r="B855" s="38"/>
      <c r="E855" s="8"/>
    </row>
    <row r="856" spans="1:5" ht="15" customHeight="1" x14ac:dyDescent="0.2">
      <c r="A856" s="38"/>
      <c r="B856" s="38"/>
      <c r="E856" s="8"/>
    </row>
    <row r="857" spans="1:5" ht="15" customHeight="1" x14ac:dyDescent="0.2">
      <c r="A857" s="38"/>
      <c r="B857" s="38"/>
      <c r="E857" s="8"/>
    </row>
    <row r="858" spans="1:5" ht="15" customHeight="1" x14ac:dyDescent="0.2">
      <c r="A858" s="38"/>
      <c r="B858" s="38"/>
      <c r="E858" s="8"/>
    </row>
    <row r="859" spans="1:5" ht="15" customHeight="1" x14ac:dyDescent="0.2">
      <c r="A859" s="38"/>
      <c r="B859" s="38"/>
      <c r="E859" s="8"/>
    </row>
    <row r="860" spans="1:5" ht="15" customHeight="1" x14ac:dyDescent="0.2">
      <c r="A860" s="38"/>
      <c r="B860" s="38"/>
      <c r="E860" s="8"/>
    </row>
    <row r="861" spans="1:5" ht="15" customHeight="1" x14ac:dyDescent="0.2">
      <c r="A861" s="38"/>
      <c r="B861" s="38"/>
      <c r="E861" s="8"/>
    </row>
    <row r="862" spans="1:5" ht="15" customHeight="1" x14ac:dyDescent="0.2">
      <c r="A862" s="38"/>
      <c r="B862" s="38"/>
      <c r="E862" s="8"/>
    </row>
    <row r="863" spans="1:5" ht="15" customHeight="1" x14ac:dyDescent="0.2">
      <c r="A863" s="38"/>
      <c r="B863" s="38"/>
      <c r="E863" s="8"/>
    </row>
    <row r="864" spans="1:5" ht="15" customHeight="1" x14ac:dyDescent="0.2">
      <c r="A864" s="38"/>
      <c r="B864" s="38"/>
      <c r="E864" s="8"/>
    </row>
    <row r="865" spans="1:5" ht="15" customHeight="1" x14ac:dyDescent="0.2">
      <c r="A865" s="38"/>
      <c r="B865" s="38"/>
      <c r="E865" s="8"/>
    </row>
    <row r="866" spans="1:5" ht="15" customHeight="1" x14ac:dyDescent="0.2">
      <c r="A866" s="38"/>
      <c r="B866" s="38"/>
      <c r="E866" s="8"/>
    </row>
    <row r="867" spans="1:5" ht="15" customHeight="1" x14ac:dyDescent="0.2">
      <c r="A867" s="38"/>
      <c r="B867" s="38"/>
      <c r="E867" s="8"/>
    </row>
    <row r="868" spans="1:5" ht="15" customHeight="1" x14ac:dyDescent="0.2">
      <c r="A868" s="38"/>
      <c r="B868" s="38"/>
      <c r="E868" s="8"/>
    </row>
    <row r="869" spans="1:5" ht="15" customHeight="1" x14ac:dyDescent="0.2">
      <c r="A869" s="38"/>
      <c r="B869" s="38"/>
      <c r="E869" s="8"/>
    </row>
    <row r="870" spans="1:5" ht="15" customHeight="1" x14ac:dyDescent="0.2">
      <c r="A870" s="38"/>
      <c r="B870" s="38"/>
      <c r="E870" s="8"/>
    </row>
    <row r="871" spans="1:5" ht="15" customHeight="1" x14ac:dyDescent="0.2">
      <c r="A871" s="38"/>
      <c r="B871" s="38"/>
      <c r="E871" s="8"/>
    </row>
    <row r="872" spans="1:5" ht="15" customHeight="1" x14ac:dyDescent="0.2">
      <c r="A872" s="38"/>
      <c r="B872" s="38"/>
      <c r="E872" s="8"/>
    </row>
    <row r="873" spans="1:5" ht="15" customHeight="1" x14ac:dyDescent="0.2">
      <c r="A873" s="38"/>
      <c r="B873" s="38"/>
      <c r="E873" s="8"/>
    </row>
    <row r="874" spans="1:5" ht="15" customHeight="1" x14ac:dyDescent="0.2">
      <c r="A874" s="38"/>
      <c r="B874" s="38"/>
      <c r="E874" s="8"/>
    </row>
    <row r="875" spans="1:5" ht="15" customHeight="1" x14ac:dyDescent="0.2">
      <c r="A875" s="38"/>
      <c r="B875" s="38"/>
      <c r="E875" s="8"/>
    </row>
    <row r="876" spans="1:5" ht="15" customHeight="1" x14ac:dyDescent="0.2">
      <c r="A876" s="38"/>
      <c r="B876" s="38"/>
      <c r="E876" s="8"/>
    </row>
    <row r="877" spans="1:5" ht="15" customHeight="1" x14ac:dyDescent="0.2">
      <c r="A877" s="38"/>
      <c r="B877" s="38"/>
      <c r="E877" s="8"/>
    </row>
    <row r="878" spans="1:5" ht="15" customHeight="1" x14ac:dyDescent="0.2">
      <c r="A878" s="38"/>
      <c r="B878" s="38"/>
      <c r="E878" s="8"/>
    </row>
    <row r="879" spans="1:5" ht="15" customHeight="1" x14ac:dyDescent="0.2">
      <c r="A879" s="38"/>
      <c r="B879" s="38"/>
      <c r="E879" s="8"/>
    </row>
    <row r="880" spans="1:5" ht="15" customHeight="1" x14ac:dyDescent="0.2">
      <c r="A880" s="38"/>
      <c r="B880" s="38"/>
      <c r="E880" s="8"/>
    </row>
    <row r="881" spans="1:5" ht="15" customHeight="1" x14ac:dyDescent="0.2">
      <c r="A881" s="38"/>
      <c r="B881" s="38"/>
      <c r="E881" s="8"/>
    </row>
    <row r="882" spans="1:5" ht="15" customHeight="1" x14ac:dyDescent="0.2">
      <c r="A882" s="38"/>
      <c r="B882" s="38"/>
      <c r="E882" s="8"/>
    </row>
    <row r="883" spans="1:5" ht="15" customHeight="1" x14ac:dyDescent="0.2">
      <c r="A883" s="38"/>
      <c r="B883" s="38"/>
      <c r="E883" s="8"/>
    </row>
    <row r="884" spans="1:5" ht="15" customHeight="1" x14ac:dyDescent="0.2">
      <c r="A884" s="38"/>
      <c r="B884" s="38"/>
      <c r="E884" s="8"/>
    </row>
    <row r="885" spans="1:5" ht="15" customHeight="1" x14ac:dyDescent="0.2">
      <c r="A885" s="38"/>
      <c r="B885" s="38"/>
      <c r="E885" s="8"/>
    </row>
    <row r="886" spans="1:5" ht="15" customHeight="1" x14ac:dyDescent="0.2">
      <c r="A886" s="38"/>
      <c r="B886" s="38"/>
      <c r="E886" s="8"/>
    </row>
    <row r="887" spans="1:5" ht="15" customHeight="1" x14ac:dyDescent="0.2">
      <c r="A887" s="38"/>
      <c r="B887" s="38"/>
      <c r="E887" s="8"/>
    </row>
    <row r="888" spans="1:5" ht="15" customHeight="1" x14ac:dyDescent="0.2">
      <c r="A888" s="38"/>
      <c r="B888" s="38"/>
      <c r="E888" s="8"/>
    </row>
    <row r="889" spans="1:5" ht="15" customHeight="1" x14ac:dyDescent="0.2">
      <c r="A889" s="38"/>
      <c r="B889" s="38"/>
      <c r="E889" s="8"/>
    </row>
    <row r="890" spans="1:5" ht="15" customHeight="1" x14ac:dyDescent="0.2">
      <c r="A890" s="38"/>
      <c r="B890" s="38"/>
      <c r="E890" s="8"/>
    </row>
    <row r="891" spans="1:5" ht="15" customHeight="1" x14ac:dyDescent="0.2">
      <c r="A891" s="38"/>
      <c r="B891" s="38"/>
      <c r="E891" s="8"/>
    </row>
    <row r="892" spans="1:5" ht="15" customHeight="1" x14ac:dyDescent="0.2">
      <c r="A892" s="38"/>
      <c r="B892" s="38"/>
      <c r="E892" s="8"/>
    </row>
    <row r="893" spans="1:5" ht="15" customHeight="1" x14ac:dyDescent="0.2">
      <c r="A893" s="38"/>
      <c r="B893" s="38"/>
      <c r="E893" s="8"/>
    </row>
    <row r="894" spans="1:5" ht="15" customHeight="1" x14ac:dyDescent="0.2">
      <c r="A894" s="38"/>
      <c r="B894" s="38"/>
      <c r="E894" s="8"/>
    </row>
    <row r="895" spans="1:5" ht="15" customHeight="1" x14ac:dyDescent="0.2">
      <c r="A895" s="38"/>
      <c r="B895" s="38"/>
      <c r="E895" s="8"/>
    </row>
    <row r="896" spans="1:5" ht="15" customHeight="1" x14ac:dyDescent="0.2">
      <c r="A896" s="38"/>
      <c r="B896" s="38"/>
      <c r="E896" s="8"/>
    </row>
    <row r="897" spans="1:5" ht="15" customHeight="1" x14ac:dyDescent="0.2">
      <c r="A897" s="38"/>
      <c r="B897" s="38"/>
      <c r="E897" s="8"/>
    </row>
    <row r="898" spans="1:5" ht="15" customHeight="1" x14ac:dyDescent="0.2">
      <c r="A898" s="38"/>
      <c r="B898" s="38"/>
      <c r="E898" s="8"/>
    </row>
    <row r="899" spans="1:5" ht="15" customHeight="1" x14ac:dyDescent="0.2">
      <c r="A899" s="38"/>
      <c r="B899" s="38"/>
      <c r="E899" s="8"/>
    </row>
    <row r="900" spans="1:5" ht="15" customHeight="1" x14ac:dyDescent="0.2">
      <c r="A900" s="38"/>
      <c r="B900" s="38"/>
      <c r="E900" s="8"/>
    </row>
    <row r="901" spans="1:5" ht="15" customHeight="1" x14ac:dyDescent="0.2">
      <c r="A901" s="38"/>
      <c r="B901" s="38"/>
      <c r="E901" s="8"/>
    </row>
    <row r="902" spans="1:5" ht="15" customHeight="1" x14ac:dyDescent="0.2">
      <c r="A902" s="38"/>
      <c r="B902" s="38"/>
      <c r="E902" s="8"/>
    </row>
    <row r="903" spans="1:5" ht="15" customHeight="1" x14ac:dyDescent="0.2">
      <c r="A903" s="38"/>
      <c r="B903" s="38"/>
      <c r="E903" s="8"/>
    </row>
    <row r="904" spans="1:5" ht="15" customHeight="1" x14ac:dyDescent="0.2">
      <c r="A904" s="38"/>
      <c r="B904" s="38"/>
      <c r="E904" s="8"/>
    </row>
    <row r="905" spans="1:5" ht="15" customHeight="1" x14ac:dyDescent="0.2">
      <c r="A905" s="38"/>
      <c r="B905" s="38"/>
      <c r="E905" s="8"/>
    </row>
    <row r="906" spans="1:5" ht="15" customHeight="1" x14ac:dyDescent="0.2">
      <c r="A906" s="38"/>
      <c r="B906" s="38"/>
      <c r="E906" s="8"/>
    </row>
    <row r="907" spans="1:5" ht="15" customHeight="1" x14ac:dyDescent="0.2">
      <c r="A907" s="38"/>
      <c r="B907" s="38"/>
      <c r="E907" s="8"/>
    </row>
    <row r="908" spans="1:5" ht="15" customHeight="1" x14ac:dyDescent="0.2">
      <c r="A908" s="38"/>
      <c r="B908" s="38"/>
      <c r="E908" s="8"/>
    </row>
    <row r="909" spans="1:5" ht="15" customHeight="1" x14ac:dyDescent="0.2">
      <c r="A909" s="38"/>
      <c r="B909" s="38"/>
      <c r="E909" s="8"/>
    </row>
    <row r="910" spans="1:5" ht="15" customHeight="1" x14ac:dyDescent="0.2">
      <c r="A910" s="38"/>
      <c r="B910" s="38"/>
      <c r="E910" s="8"/>
    </row>
    <row r="911" spans="1:5" ht="15" customHeight="1" x14ac:dyDescent="0.2">
      <c r="A911" s="38"/>
      <c r="B911" s="38"/>
      <c r="E911" s="8"/>
    </row>
    <row r="912" spans="1:5" ht="15" customHeight="1" x14ac:dyDescent="0.2">
      <c r="A912" s="38"/>
      <c r="B912" s="38"/>
      <c r="E912" s="8"/>
    </row>
    <row r="913" spans="1:5" ht="15" customHeight="1" x14ac:dyDescent="0.2">
      <c r="A913" s="38"/>
      <c r="B913" s="38"/>
      <c r="E913" s="8"/>
    </row>
    <row r="914" spans="1:5" ht="15" customHeight="1" x14ac:dyDescent="0.2">
      <c r="A914" s="38"/>
      <c r="B914" s="38"/>
      <c r="E914" s="8"/>
    </row>
    <row r="915" spans="1:5" ht="15" customHeight="1" x14ac:dyDescent="0.2">
      <c r="A915" s="38"/>
      <c r="B915" s="38"/>
      <c r="E915" s="8"/>
    </row>
    <row r="916" spans="1:5" ht="15" customHeight="1" x14ac:dyDescent="0.2">
      <c r="A916" s="38"/>
      <c r="B916" s="38"/>
      <c r="E916" s="8"/>
    </row>
    <row r="917" spans="1:5" ht="15" customHeight="1" x14ac:dyDescent="0.2">
      <c r="A917" s="38"/>
      <c r="B917" s="38"/>
      <c r="E917" s="8"/>
    </row>
    <row r="918" spans="1:5" ht="15" customHeight="1" x14ac:dyDescent="0.2">
      <c r="A918" s="38"/>
      <c r="B918" s="38"/>
      <c r="E918" s="8"/>
    </row>
    <row r="919" spans="1:5" ht="15" customHeight="1" x14ac:dyDescent="0.2">
      <c r="A919" s="38"/>
      <c r="B919" s="38"/>
      <c r="E919" s="8"/>
    </row>
    <row r="920" spans="1:5" ht="15" customHeight="1" x14ac:dyDescent="0.2">
      <c r="A920" s="38"/>
      <c r="B920" s="38"/>
      <c r="E920" s="8"/>
    </row>
    <row r="921" spans="1:5" ht="15" customHeight="1" x14ac:dyDescent="0.2">
      <c r="A921" s="38"/>
      <c r="B921" s="38"/>
      <c r="E921" s="8"/>
    </row>
    <row r="922" spans="1:5" ht="15" customHeight="1" x14ac:dyDescent="0.2">
      <c r="A922" s="38"/>
      <c r="B922" s="38"/>
      <c r="E922" s="8"/>
    </row>
    <row r="923" spans="1:5" ht="15" customHeight="1" x14ac:dyDescent="0.2">
      <c r="A923" s="38"/>
      <c r="B923" s="38"/>
      <c r="E923" s="8"/>
    </row>
    <row r="924" spans="1:5" ht="15" customHeight="1" x14ac:dyDescent="0.2">
      <c r="A924" s="38"/>
      <c r="B924" s="38"/>
      <c r="E924" s="8"/>
    </row>
    <row r="925" spans="1:5" ht="15" customHeight="1" x14ac:dyDescent="0.2">
      <c r="A925" s="38"/>
      <c r="B925" s="38"/>
      <c r="E925" s="8"/>
    </row>
    <row r="926" spans="1:5" ht="15" customHeight="1" x14ac:dyDescent="0.2">
      <c r="A926" s="38"/>
      <c r="B926" s="38"/>
      <c r="E926" s="8"/>
    </row>
    <row r="927" spans="1:5" ht="15" customHeight="1" x14ac:dyDescent="0.2">
      <c r="A927" s="38"/>
      <c r="B927" s="38"/>
      <c r="E927" s="8"/>
    </row>
    <row r="928" spans="1:5" ht="15" customHeight="1" x14ac:dyDescent="0.2">
      <c r="A928" s="38"/>
      <c r="B928" s="38"/>
      <c r="E928" s="8"/>
    </row>
    <row r="929" spans="1:5" ht="15" customHeight="1" x14ac:dyDescent="0.2">
      <c r="A929" s="38"/>
      <c r="B929" s="38"/>
      <c r="E929" s="8"/>
    </row>
    <row r="930" spans="1:5" ht="15" customHeight="1" x14ac:dyDescent="0.2">
      <c r="A930" s="38"/>
      <c r="B930" s="38"/>
      <c r="E930" s="8"/>
    </row>
    <row r="931" spans="1:5" ht="15" customHeight="1" x14ac:dyDescent="0.2">
      <c r="A931" s="38"/>
      <c r="B931" s="38"/>
      <c r="E931" s="8"/>
    </row>
    <row r="932" spans="1:5" ht="15" customHeight="1" x14ac:dyDescent="0.2">
      <c r="A932" s="38"/>
      <c r="B932" s="38"/>
      <c r="E932" s="8"/>
    </row>
    <row r="933" spans="1:5" ht="15" customHeight="1" x14ac:dyDescent="0.2">
      <c r="A933" s="38"/>
      <c r="B933" s="38"/>
      <c r="E933" s="8"/>
    </row>
    <row r="934" spans="1:5" ht="15" customHeight="1" x14ac:dyDescent="0.2">
      <c r="A934" s="38"/>
      <c r="B934" s="38"/>
      <c r="E934" s="8"/>
    </row>
    <row r="935" spans="1:5" ht="15" customHeight="1" x14ac:dyDescent="0.2">
      <c r="A935" s="38"/>
      <c r="B935" s="38"/>
      <c r="E935" s="8"/>
    </row>
    <row r="936" spans="1:5" ht="15" customHeight="1" x14ac:dyDescent="0.2">
      <c r="A936" s="38"/>
      <c r="B936" s="38"/>
      <c r="E936" s="8"/>
    </row>
    <row r="937" spans="1:5" ht="15" customHeight="1" x14ac:dyDescent="0.2">
      <c r="A937" s="38"/>
      <c r="B937" s="38"/>
      <c r="E937" s="8"/>
    </row>
    <row r="938" spans="1:5" ht="15" customHeight="1" x14ac:dyDescent="0.2">
      <c r="A938" s="38"/>
      <c r="B938" s="38"/>
      <c r="E938" s="8"/>
    </row>
    <row r="939" spans="1:5" ht="15" customHeight="1" x14ac:dyDescent="0.2">
      <c r="A939" s="38"/>
      <c r="B939" s="38"/>
      <c r="E939" s="8"/>
    </row>
    <row r="940" spans="1:5" ht="15" customHeight="1" x14ac:dyDescent="0.2">
      <c r="A940" s="38"/>
      <c r="B940" s="38"/>
      <c r="E940" s="8"/>
    </row>
    <row r="941" spans="1:5" ht="15" customHeight="1" x14ac:dyDescent="0.2">
      <c r="A941" s="38"/>
      <c r="B941" s="38"/>
      <c r="E941" s="8"/>
    </row>
    <row r="942" spans="1:5" ht="15" customHeight="1" x14ac:dyDescent="0.2">
      <c r="A942" s="38"/>
      <c r="B942" s="38"/>
      <c r="E942" s="8"/>
    </row>
    <row r="943" spans="1:5" ht="15" customHeight="1" x14ac:dyDescent="0.2">
      <c r="A943" s="38"/>
      <c r="B943" s="38"/>
      <c r="E943" s="8"/>
    </row>
    <row r="944" spans="1:5" ht="15" customHeight="1" x14ac:dyDescent="0.2">
      <c r="A944" s="38"/>
      <c r="B944" s="38"/>
      <c r="E944" s="8"/>
    </row>
    <row r="945" spans="1:5" ht="15" customHeight="1" x14ac:dyDescent="0.2">
      <c r="A945" s="38"/>
      <c r="B945" s="38"/>
      <c r="E945" s="8"/>
    </row>
    <row r="946" spans="1:5" ht="15" customHeight="1" x14ac:dyDescent="0.2">
      <c r="A946" s="38"/>
      <c r="B946" s="38"/>
      <c r="E946" s="8"/>
    </row>
    <row r="947" spans="1:5" ht="15" customHeight="1" x14ac:dyDescent="0.2">
      <c r="A947" s="38"/>
      <c r="B947" s="38"/>
      <c r="E947" s="8"/>
    </row>
    <row r="948" spans="1:5" ht="15" customHeight="1" x14ac:dyDescent="0.2">
      <c r="A948" s="38"/>
      <c r="B948" s="38"/>
      <c r="E948" s="8"/>
    </row>
    <row r="949" spans="1:5" ht="15" customHeight="1" x14ac:dyDescent="0.2">
      <c r="A949" s="38"/>
      <c r="B949" s="38"/>
      <c r="E949" s="8"/>
    </row>
    <row r="950" spans="1:5" ht="15" customHeight="1" x14ac:dyDescent="0.2">
      <c r="A950" s="38"/>
      <c r="B950" s="38"/>
      <c r="E950" s="8"/>
    </row>
    <row r="951" spans="1:5" ht="15" customHeight="1" x14ac:dyDescent="0.2">
      <c r="A951" s="38"/>
      <c r="B951" s="38"/>
      <c r="E951" s="8"/>
    </row>
    <row r="952" spans="1:5" ht="15" customHeight="1" x14ac:dyDescent="0.2">
      <c r="A952" s="38"/>
      <c r="B952" s="38"/>
      <c r="E952" s="8"/>
    </row>
    <row r="953" spans="1:5" ht="15" customHeight="1" x14ac:dyDescent="0.2">
      <c r="A953" s="38"/>
      <c r="B953" s="38"/>
      <c r="E953" s="8"/>
    </row>
    <row r="954" spans="1:5" ht="15" customHeight="1" x14ac:dyDescent="0.2">
      <c r="A954" s="38"/>
      <c r="B954" s="38"/>
      <c r="E954" s="8"/>
    </row>
    <row r="955" spans="1:5" ht="15" customHeight="1" x14ac:dyDescent="0.2">
      <c r="A955" s="38"/>
      <c r="B955" s="38"/>
      <c r="E955" s="8"/>
    </row>
    <row r="956" spans="1:5" ht="15" customHeight="1" x14ac:dyDescent="0.2">
      <c r="A956" s="38"/>
      <c r="B956" s="38"/>
      <c r="E956" s="8"/>
    </row>
    <row r="957" spans="1:5" ht="15" customHeight="1" x14ac:dyDescent="0.2">
      <c r="A957" s="38"/>
      <c r="B957" s="38"/>
      <c r="E957" s="8"/>
    </row>
    <row r="958" spans="1:5" ht="15" customHeight="1" x14ac:dyDescent="0.2">
      <c r="A958" s="38"/>
      <c r="B958" s="38"/>
      <c r="E958" s="8"/>
    </row>
    <row r="959" spans="1:5" ht="15" customHeight="1" x14ac:dyDescent="0.2">
      <c r="A959" s="38"/>
      <c r="B959" s="38"/>
      <c r="E959" s="8"/>
    </row>
    <row r="960" spans="1:5" ht="15" customHeight="1" x14ac:dyDescent="0.2">
      <c r="A960" s="38"/>
      <c r="B960" s="38"/>
      <c r="E960" s="8"/>
    </row>
    <row r="961" spans="1:5" ht="15" customHeight="1" x14ac:dyDescent="0.2">
      <c r="A961" s="38"/>
      <c r="B961" s="38"/>
      <c r="E961" s="8"/>
    </row>
    <row r="962" spans="1:5" ht="15" customHeight="1" x14ac:dyDescent="0.2">
      <c r="A962" s="38"/>
      <c r="B962" s="38"/>
      <c r="E962" s="8"/>
    </row>
    <row r="963" spans="1:5" ht="15" customHeight="1" x14ac:dyDescent="0.2">
      <c r="A963" s="38"/>
      <c r="B963" s="38"/>
      <c r="E963" s="8"/>
    </row>
    <row r="964" spans="1:5" ht="15" customHeight="1" x14ac:dyDescent="0.2">
      <c r="A964" s="38"/>
      <c r="B964" s="38"/>
      <c r="E964" s="8"/>
    </row>
    <row r="965" spans="1:5" ht="15" customHeight="1" x14ac:dyDescent="0.2">
      <c r="A965" s="38"/>
      <c r="B965" s="38"/>
      <c r="E965" s="8"/>
    </row>
    <row r="966" spans="1:5" ht="15" customHeight="1" x14ac:dyDescent="0.2">
      <c r="A966" s="38"/>
      <c r="B966" s="38"/>
      <c r="E966" s="8"/>
    </row>
    <row r="967" spans="1:5" ht="15" customHeight="1" x14ac:dyDescent="0.2">
      <c r="A967" s="38"/>
      <c r="B967" s="38"/>
      <c r="E967" s="8"/>
    </row>
    <row r="968" spans="1:5" ht="15" customHeight="1" x14ac:dyDescent="0.2">
      <c r="A968" s="38"/>
      <c r="B968" s="38"/>
      <c r="E968" s="8"/>
    </row>
    <row r="969" spans="1:5" ht="15" customHeight="1" x14ac:dyDescent="0.2">
      <c r="A969" s="38"/>
      <c r="B969" s="38"/>
      <c r="E969" s="8"/>
    </row>
    <row r="970" spans="1:5" ht="15" customHeight="1" x14ac:dyDescent="0.2">
      <c r="A970" s="38"/>
      <c r="B970" s="38"/>
      <c r="E970" s="8"/>
    </row>
    <row r="971" spans="1:5" ht="15" customHeight="1" x14ac:dyDescent="0.2">
      <c r="A971" s="38"/>
      <c r="B971" s="38"/>
      <c r="E971" s="8"/>
    </row>
    <row r="972" spans="1:5" ht="15" customHeight="1" x14ac:dyDescent="0.2">
      <c r="A972" s="38"/>
      <c r="B972" s="38"/>
      <c r="E972" s="8"/>
    </row>
    <row r="973" spans="1:5" ht="15" customHeight="1" x14ac:dyDescent="0.2">
      <c r="A973" s="38"/>
      <c r="B973" s="38"/>
      <c r="E973" s="8"/>
    </row>
    <row r="974" spans="1:5" ht="15" customHeight="1" x14ac:dyDescent="0.2">
      <c r="A974" s="38"/>
      <c r="B974" s="38"/>
      <c r="E974" s="8"/>
    </row>
    <row r="975" spans="1:5" ht="15" customHeight="1" x14ac:dyDescent="0.2">
      <c r="A975" s="38"/>
      <c r="B975" s="38"/>
      <c r="E975" s="8"/>
    </row>
    <row r="976" spans="1:5" ht="15" customHeight="1" x14ac:dyDescent="0.2">
      <c r="A976" s="38"/>
      <c r="B976" s="38"/>
      <c r="E976" s="8"/>
    </row>
    <row r="977" spans="1:5" ht="15" customHeight="1" x14ac:dyDescent="0.2">
      <c r="A977" s="38"/>
      <c r="B977" s="38"/>
      <c r="E977" s="8"/>
    </row>
    <row r="978" spans="1:5" ht="15" customHeight="1" x14ac:dyDescent="0.2">
      <c r="A978" s="38"/>
      <c r="B978" s="38"/>
      <c r="E978" s="8"/>
    </row>
    <row r="979" spans="1:5" ht="15" customHeight="1" x14ac:dyDescent="0.2">
      <c r="A979" s="38"/>
      <c r="B979" s="38"/>
      <c r="E979" s="8"/>
    </row>
    <row r="980" spans="1:5" ht="15" customHeight="1" x14ac:dyDescent="0.2">
      <c r="A980" s="38"/>
      <c r="B980" s="38"/>
      <c r="E980" s="8"/>
    </row>
    <row r="981" spans="1:5" ht="15" customHeight="1" x14ac:dyDescent="0.2">
      <c r="A981" s="38"/>
      <c r="B981" s="38"/>
      <c r="E981" s="8"/>
    </row>
    <row r="982" spans="1:5" ht="15" customHeight="1" x14ac:dyDescent="0.2">
      <c r="A982" s="38"/>
      <c r="B982" s="38"/>
      <c r="E982" s="8"/>
    </row>
    <row r="983" spans="1:5" ht="15" customHeight="1" x14ac:dyDescent="0.2">
      <c r="A983" s="38"/>
      <c r="B983" s="38"/>
      <c r="E983" s="8"/>
    </row>
    <row r="984" spans="1:5" ht="15" customHeight="1" x14ac:dyDescent="0.2">
      <c r="A984" s="38"/>
      <c r="B984" s="38"/>
      <c r="E984" s="8"/>
    </row>
    <row r="985" spans="1:5" ht="15" customHeight="1" x14ac:dyDescent="0.2">
      <c r="A985" s="38"/>
      <c r="B985" s="38"/>
      <c r="E985" s="8"/>
    </row>
    <row r="986" spans="1:5" ht="15" customHeight="1" x14ac:dyDescent="0.2">
      <c r="A986" s="38"/>
      <c r="B986" s="38"/>
      <c r="E986" s="8"/>
    </row>
    <row r="987" spans="1:5" ht="15" customHeight="1" x14ac:dyDescent="0.2">
      <c r="A987" s="38"/>
      <c r="B987" s="38"/>
      <c r="E987" s="8"/>
    </row>
    <row r="988" spans="1:5" ht="15" customHeight="1" x14ac:dyDescent="0.2">
      <c r="A988" s="38"/>
      <c r="B988" s="38"/>
      <c r="E988" s="8"/>
    </row>
    <row r="989" spans="1:5" ht="15" customHeight="1" x14ac:dyDescent="0.2">
      <c r="A989" s="38"/>
      <c r="B989" s="38"/>
      <c r="E989" s="8"/>
    </row>
    <row r="990" spans="1:5" ht="15" customHeight="1" x14ac:dyDescent="0.2">
      <c r="A990" s="38"/>
      <c r="B990" s="38"/>
      <c r="E990" s="8"/>
    </row>
    <row r="991" spans="1:5" ht="15" customHeight="1" x14ac:dyDescent="0.2">
      <c r="A991" s="38"/>
      <c r="B991" s="38"/>
      <c r="E991" s="8"/>
    </row>
    <row r="992" spans="1:5" ht="15" customHeight="1" x14ac:dyDescent="0.2">
      <c r="A992" s="38"/>
      <c r="B992" s="38"/>
      <c r="E992" s="8"/>
    </row>
    <row r="993" spans="1:5" ht="15" customHeight="1" x14ac:dyDescent="0.2">
      <c r="A993" s="38"/>
      <c r="B993" s="38"/>
      <c r="E993" s="8"/>
    </row>
    <row r="994" spans="1:5" ht="15" customHeight="1" x14ac:dyDescent="0.2">
      <c r="A994" s="38"/>
      <c r="B994" s="38"/>
      <c r="E994" s="8"/>
    </row>
    <row r="995" spans="1:5" ht="15" customHeight="1" x14ac:dyDescent="0.2">
      <c r="A995" s="38"/>
      <c r="B995" s="38"/>
      <c r="E995" s="8"/>
    </row>
    <row r="996" spans="1:5" ht="15" customHeight="1" x14ac:dyDescent="0.2">
      <c r="A996" s="38"/>
      <c r="B996" s="38"/>
      <c r="E996" s="8"/>
    </row>
    <row r="997" spans="1:5" ht="15" customHeight="1" x14ac:dyDescent="0.2">
      <c r="A997" s="38"/>
      <c r="B997" s="38"/>
      <c r="E997" s="8"/>
    </row>
    <row r="998" spans="1:5" ht="15" customHeight="1" x14ac:dyDescent="0.2">
      <c r="A998" s="38"/>
      <c r="B998" s="38"/>
      <c r="E998" s="8"/>
    </row>
    <row r="999" spans="1:5" ht="15" customHeight="1" x14ac:dyDescent="0.2">
      <c r="A999" s="38"/>
      <c r="B999" s="38"/>
      <c r="E999" s="8"/>
    </row>
    <row r="1000" spans="1:5" ht="15" customHeight="1" x14ac:dyDescent="0.2">
      <c r="A1000" s="38"/>
      <c r="B1000" s="38"/>
      <c r="E1000" s="8"/>
    </row>
    <row r="1001" spans="1:5" ht="15" customHeight="1" x14ac:dyDescent="0.2">
      <c r="A1001" s="38"/>
      <c r="B1001" s="38"/>
      <c r="E1001" s="8"/>
    </row>
    <row r="1002" spans="1:5" ht="15" customHeight="1" x14ac:dyDescent="0.2">
      <c r="A1002" s="38"/>
      <c r="B1002" s="38"/>
      <c r="E1002" s="8"/>
    </row>
    <row r="1003" spans="1:5" ht="15" customHeight="1" x14ac:dyDescent="0.2">
      <c r="A1003" s="38"/>
      <c r="B1003" s="38"/>
      <c r="E1003" s="8"/>
    </row>
    <row r="1004" spans="1:5" ht="15" customHeight="1" x14ac:dyDescent="0.2">
      <c r="A1004" s="38"/>
      <c r="B1004" s="38"/>
      <c r="E1004" s="8"/>
    </row>
    <row r="1005" spans="1:5" ht="15" customHeight="1" x14ac:dyDescent="0.2">
      <c r="A1005" s="38"/>
      <c r="B1005" s="38"/>
      <c r="E1005" s="8"/>
    </row>
    <row r="1006" spans="1:5" ht="15" customHeight="1" x14ac:dyDescent="0.2">
      <c r="A1006" s="38"/>
      <c r="B1006" s="38"/>
      <c r="E1006" s="8"/>
    </row>
    <row r="1007" spans="1:5" ht="15" customHeight="1" x14ac:dyDescent="0.2">
      <c r="A1007" s="38"/>
      <c r="B1007" s="38"/>
      <c r="E1007" s="8"/>
    </row>
    <row r="1008" spans="1:5" ht="15" customHeight="1" x14ac:dyDescent="0.2">
      <c r="A1008" s="38"/>
      <c r="B1008" s="38"/>
      <c r="E1008" s="8"/>
    </row>
    <row r="1009" spans="1:5" ht="15" customHeight="1" x14ac:dyDescent="0.2">
      <c r="A1009" s="38"/>
      <c r="B1009" s="38"/>
      <c r="E1009" s="8"/>
    </row>
    <row r="1010" spans="1:5" ht="15" customHeight="1" x14ac:dyDescent="0.2">
      <c r="A1010" s="38"/>
      <c r="B1010" s="38"/>
      <c r="E1010" s="8"/>
    </row>
    <row r="1011" spans="1:5" ht="15" customHeight="1" x14ac:dyDescent="0.2">
      <c r="A1011" s="38"/>
      <c r="B1011" s="38"/>
      <c r="E1011" s="8"/>
    </row>
    <row r="1012" spans="1:5" ht="15" customHeight="1" x14ac:dyDescent="0.2">
      <c r="A1012" s="38"/>
      <c r="B1012" s="38"/>
      <c r="E1012" s="8"/>
    </row>
    <row r="1013" spans="1:5" ht="15" customHeight="1" x14ac:dyDescent="0.2">
      <c r="A1013" s="38"/>
      <c r="B1013" s="38"/>
      <c r="E1013" s="8"/>
    </row>
    <row r="1014" spans="1:5" ht="15" customHeight="1" x14ac:dyDescent="0.2">
      <c r="A1014" s="38"/>
      <c r="B1014" s="38"/>
      <c r="E1014" s="8"/>
    </row>
    <row r="1015" spans="1:5" ht="15" customHeight="1" x14ac:dyDescent="0.2">
      <c r="A1015" s="38"/>
      <c r="B1015" s="38"/>
      <c r="E1015" s="8"/>
    </row>
    <row r="1016" spans="1:5" ht="15" customHeight="1" x14ac:dyDescent="0.2">
      <c r="A1016" s="38"/>
      <c r="B1016" s="38"/>
      <c r="E1016" s="8"/>
    </row>
    <row r="1017" spans="1:5" ht="15" customHeight="1" x14ac:dyDescent="0.2">
      <c r="A1017" s="38"/>
      <c r="B1017" s="38"/>
      <c r="E1017" s="8"/>
    </row>
    <row r="1018" spans="1:5" ht="15" customHeight="1" x14ac:dyDescent="0.2">
      <c r="A1018" s="38"/>
      <c r="B1018" s="38"/>
      <c r="E1018" s="8"/>
    </row>
    <row r="1019" spans="1:5" ht="15" customHeight="1" x14ac:dyDescent="0.2">
      <c r="A1019" s="38"/>
      <c r="B1019" s="38"/>
      <c r="E1019" s="8"/>
    </row>
    <row r="1020" spans="1:5" ht="15" customHeight="1" x14ac:dyDescent="0.2">
      <c r="A1020" s="38"/>
      <c r="B1020" s="38"/>
      <c r="E1020" s="8"/>
    </row>
    <row r="1021" spans="1:5" ht="15" customHeight="1" x14ac:dyDescent="0.2">
      <c r="A1021" s="38"/>
      <c r="B1021" s="38"/>
      <c r="E1021" s="8"/>
    </row>
    <row r="1022" spans="1:5" ht="15" customHeight="1" x14ac:dyDescent="0.2">
      <c r="A1022" s="38"/>
      <c r="B1022" s="38"/>
      <c r="E1022" s="8"/>
    </row>
    <row r="1023" spans="1:5" ht="15" customHeight="1" x14ac:dyDescent="0.2">
      <c r="A1023" s="38"/>
      <c r="B1023" s="38"/>
      <c r="E1023" s="8"/>
    </row>
    <row r="1024" spans="1:5" ht="15" customHeight="1" x14ac:dyDescent="0.2">
      <c r="A1024" s="38"/>
      <c r="B1024" s="38"/>
      <c r="E1024" s="8"/>
    </row>
    <row r="1025" spans="1:5" ht="15" customHeight="1" x14ac:dyDescent="0.2">
      <c r="A1025" s="38"/>
      <c r="B1025" s="38"/>
      <c r="E1025" s="8"/>
    </row>
    <row r="1026" spans="1:5" ht="15" customHeight="1" x14ac:dyDescent="0.2">
      <c r="A1026" s="38"/>
      <c r="B1026" s="38"/>
      <c r="E1026" s="8"/>
    </row>
    <row r="1027" spans="1:5" ht="15" customHeight="1" x14ac:dyDescent="0.2">
      <c r="A1027" s="38"/>
      <c r="B1027" s="38"/>
      <c r="E1027" s="8"/>
    </row>
    <row r="1028" spans="1:5" ht="15" customHeight="1" x14ac:dyDescent="0.2">
      <c r="A1028" s="38"/>
      <c r="B1028" s="38"/>
      <c r="E1028" s="8"/>
    </row>
    <row r="1029" spans="1:5" ht="15" customHeight="1" x14ac:dyDescent="0.2">
      <c r="A1029" s="38"/>
      <c r="B1029" s="38"/>
      <c r="E1029" s="8"/>
    </row>
    <row r="1030" spans="1:5" ht="15" customHeight="1" x14ac:dyDescent="0.2">
      <c r="A1030" s="38"/>
      <c r="B1030" s="38"/>
      <c r="E1030" s="8"/>
    </row>
    <row r="1031" spans="1:5" ht="15" customHeight="1" x14ac:dyDescent="0.2">
      <c r="A1031" s="38"/>
      <c r="B1031" s="38"/>
      <c r="E1031" s="8"/>
    </row>
    <row r="1032" spans="1:5" ht="15" customHeight="1" x14ac:dyDescent="0.2">
      <c r="A1032" s="38"/>
      <c r="B1032" s="38"/>
      <c r="E1032" s="8"/>
    </row>
    <row r="1033" spans="1:5" ht="15" customHeight="1" x14ac:dyDescent="0.2">
      <c r="A1033" s="38"/>
      <c r="B1033" s="38"/>
      <c r="E1033" s="8"/>
    </row>
    <row r="1034" spans="1:5" ht="15" customHeight="1" x14ac:dyDescent="0.2">
      <c r="A1034" s="38"/>
      <c r="B1034" s="38"/>
      <c r="E1034" s="8"/>
    </row>
    <row r="1035" spans="1:5" ht="15" customHeight="1" x14ac:dyDescent="0.2">
      <c r="A1035" s="38"/>
      <c r="B1035" s="38"/>
      <c r="E1035" s="8"/>
    </row>
    <row r="1036" spans="1:5" ht="15" customHeight="1" x14ac:dyDescent="0.2">
      <c r="A1036" s="38"/>
      <c r="B1036" s="38"/>
      <c r="E1036" s="8"/>
    </row>
    <row r="1037" spans="1:5" ht="15" customHeight="1" x14ac:dyDescent="0.2">
      <c r="A1037" s="38"/>
      <c r="B1037" s="38"/>
      <c r="E1037" s="8"/>
    </row>
    <row r="1038" spans="1:5" ht="15" customHeight="1" x14ac:dyDescent="0.2">
      <c r="A1038" s="38"/>
      <c r="B1038" s="38"/>
      <c r="E1038" s="8"/>
    </row>
    <row r="1039" spans="1:5" ht="15" customHeight="1" x14ac:dyDescent="0.2">
      <c r="A1039" s="38"/>
      <c r="B1039" s="38"/>
      <c r="E1039" s="8"/>
    </row>
    <row r="1040" spans="1:5" ht="15" customHeight="1" x14ac:dyDescent="0.2">
      <c r="A1040" s="38"/>
      <c r="B1040" s="38"/>
      <c r="E1040" s="8"/>
    </row>
    <row r="1041" spans="1:5" ht="15" customHeight="1" x14ac:dyDescent="0.2">
      <c r="A1041" s="38"/>
      <c r="B1041" s="38"/>
      <c r="E1041" s="8"/>
    </row>
    <row r="1042" spans="1:5" ht="15" customHeight="1" x14ac:dyDescent="0.2">
      <c r="A1042" s="38"/>
      <c r="B1042" s="38"/>
      <c r="E1042" s="8"/>
    </row>
    <row r="1043" spans="1:5" ht="15" customHeight="1" x14ac:dyDescent="0.2">
      <c r="A1043" s="38"/>
      <c r="B1043" s="38"/>
      <c r="E1043" s="8"/>
    </row>
    <row r="1044" spans="1:5" ht="15" customHeight="1" x14ac:dyDescent="0.2">
      <c r="A1044" s="38"/>
      <c r="B1044" s="38"/>
      <c r="E1044" s="8"/>
    </row>
    <row r="1045" spans="1:5" ht="15" customHeight="1" x14ac:dyDescent="0.2">
      <c r="A1045" s="38"/>
      <c r="B1045" s="38"/>
      <c r="E1045" s="8"/>
    </row>
    <row r="1046" spans="1:5" ht="15" customHeight="1" x14ac:dyDescent="0.2">
      <c r="A1046" s="38"/>
      <c r="B1046" s="38"/>
      <c r="E1046" s="8"/>
    </row>
    <row r="1047" spans="1:5" ht="15" customHeight="1" x14ac:dyDescent="0.2">
      <c r="A1047" s="38"/>
      <c r="B1047" s="38"/>
      <c r="E1047" s="8"/>
    </row>
    <row r="1048" spans="1:5" ht="15" customHeight="1" x14ac:dyDescent="0.2">
      <c r="A1048" s="38"/>
      <c r="B1048" s="38"/>
      <c r="E1048" s="8"/>
    </row>
    <row r="1049" spans="1:5" ht="15" customHeight="1" x14ac:dyDescent="0.2">
      <c r="A1049" s="38"/>
      <c r="B1049" s="38"/>
      <c r="E1049" s="8"/>
    </row>
    <row r="1050" spans="1:5" ht="15" customHeight="1" x14ac:dyDescent="0.2">
      <c r="A1050" s="38"/>
      <c r="B1050" s="38"/>
      <c r="E1050" s="8"/>
    </row>
    <row r="1051" spans="1:5" ht="15" customHeight="1" x14ac:dyDescent="0.2">
      <c r="A1051" s="38"/>
      <c r="B1051" s="38"/>
      <c r="E1051" s="8"/>
    </row>
    <row r="1052" spans="1:5" ht="15" customHeight="1" x14ac:dyDescent="0.2">
      <c r="A1052" s="38"/>
      <c r="B1052" s="38"/>
      <c r="E1052" s="8"/>
    </row>
    <row r="1053" spans="1:5" ht="15" customHeight="1" x14ac:dyDescent="0.2">
      <c r="A1053" s="38"/>
      <c r="B1053" s="38"/>
      <c r="E1053" s="8"/>
    </row>
    <row r="1054" spans="1:5" ht="15" customHeight="1" x14ac:dyDescent="0.2">
      <c r="A1054" s="38"/>
      <c r="B1054" s="38"/>
      <c r="E1054" s="8"/>
    </row>
    <row r="1055" spans="1:5" ht="15" customHeight="1" x14ac:dyDescent="0.2">
      <c r="A1055" s="38"/>
      <c r="B1055" s="38"/>
      <c r="E1055" s="8"/>
    </row>
    <row r="1056" spans="1:5" ht="15" customHeight="1" x14ac:dyDescent="0.2">
      <c r="A1056" s="38"/>
      <c r="B1056" s="38"/>
      <c r="E1056" s="8"/>
    </row>
    <row r="1057" spans="1:5" ht="15" customHeight="1" x14ac:dyDescent="0.2">
      <c r="A1057" s="38"/>
      <c r="B1057" s="38"/>
      <c r="E1057" s="8"/>
    </row>
    <row r="1058" spans="1:5" ht="15" customHeight="1" x14ac:dyDescent="0.2">
      <c r="A1058" s="38"/>
      <c r="B1058" s="38"/>
      <c r="E1058" s="8"/>
    </row>
    <row r="1059" spans="1:5" ht="15" customHeight="1" x14ac:dyDescent="0.2">
      <c r="A1059" s="38"/>
      <c r="B1059" s="38"/>
      <c r="E1059" s="8"/>
    </row>
    <row r="1060" spans="1:5" ht="15" customHeight="1" x14ac:dyDescent="0.2">
      <c r="A1060" s="38"/>
      <c r="B1060" s="38"/>
      <c r="E1060" s="8"/>
    </row>
    <row r="1061" spans="1:5" ht="15" customHeight="1" x14ac:dyDescent="0.2">
      <c r="A1061" s="38"/>
      <c r="B1061" s="38"/>
      <c r="E1061" s="8"/>
    </row>
    <row r="1062" spans="1:5" ht="15" customHeight="1" x14ac:dyDescent="0.2">
      <c r="A1062" s="38"/>
      <c r="B1062" s="38"/>
      <c r="E1062" s="8"/>
    </row>
    <row r="1063" spans="1:5" ht="15" customHeight="1" x14ac:dyDescent="0.2">
      <c r="A1063" s="38"/>
      <c r="B1063" s="38"/>
      <c r="E1063" s="8"/>
    </row>
    <row r="1064" spans="1:5" ht="15" customHeight="1" x14ac:dyDescent="0.2">
      <c r="A1064" s="38"/>
      <c r="B1064" s="38"/>
      <c r="E1064" s="8"/>
    </row>
    <row r="1065" spans="1:5" ht="15" customHeight="1" x14ac:dyDescent="0.2">
      <c r="A1065" s="38"/>
      <c r="B1065" s="38"/>
      <c r="E1065" s="8"/>
    </row>
    <row r="1066" spans="1:5" ht="15" customHeight="1" x14ac:dyDescent="0.2">
      <c r="A1066" s="38"/>
      <c r="B1066" s="38"/>
      <c r="E1066" s="8"/>
    </row>
    <row r="1067" spans="1:5" ht="15" customHeight="1" x14ac:dyDescent="0.2">
      <c r="A1067" s="38"/>
      <c r="B1067" s="38"/>
      <c r="E1067" s="8"/>
    </row>
    <row r="1068" spans="1:5" ht="15" customHeight="1" x14ac:dyDescent="0.2">
      <c r="A1068" s="38"/>
      <c r="B1068" s="38"/>
      <c r="E1068" s="8"/>
    </row>
    <row r="1069" spans="1:5" ht="15" customHeight="1" x14ac:dyDescent="0.2">
      <c r="A1069" s="38"/>
      <c r="B1069" s="38"/>
      <c r="E1069" s="8"/>
    </row>
    <row r="1070" spans="1:5" ht="15" customHeight="1" x14ac:dyDescent="0.2">
      <c r="A1070" s="38"/>
      <c r="B1070" s="38"/>
      <c r="E1070" s="8"/>
    </row>
    <row r="1071" spans="1:5" ht="15" customHeight="1" x14ac:dyDescent="0.2">
      <c r="A1071" s="38"/>
      <c r="B1071" s="38"/>
      <c r="E1071" s="8"/>
    </row>
    <row r="1072" spans="1:5" ht="15" customHeight="1" x14ac:dyDescent="0.2">
      <c r="A1072" s="38"/>
      <c r="B1072" s="38"/>
      <c r="E1072" s="8"/>
    </row>
    <row r="1073" spans="1:5" ht="15" customHeight="1" x14ac:dyDescent="0.2">
      <c r="A1073" s="38"/>
      <c r="B1073" s="38"/>
      <c r="E1073" s="8"/>
    </row>
    <row r="1074" spans="1:5" ht="15" customHeight="1" x14ac:dyDescent="0.2">
      <c r="A1074" s="38"/>
      <c r="B1074" s="38"/>
      <c r="E1074" s="8"/>
    </row>
    <row r="1075" spans="1:5" ht="15" customHeight="1" x14ac:dyDescent="0.2">
      <c r="A1075" s="38"/>
      <c r="B1075" s="38"/>
      <c r="E1075" s="8"/>
    </row>
    <row r="1076" spans="1:5" ht="15" customHeight="1" x14ac:dyDescent="0.2">
      <c r="A1076" s="38"/>
      <c r="B1076" s="38"/>
      <c r="E1076" s="8"/>
    </row>
    <row r="1077" spans="1:5" ht="15" customHeight="1" x14ac:dyDescent="0.2">
      <c r="A1077" s="38"/>
      <c r="B1077" s="38"/>
      <c r="E1077" s="8"/>
    </row>
    <row r="1078" spans="1:5" ht="15" customHeight="1" x14ac:dyDescent="0.2">
      <c r="A1078" s="38"/>
      <c r="B1078" s="38"/>
      <c r="E1078" s="8"/>
    </row>
    <row r="1079" spans="1:5" ht="15" customHeight="1" x14ac:dyDescent="0.2">
      <c r="A1079" s="38"/>
      <c r="B1079" s="38"/>
      <c r="E1079" s="8"/>
    </row>
    <row r="1080" spans="1:5" ht="15" customHeight="1" x14ac:dyDescent="0.2">
      <c r="A1080" s="38"/>
      <c r="B1080" s="38"/>
      <c r="E1080" s="8"/>
    </row>
    <row r="1081" spans="1:5" ht="15" customHeight="1" x14ac:dyDescent="0.2">
      <c r="A1081" s="38"/>
      <c r="B1081" s="38"/>
      <c r="E1081" s="8"/>
    </row>
    <row r="1082" spans="1:5" ht="15" customHeight="1" x14ac:dyDescent="0.2">
      <c r="A1082" s="38"/>
      <c r="B1082" s="38"/>
      <c r="E1082" s="8"/>
    </row>
    <row r="1083" spans="1:5" ht="15" customHeight="1" x14ac:dyDescent="0.2">
      <c r="A1083" s="38"/>
      <c r="B1083" s="38"/>
      <c r="E1083" s="8"/>
    </row>
    <row r="1084" spans="1:5" ht="15" customHeight="1" x14ac:dyDescent="0.2">
      <c r="A1084" s="38"/>
      <c r="B1084" s="38"/>
      <c r="E1084" s="8"/>
    </row>
    <row r="1085" spans="1:5" ht="15" customHeight="1" x14ac:dyDescent="0.2">
      <c r="A1085" s="38"/>
      <c r="B1085" s="38"/>
      <c r="E1085" s="8"/>
    </row>
    <row r="1086" spans="1:5" ht="15" customHeight="1" x14ac:dyDescent="0.2">
      <c r="A1086" s="38"/>
      <c r="B1086" s="38"/>
      <c r="E1086" s="8"/>
    </row>
    <row r="1087" spans="1:5" ht="15" customHeight="1" x14ac:dyDescent="0.2">
      <c r="A1087" s="38"/>
      <c r="B1087" s="38"/>
      <c r="E1087" s="8"/>
    </row>
    <row r="1088" spans="1:5" ht="15" customHeight="1" x14ac:dyDescent="0.2">
      <c r="A1088" s="38"/>
      <c r="B1088" s="38"/>
      <c r="E1088" s="8"/>
    </row>
    <row r="1089" spans="1:5" ht="15" customHeight="1" x14ac:dyDescent="0.2">
      <c r="A1089" s="38"/>
      <c r="B1089" s="38"/>
      <c r="E1089" s="8"/>
    </row>
    <row r="1090" spans="1:5" ht="15" customHeight="1" x14ac:dyDescent="0.2">
      <c r="A1090" s="38"/>
      <c r="B1090" s="38"/>
      <c r="E1090" s="8"/>
    </row>
    <row r="1091" spans="1:5" ht="15" customHeight="1" x14ac:dyDescent="0.2">
      <c r="A1091" s="38"/>
      <c r="B1091" s="38"/>
      <c r="E1091" s="8"/>
    </row>
    <row r="1092" spans="1:5" ht="15" customHeight="1" x14ac:dyDescent="0.2">
      <c r="A1092" s="38"/>
      <c r="B1092" s="38"/>
      <c r="E1092" s="8"/>
    </row>
    <row r="1093" spans="1:5" ht="15" customHeight="1" x14ac:dyDescent="0.2">
      <c r="A1093" s="38"/>
      <c r="B1093" s="38"/>
      <c r="E1093" s="8"/>
    </row>
    <row r="1094" spans="1:5" ht="15" customHeight="1" x14ac:dyDescent="0.2">
      <c r="A1094" s="38"/>
      <c r="B1094" s="38"/>
      <c r="E1094" s="8"/>
    </row>
    <row r="1095" spans="1:5" ht="15" customHeight="1" x14ac:dyDescent="0.2">
      <c r="A1095" s="38"/>
      <c r="B1095" s="38"/>
      <c r="E1095" s="8"/>
    </row>
    <row r="1096" spans="1:5" ht="15" customHeight="1" x14ac:dyDescent="0.2">
      <c r="A1096" s="38"/>
      <c r="B1096" s="38"/>
      <c r="E1096" s="8"/>
    </row>
    <row r="1097" spans="1:5" ht="15" customHeight="1" x14ac:dyDescent="0.2">
      <c r="A1097" s="38"/>
      <c r="B1097" s="38"/>
      <c r="E1097" s="8"/>
    </row>
    <row r="1098" spans="1:5" ht="15" customHeight="1" x14ac:dyDescent="0.2">
      <c r="A1098" s="38"/>
      <c r="B1098" s="38"/>
      <c r="E1098" s="8"/>
    </row>
    <row r="1099" spans="1:5" ht="15" customHeight="1" x14ac:dyDescent="0.2">
      <c r="A1099" s="38"/>
      <c r="B1099" s="38"/>
      <c r="E1099" s="8"/>
    </row>
    <row r="1100" spans="1:5" ht="15" customHeight="1" x14ac:dyDescent="0.2">
      <c r="A1100" s="38"/>
      <c r="B1100" s="38"/>
      <c r="E1100" s="8"/>
    </row>
    <row r="1101" spans="1:5" ht="15" customHeight="1" x14ac:dyDescent="0.2">
      <c r="A1101" s="38"/>
      <c r="B1101" s="38"/>
      <c r="E1101" s="8"/>
    </row>
    <row r="1102" spans="1:5" ht="15" customHeight="1" x14ac:dyDescent="0.2">
      <c r="A1102" s="38"/>
      <c r="B1102" s="38"/>
      <c r="E1102" s="8"/>
    </row>
    <row r="1103" spans="1:5" ht="15" customHeight="1" x14ac:dyDescent="0.2">
      <c r="A1103" s="38"/>
      <c r="B1103" s="38"/>
      <c r="E1103" s="8"/>
    </row>
    <row r="1104" spans="1:5" ht="15" customHeight="1" x14ac:dyDescent="0.2">
      <c r="A1104" s="38"/>
      <c r="B1104" s="38"/>
      <c r="E1104" s="8"/>
    </row>
    <row r="1105" spans="1:5" ht="15" customHeight="1" x14ac:dyDescent="0.2">
      <c r="A1105" s="38"/>
      <c r="B1105" s="38"/>
      <c r="E1105" s="8"/>
    </row>
    <row r="1106" spans="1:5" ht="15" customHeight="1" x14ac:dyDescent="0.2">
      <c r="A1106" s="38"/>
      <c r="B1106" s="38"/>
      <c r="E1106" s="8"/>
    </row>
    <row r="1107" spans="1:5" ht="15" customHeight="1" x14ac:dyDescent="0.2">
      <c r="A1107" s="38"/>
      <c r="B1107" s="38"/>
      <c r="E1107" s="8"/>
    </row>
    <row r="1108" spans="1:5" ht="15" customHeight="1" x14ac:dyDescent="0.2">
      <c r="A1108" s="38"/>
      <c r="B1108" s="38"/>
      <c r="E1108" s="8"/>
    </row>
    <row r="1109" spans="1:5" ht="15" customHeight="1" x14ac:dyDescent="0.2">
      <c r="A1109" s="38"/>
      <c r="B1109" s="38"/>
      <c r="E1109" s="8"/>
    </row>
    <row r="1110" spans="1:5" ht="15" customHeight="1" x14ac:dyDescent="0.2">
      <c r="A1110" s="38"/>
      <c r="B1110" s="38"/>
      <c r="E1110" s="8"/>
    </row>
    <row r="1111" spans="1:5" ht="15" customHeight="1" x14ac:dyDescent="0.2">
      <c r="A1111" s="38"/>
      <c r="B1111" s="38"/>
      <c r="E1111" s="8"/>
    </row>
    <row r="1112" spans="1:5" ht="15" customHeight="1" x14ac:dyDescent="0.2">
      <c r="A1112" s="38"/>
      <c r="B1112" s="38"/>
      <c r="E1112" s="8"/>
    </row>
    <row r="1113" spans="1:5" ht="15" customHeight="1" x14ac:dyDescent="0.2">
      <c r="A1113" s="38"/>
      <c r="B1113" s="38"/>
      <c r="E1113" s="8"/>
    </row>
    <row r="1114" spans="1:5" ht="15" customHeight="1" x14ac:dyDescent="0.2">
      <c r="A1114" s="38"/>
      <c r="B1114" s="38"/>
      <c r="E1114" s="8"/>
    </row>
    <row r="1115" spans="1:5" ht="15" customHeight="1" x14ac:dyDescent="0.2">
      <c r="A1115" s="38"/>
      <c r="B1115" s="38"/>
      <c r="E1115" s="8"/>
    </row>
    <row r="1116" spans="1:5" ht="15" customHeight="1" x14ac:dyDescent="0.2">
      <c r="A1116" s="38"/>
      <c r="B1116" s="38"/>
      <c r="E1116" s="8"/>
    </row>
    <row r="1117" spans="1:5" ht="15" customHeight="1" x14ac:dyDescent="0.2">
      <c r="A1117" s="38"/>
      <c r="B1117" s="38"/>
      <c r="E1117" s="8"/>
    </row>
    <row r="1118" spans="1:5" ht="15" customHeight="1" x14ac:dyDescent="0.2">
      <c r="A1118" s="38"/>
      <c r="B1118" s="38"/>
      <c r="E1118" s="8"/>
    </row>
    <row r="1119" spans="1:5" ht="15" customHeight="1" x14ac:dyDescent="0.2">
      <c r="A1119" s="38"/>
      <c r="B1119" s="38"/>
      <c r="E1119" s="8"/>
    </row>
    <row r="1120" spans="1:5" ht="15" customHeight="1" x14ac:dyDescent="0.2">
      <c r="A1120" s="38"/>
      <c r="B1120" s="38"/>
      <c r="E1120" s="8"/>
    </row>
    <row r="1121" spans="1:5" ht="15" customHeight="1" x14ac:dyDescent="0.2">
      <c r="A1121" s="38"/>
      <c r="B1121" s="38"/>
      <c r="E1121" s="8"/>
    </row>
    <row r="1122" spans="1:5" ht="15" customHeight="1" x14ac:dyDescent="0.2">
      <c r="A1122" s="38"/>
      <c r="B1122" s="38"/>
      <c r="E1122" s="8"/>
    </row>
    <row r="1123" spans="1:5" ht="15" customHeight="1" x14ac:dyDescent="0.2">
      <c r="A1123" s="38"/>
      <c r="B1123" s="38"/>
      <c r="E1123" s="8"/>
    </row>
    <row r="1124" spans="1:5" ht="15" customHeight="1" x14ac:dyDescent="0.2">
      <c r="A1124" s="38"/>
      <c r="B1124" s="38"/>
      <c r="E1124" s="8"/>
    </row>
    <row r="1125" spans="1:5" ht="15" customHeight="1" x14ac:dyDescent="0.2">
      <c r="A1125" s="38"/>
      <c r="B1125" s="38"/>
      <c r="E1125" s="8"/>
    </row>
    <row r="1126" spans="1:5" ht="15" customHeight="1" x14ac:dyDescent="0.2">
      <c r="A1126" s="38"/>
      <c r="B1126" s="38"/>
      <c r="E1126" s="8"/>
    </row>
    <row r="1127" spans="1:5" ht="15" customHeight="1" x14ac:dyDescent="0.2">
      <c r="A1127" s="38"/>
      <c r="B1127" s="38"/>
      <c r="E1127" s="8"/>
    </row>
    <row r="1128" spans="1:5" ht="15" customHeight="1" x14ac:dyDescent="0.2">
      <c r="A1128" s="38"/>
      <c r="B1128" s="38"/>
      <c r="E1128" s="8"/>
    </row>
    <row r="1129" spans="1:5" ht="15" customHeight="1" x14ac:dyDescent="0.2">
      <c r="A1129" s="38"/>
      <c r="B1129" s="38"/>
      <c r="E1129" s="8"/>
    </row>
    <row r="1130" spans="1:5" ht="15" customHeight="1" x14ac:dyDescent="0.2">
      <c r="A1130" s="38"/>
      <c r="B1130" s="38"/>
      <c r="E1130" s="8"/>
    </row>
    <row r="1131" spans="1:5" ht="15" customHeight="1" x14ac:dyDescent="0.2">
      <c r="A1131" s="38"/>
      <c r="B1131" s="38"/>
      <c r="E1131" s="8"/>
    </row>
    <row r="1132" spans="1:5" ht="15" customHeight="1" x14ac:dyDescent="0.2">
      <c r="A1132" s="38"/>
      <c r="B1132" s="38"/>
      <c r="E1132" s="8"/>
    </row>
    <row r="1133" spans="1:5" ht="15" customHeight="1" x14ac:dyDescent="0.2">
      <c r="A1133" s="38"/>
      <c r="B1133" s="38"/>
      <c r="E1133" s="8"/>
    </row>
    <row r="1134" spans="1:5" ht="15" customHeight="1" x14ac:dyDescent="0.2">
      <c r="A1134" s="38"/>
      <c r="B1134" s="38"/>
      <c r="E1134" s="8"/>
    </row>
    <row r="1135" spans="1:5" ht="15" customHeight="1" x14ac:dyDescent="0.2">
      <c r="A1135" s="38"/>
      <c r="B1135" s="38"/>
      <c r="E1135" s="8"/>
    </row>
    <row r="1136" spans="1:5" ht="15" customHeight="1" x14ac:dyDescent="0.2">
      <c r="A1136" s="38"/>
      <c r="B1136" s="38"/>
      <c r="E1136" s="8"/>
    </row>
    <row r="1137" spans="1:5" ht="15" customHeight="1" x14ac:dyDescent="0.2">
      <c r="A1137" s="38"/>
      <c r="B1137" s="38"/>
      <c r="E1137" s="8"/>
    </row>
    <row r="1138" spans="1:5" ht="15" customHeight="1" x14ac:dyDescent="0.2">
      <c r="A1138" s="38"/>
      <c r="B1138" s="38"/>
      <c r="E1138" s="8"/>
    </row>
    <row r="1139" spans="1:5" ht="15" customHeight="1" x14ac:dyDescent="0.2">
      <c r="A1139" s="38"/>
      <c r="B1139" s="38"/>
      <c r="E1139" s="8"/>
    </row>
    <row r="1140" spans="1:5" ht="15" customHeight="1" x14ac:dyDescent="0.2">
      <c r="A1140" s="38"/>
      <c r="B1140" s="38"/>
      <c r="E1140" s="8"/>
    </row>
    <row r="1141" spans="1:5" ht="15" customHeight="1" x14ac:dyDescent="0.2">
      <c r="A1141" s="38"/>
      <c r="B1141" s="38"/>
      <c r="E1141" s="8"/>
    </row>
    <row r="1142" spans="1:5" ht="15" customHeight="1" x14ac:dyDescent="0.2">
      <c r="A1142" s="38"/>
      <c r="B1142" s="38"/>
      <c r="E1142" s="8"/>
    </row>
    <row r="1143" spans="1:5" ht="15" customHeight="1" x14ac:dyDescent="0.2">
      <c r="A1143" s="38"/>
      <c r="B1143" s="38"/>
      <c r="E1143" s="8"/>
    </row>
    <row r="1144" spans="1:5" ht="15" customHeight="1" x14ac:dyDescent="0.2">
      <c r="A1144" s="38"/>
      <c r="B1144" s="38"/>
      <c r="E1144" s="8"/>
    </row>
    <row r="1145" spans="1:5" ht="15" customHeight="1" x14ac:dyDescent="0.2">
      <c r="A1145" s="38"/>
      <c r="B1145" s="38"/>
      <c r="E1145" s="8"/>
    </row>
    <row r="1146" spans="1:5" ht="15" customHeight="1" x14ac:dyDescent="0.2">
      <c r="A1146" s="38"/>
      <c r="B1146" s="38"/>
      <c r="E1146" s="8"/>
    </row>
    <row r="1147" spans="1:5" ht="15" customHeight="1" x14ac:dyDescent="0.2">
      <c r="A1147" s="38"/>
      <c r="B1147" s="38"/>
      <c r="E1147" s="8"/>
    </row>
    <row r="1148" spans="1:5" ht="15" customHeight="1" x14ac:dyDescent="0.2">
      <c r="A1148" s="38"/>
      <c r="B1148" s="38"/>
      <c r="E1148" s="8"/>
    </row>
    <row r="1149" spans="1:5" ht="15" customHeight="1" x14ac:dyDescent="0.2">
      <c r="A1149" s="38"/>
      <c r="B1149" s="38"/>
      <c r="E1149" s="8"/>
    </row>
    <row r="1150" spans="1:5" ht="15" customHeight="1" x14ac:dyDescent="0.2">
      <c r="A1150" s="38"/>
      <c r="B1150" s="38"/>
      <c r="E1150" s="8"/>
    </row>
    <row r="1151" spans="1:5" ht="15" customHeight="1" x14ac:dyDescent="0.2">
      <c r="A1151" s="38"/>
      <c r="B1151" s="38"/>
      <c r="E1151" s="8"/>
    </row>
    <row r="1152" spans="1:5" ht="15" customHeight="1" x14ac:dyDescent="0.2">
      <c r="A1152" s="38"/>
      <c r="B1152" s="38"/>
      <c r="E1152" s="8"/>
    </row>
    <row r="1153" spans="1:5" ht="15" customHeight="1" x14ac:dyDescent="0.2">
      <c r="A1153" s="38"/>
      <c r="B1153" s="38"/>
      <c r="E1153" s="8"/>
    </row>
    <row r="1154" spans="1:5" ht="15" customHeight="1" x14ac:dyDescent="0.2">
      <c r="A1154" s="38"/>
      <c r="B1154" s="38"/>
      <c r="E1154" s="8"/>
    </row>
    <row r="1155" spans="1:5" ht="15" customHeight="1" x14ac:dyDescent="0.2">
      <c r="A1155" s="38"/>
      <c r="B1155" s="38"/>
      <c r="E1155" s="8"/>
    </row>
    <row r="1156" spans="1:5" ht="15" customHeight="1" x14ac:dyDescent="0.2">
      <c r="A1156" s="38"/>
      <c r="B1156" s="38"/>
      <c r="E1156" s="8"/>
    </row>
    <row r="1157" spans="1:5" ht="15" customHeight="1" x14ac:dyDescent="0.2">
      <c r="A1157" s="38"/>
      <c r="B1157" s="38"/>
      <c r="E1157" s="8"/>
    </row>
    <row r="1158" spans="1:5" ht="15" customHeight="1" x14ac:dyDescent="0.2">
      <c r="A1158" s="38"/>
      <c r="B1158" s="38"/>
      <c r="E1158" s="8"/>
    </row>
    <row r="1159" spans="1:5" ht="15" customHeight="1" x14ac:dyDescent="0.2">
      <c r="A1159" s="38"/>
      <c r="B1159" s="38"/>
      <c r="E1159" s="8"/>
    </row>
    <row r="1160" spans="1:5" ht="15" customHeight="1" x14ac:dyDescent="0.2">
      <c r="A1160" s="38"/>
      <c r="B1160" s="38"/>
      <c r="E1160" s="8"/>
    </row>
    <row r="1161" spans="1:5" ht="15" customHeight="1" x14ac:dyDescent="0.2">
      <c r="A1161" s="38"/>
      <c r="B1161" s="38"/>
      <c r="E1161" s="8"/>
    </row>
    <row r="1162" spans="1:5" ht="15" customHeight="1" x14ac:dyDescent="0.2">
      <c r="A1162" s="38"/>
      <c r="B1162" s="38"/>
      <c r="E1162" s="8"/>
    </row>
    <row r="1163" spans="1:5" ht="15" customHeight="1" x14ac:dyDescent="0.2">
      <c r="A1163" s="38"/>
      <c r="B1163" s="38"/>
      <c r="E1163" s="8"/>
    </row>
    <row r="1164" spans="1:5" ht="15" customHeight="1" x14ac:dyDescent="0.2">
      <c r="A1164" s="38"/>
      <c r="B1164" s="38"/>
      <c r="E1164" s="8"/>
    </row>
    <row r="1165" spans="1:5" ht="15" customHeight="1" x14ac:dyDescent="0.2">
      <c r="A1165" s="38"/>
      <c r="B1165" s="38"/>
      <c r="E1165" s="8"/>
    </row>
    <row r="1166" spans="1:5" ht="15" customHeight="1" x14ac:dyDescent="0.2">
      <c r="A1166" s="38"/>
      <c r="B1166" s="38"/>
      <c r="E1166" s="8"/>
    </row>
    <row r="1167" spans="1:5" ht="15" customHeight="1" x14ac:dyDescent="0.2">
      <c r="A1167" s="38"/>
      <c r="B1167" s="38"/>
      <c r="E1167" s="8"/>
    </row>
    <row r="1168" spans="1:5" ht="15" customHeight="1" x14ac:dyDescent="0.2">
      <c r="A1168" s="38"/>
      <c r="B1168" s="38"/>
      <c r="E1168" s="8"/>
    </row>
    <row r="1169" spans="1:5" ht="15" customHeight="1" x14ac:dyDescent="0.2">
      <c r="A1169" s="38"/>
      <c r="B1169" s="38"/>
      <c r="E1169" s="8"/>
    </row>
    <row r="1170" spans="1:5" ht="15" customHeight="1" x14ac:dyDescent="0.2">
      <c r="A1170" s="38"/>
      <c r="B1170" s="38"/>
      <c r="E1170" s="8"/>
    </row>
    <row r="1171" spans="1:5" ht="15" customHeight="1" x14ac:dyDescent="0.2">
      <c r="A1171" s="38"/>
      <c r="B1171" s="38"/>
      <c r="E1171" s="8"/>
    </row>
    <row r="1172" spans="1:5" ht="15" customHeight="1" x14ac:dyDescent="0.2">
      <c r="A1172" s="38"/>
      <c r="B1172" s="38"/>
      <c r="E1172" s="8"/>
    </row>
    <row r="1173" spans="1:5" ht="15" customHeight="1" x14ac:dyDescent="0.2">
      <c r="A1173" s="38"/>
      <c r="B1173" s="38"/>
      <c r="E1173" s="8"/>
    </row>
    <row r="1174" spans="1:5" ht="15" customHeight="1" x14ac:dyDescent="0.2">
      <c r="A1174" s="38"/>
      <c r="B1174" s="38"/>
      <c r="E1174" s="8"/>
    </row>
    <row r="1175" spans="1:5" ht="15" customHeight="1" x14ac:dyDescent="0.2">
      <c r="A1175" s="38"/>
      <c r="B1175" s="38"/>
      <c r="E1175" s="8"/>
    </row>
    <row r="1176" spans="1:5" ht="15" customHeight="1" x14ac:dyDescent="0.2">
      <c r="A1176" s="38"/>
      <c r="B1176" s="38"/>
      <c r="E1176" s="8"/>
    </row>
    <row r="1177" spans="1:5" ht="15" customHeight="1" x14ac:dyDescent="0.2">
      <c r="A1177" s="38"/>
      <c r="B1177" s="38"/>
      <c r="E1177" s="8"/>
    </row>
    <row r="1178" spans="1:5" ht="15" customHeight="1" x14ac:dyDescent="0.2">
      <c r="A1178" s="38"/>
      <c r="B1178" s="38"/>
      <c r="E1178" s="8"/>
    </row>
    <row r="1179" spans="1:5" ht="15" customHeight="1" x14ac:dyDescent="0.2">
      <c r="A1179" s="38"/>
      <c r="B1179" s="38"/>
      <c r="E1179" s="8"/>
    </row>
    <row r="1180" spans="1:5" ht="15" customHeight="1" x14ac:dyDescent="0.2">
      <c r="A1180" s="38"/>
      <c r="B1180" s="38"/>
      <c r="E1180" s="8"/>
    </row>
    <row r="1181" spans="1:5" ht="15" customHeight="1" x14ac:dyDescent="0.2">
      <c r="A1181" s="38"/>
      <c r="B1181" s="38"/>
      <c r="E1181" s="8"/>
    </row>
    <row r="1182" spans="1:5" ht="15" customHeight="1" x14ac:dyDescent="0.2">
      <c r="A1182" s="38"/>
      <c r="B1182" s="38"/>
      <c r="E1182" s="8"/>
    </row>
    <row r="1183" spans="1:5" ht="15" customHeight="1" x14ac:dyDescent="0.2">
      <c r="A1183" s="38"/>
      <c r="B1183" s="38"/>
      <c r="E1183" s="8"/>
    </row>
    <row r="1184" spans="1:5" ht="15" customHeight="1" x14ac:dyDescent="0.2">
      <c r="A1184" s="38"/>
      <c r="B1184" s="38"/>
      <c r="E1184" s="8"/>
    </row>
    <row r="1185" spans="1:5" ht="15" customHeight="1" x14ac:dyDescent="0.2">
      <c r="A1185" s="38"/>
      <c r="B1185" s="38"/>
      <c r="E1185" s="8"/>
    </row>
    <row r="1186" spans="1:5" ht="15" customHeight="1" x14ac:dyDescent="0.2">
      <c r="A1186" s="38"/>
      <c r="B1186" s="38"/>
      <c r="E1186" s="8"/>
    </row>
    <row r="1187" spans="1:5" ht="15" customHeight="1" x14ac:dyDescent="0.2">
      <c r="A1187" s="38"/>
      <c r="B1187" s="38"/>
      <c r="E1187" s="8"/>
    </row>
    <row r="1188" spans="1:5" ht="15" customHeight="1" x14ac:dyDescent="0.2">
      <c r="A1188" s="38"/>
      <c r="B1188" s="38"/>
      <c r="E1188" s="8"/>
    </row>
    <row r="1189" spans="1:5" ht="15" customHeight="1" x14ac:dyDescent="0.2">
      <c r="A1189" s="38"/>
      <c r="B1189" s="38"/>
      <c r="E1189" s="8"/>
    </row>
    <row r="1190" spans="1:5" ht="15" customHeight="1" x14ac:dyDescent="0.2">
      <c r="A1190" s="38"/>
      <c r="B1190" s="38"/>
      <c r="E1190" s="8"/>
    </row>
    <row r="1191" spans="1:5" ht="15" customHeight="1" x14ac:dyDescent="0.2">
      <c r="A1191" s="38"/>
      <c r="B1191" s="38"/>
      <c r="E1191" s="8"/>
    </row>
    <row r="1192" spans="1:5" ht="15" customHeight="1" x14ac:dyDescent="0.2">
      <c r="A1192" s="38"/>
      <c r="B1192" s="38"/>
      <c r="E1192" s="8"/>
    </row>
    <row r="1193" spans="1:5" ht="15" customHeight="1" x14ac:dyDescent="0.2">
      <c r="A1193" s="38"/>
      <c r="B1193" s="38"/>
      <c r="E1193" s="8"/>
    </row>
    <row r="1194" spans="1:5" ht="15" customHeight="1" x14ac:dyDescent="0.2">
      <c r="A1194" s="38"/>
      <c r="B1194" s="38"/>
      <c r="E1194" s="8"/>
    </row>
    <row r="1195" spans="1:5" ht="15" customHeight="1" x14ac:dyDescent="0.2">
      <c r="A1195" s="38"/>
      <c r="B1195" s="38"/>
      <c r="E1195" s="8"/>
    </row>
    <row r="1196" spans="1:5" ht="15" customHeight="1" x14ac:dyDescent="0.2">
      <c r="A1196" s="38"/>
      <c r="B1196" s="38"/>
      <c r="E1196" s="8"/>
    </row>
    <row r="1197" spans="1:5" ht="15" customHeight="1" x14ac:dyDescent="0.2">
      <c r="A1197" s="38"/>
      <c r="B1197" s="38"/>
      <c r="E1197" s="8"/>
    </row>
    <row r="1198" spans="1:5" ht="15" customHeight="1" x14ac:dyDescent="0.2">
      <c r="A1198" s="38"/>
      <c r="B1198" s="38"/>
      <c r="E1198" s="8"/>
    </row>
    <row r="1199" spans="1:5" ht="15" customHeight="1" x14ac:dyDescent="0.2">
      <c r="A1199" s="38"/>
      <c r="B1199" s="38"/>
      <c r="E1199" s="8"/>
    </row>
    <row r="1200" spans="1:5" ht="15" customHeight="1" x14ac:dyDescent="0.2">
      <c r="A1200" s="38"/>
      <c r="B1200" s="38"/>
      <c r="E1200" s="8"/>
    </row>
    <row r="1201" spans="1:5" ht="15" customHeight="1" x14ac:dyDescent="0.2">
      <c r="A1201" s="38"/>
      <c r="B1201" s="38"/>
      <c r="E1201" s="8"/>
    </row>
    <row r="1202" spans="1:5" ht="15" customHeight="1" x14ac:dyDescent="0.2">
      <c r="A1202" s="38"/>
      <c r="B1202" s="38"/>
      <c r="E1202" s="8"/>
    </row>
    <row r="1203" spans="1:5" ht="15" customHeight="1" x14ac:dyDescent="0.2">
      <c r="A1203" s="38"/>
      <c r="B1203" s="38"/>
      <c r="E1203" s="8"/>
    </row>
    <row r="1204" spans="1:5" ht="15" customHeight="1" x14ac:dyDescent="0.2">
      <c r="A1204" s="38"/>
      <c r="B1204" s="38"/>
      <c r="E1204" s="8"/>
    </row>
    <row r="1205" spans="1:5" ht="15" customHeight="1" x14ac:dyDescent="0.2">
      <c r="A1205" s="38"/>
      <c r="B1205" s="38"/>
      <c r="E1205" s="8"/>
    </row>
    <row r="1206" spans="1:5" ht="15" customHeight="1" x14ac:dyDescent="0.2">
      <c r="A1206" s="38"/>
      <c r="B1206" s="38"/>
      <c r="E1206" s="8"/>
    </row>
    <row r="1207" spans="1:5" ht="15" customHeight="1" x14ac:dyDescent="0.2">
      <c r="A1207" s="38"/>
      <c r="B1207" s="38"/>
      <c r="E1207" s="8"/>
    </row>
    <row r="1208" spans="1:5" ht="15" customHeight="1" x14ac:dyDescent="0.2">
      <c r="A1208" s="38"/>
      <c r="B1208" s="38"/>
      <c r="E1208" s="8"/>
    </row>
    <row r="1209" spans="1:5" ht="15" customHeight="1" x14ac:dyDescent="0.2">
      <c r="A1209" s="38"/>
      <c r="B1209" s="38"/>
      <c r="E1209" s="8"/>
    </row>
    <row r="1210" spans="1:5" ht="15" customHeight="1" x14ac:dyDescent="0.2">
      <c r="A1210" s="38"/>
      <c r="B1210" s="38"/>
      <c r="E1210" s="8"/>
    </row>
    <row r="1211" spans="1:5" ht="15" customHeight="1" x14ac:dyDescent="0.2">
      <c r="A1211" s="38"/>
      <c r="B1211" s="38"/>
      <c r="E1211" s="8"/>
    </row>
    <row r="1212" spans="1:5" ht="15" customHeight="1" x14ac:dyDescent="0.2">
      <c r="A1212" s="38"/>
      <c r="B1212" s="38"/>
      <c r="E1212" s="8"/>
    </row>
    <row r="1213" spans="1:5" ht="15" customHeight="1" x14ac:dyDescent="0.2">
      <c r="A1213" s="38"/>
      <c r="B1213" s="38"/>
      <c r="E1213" s="8"/>
    </row>
    <row r="1214" spans="1:5" ht="15" customHeight="1" x14ac:dyDescent="0.2">
      <c r="A1214" s="38"/>
      <c r="B1214" s="38"/>
      <c r="E1214" s="8"/>
    </row>
    <row r="1215" spans="1:5" ht="15" customHeight="1" x14ac:dyDescent="0.2">
      <c r="A1215" s="38"/>
      <c r="B1215" s="38"/>
      <c r="E1215" s="8"/>
    </row>
    <row r="1216" spans="1:5" ht="15" customHeight="1" x14ac:dyDescent="0.2">
      <c r="A1216" s="38"/>
      <c r="B1216" s="38"/>
      <c r="E1216" s="8"/>
    </row>
    <row r="1217" spans="1:5" ht="15" customHeight="1" x14ac:dyDescent="0.2">
      <c r="A1217" s="38"/>
      <c r="B1217" s="38"/>
      <c r="E1217" s="8"/>
    </row>
    <row r="1218" spans="1:5" ht="15" customHeight="1" x14ac:dyDescent="0.2">
      <c r="A1218" s="38"/>
      <c r="B1218" s="38"/>
      <c r="E1218" s="8"/>
    </row>
    <row r="1219" spans="1:5" ht="15" customHeight="1" x14ac:dyDescent="0.2">
      <c r="A1219" s="38"/>
      <c r="B1219" s="38"/>
      <c r="E1219" s="8"/>
    </row>
    <row r="1220" spans="1:5" ht="15" customHeight="1" x14ac:dyDescent="0.2">
      <c r="A1220" s="38"/>
      <c r="B1220" s="38"/>
      <c r="E1220" s="8"/>
    </row>
    <row r="1221" spans="1:5" ht="15" customHeight="1" x14ac:dyDescent="0.2">
      <c r="A1221" s="38"/>
      <c r="B1221" s="38"/>
      <c r="E1221" s="8"/>
    </row>
    <row r="1222" spans="1:5" ht="15" customHeight="1" x14ac:dyDescent="0.2">
      <c r="A1222" s="38"/>
      <c r="B1222" s="38"/>
      <c r="E1222" s="8"/>
    </row>
    <row r="1223" spans="1:5" ht="15" customHeight="1" x14ac:dyDescent="0.2">
      <c r="A1223" s="38"/>
      <c r="B1223" s="38"/>
      <c r="E1223" s="8"/>
    </row>
    <row r="1224" spans="1:5" ht="15" customHeight="1" x14ac:dyDescent="0.2">
      <c r="A1224" s="38"/>
      <c r="B1224" s="38"/>
      <c r="E1224" s="8"/>
    </row>
    <row r="1225" spans="1:5" ht="15" customHeight="1" x14ac:dyDescent="0.2">
      <c r="A1225" s="38"/>
      <c r="B1225" s="38"/>
      <c r="E1225" s="8"/>
    </row>
    <row r="1226" spans="1:5" ht="15" customHeight="1" x14ac:dyDescent="0.2">
      <c r="A1226" s="38"/>
      <c r="B1226" s="38"/>
      <c r="E1226" s="8"/>
    </row>
    <row r="1227" spans="1:5" ht="15" customHeight="1" x14ac:dyDescent="0.2">
      <c r="A1227" s="38"/>
      <c r="B1227" s="38"/>
      <c r="E1227" s="8"/>
    </row>
    <row r="1228" spans="1:5" ht="15" customHeight="1" x14ac:dyDescent="0.2">
      <c r="A1228" s="38"/>
      <c r="B1228" s="38"/>
      <c r="E1228" s="8"/>
    </row>
    <row r="1229" spans="1:5" ht="15" customHeight="1" x14ac:dyDescent="0.2">
      <c r="A1229" s="38"/>
      <c r="B1229" s="38"/>
      <c r="E1229" s="8"/>
    </row>
    <row r="1230" spans="1:5" ht="15" customHeight="1" x14ac:dyDescent="0.2">
      <c r="A1230" s="38"/>
      <c r="B1230" s="38"/>
      <c r="E1230" s="8"/>
    </row>
    <row r="1231" spans="1:5" ht="15" customHeight="1" x14ac:dyDescent="0.2">
      <c r="A1231" s="38"/>
      <c r="B1231" s="38"/>
      <c r="E1231" s="8"/>
    </row>
    <row r="1232" spans="1:5" ht="15" customHeight="1" x14ac:dyDescent="0.2">
      <c r="A1232" s="38"/>
      <c r="B1232" s="38"/>
      <c r="E1232" s="8"/>
    </row>
    <row r="1233" spans="1:5" ht="15" customHeight="1" x14ac:dyDescent="0.2">
      <c r="A1233" s="38"/>
      <c r="B1233" s="38"/>
      <c r="E1233" s="8"/>
    </row>
    <row r="1234" spans="1:5" ht="15" customHeight="1" x14ac:dyDescent="0.2">
      <c r="A1234" s="38"/>
      <c r="B1234" s="38"/>
      <c r="E1234" s="8"/>
    </row>
    <row r="1235" spans="1:5" ht="15" customHeight="1" x14ac:dyDescent="0.2">
      <c r="A1235" s="38"/>
      <c r="B1235" s="38"/>
      <c r="E1235" s="8"/>
    </row>
    <row r="1236" spans="1:5" ht="15" customHeight="1" x14ac:dyDescent="0.2">
      <c r="A1236" s="38"/>
      <c r="B1236" s="38"/>
      <c r="E1236" s="8"/>
    </row>
    <row r="1237" spans="1:5" ht="15" customHeight="1" x14ac:dyDescent="0.2">
      <c r="A1237" s="38"/>
      <c r="B1237" s="38"/>
      <c r="E1237" s="8"/>
    </row>
    <row r="1238" spans="1:5" ht="15" customHeight="1" x14ac:dyDescent="0.2">
      <c r="A1238" s="38"/>
      <c r="B1238" s="38"/>
      <c r="E1238" s="8"/>
    </row>
    <row r="1239" spans="1:5" ht="15" customHeight="1" x14ac:dyDescent="0.2">
      <c r="A1239" s="38"/>
      <c r="B1239" s="38"/>
      <c r="E1239" s="8"/>
    </row>
    <row r="1240" spans="1:5" ht="15" customHeight="1" x14ac:dyDescent="0.2">
      <c r="A1240" s="38"/>
      <c r="B1240" s="38"/>
      <c r="E1240" s="8"/>
    </row>
    <row r="1241" spans="1:5" ht="15" customHeight="1" x14ac:dyDescent="0.2">
      <c r="A1241" s="38"/>
      <c r="B1241" s="38"/>
      <c r="E1241" s="8"/>
    </row>
    <row r="1242" spans="1:5" ht="15" customHeight="1" x14ac:dyDescent="0.2">
      <c r="A1242" s="38"/>
      <c r="B1242" s="38"/>
      <c r="E1242" s="8"/>
    </row>
    <row r="1243" spans="1:5" ht="15" customHeight="1" x14ac:dyDescent="0.2">
      <c r="A1243" s="38"/>
      <c r="B1243" s="38"/>
      <c r="E1243" s="8"/>
    </row>
    <row r="1244" spans="1:5" ht="15" customHeight="1" x14ac:dyDescent="0.2">
      <c r="A1244" s="38"/>
      <c r="B1244" s="38"/>
      <c r="E1244" s="8"/>
    </row>
    <row r="1245" spans="1:5" ht="15" customHeight="1" x14ac:dyDescent="0.2">
      <c r="A1245" s="38"/>
      <c r="B1245" s="38"/>
      <c r="E1245" s="8"/>
    </row>
    <row r="1246" spans="1:5" ht="15" customHeight="1" x14ac:dyDescent="0.2">
      <c r="A1246" s="38"/>
      <c r="B1246" s="38"/>
      <c r="E1246" s="8"/>
    </row>
    <row r="1247" spans="1:5" ht="15" customHeight="1" x14ac:dyDescent="0.2">
      <c r="A1247" s="38"/>
      <c r="B1247" s="38"/>
      <c r="E1247" s="8"/>
    </row>
    <row r="1248" spans="1:5" ht="15" customHeight="1" x14ac:dyDescent="0.2">
      <c r="A1248" s="38"/>
      <c r="B1248" s="38"/>
      <c r="E1248" s="8"/>
    </row>
    <row r="1249" spans="1:5" ht="15" customHeight="1" x14ac:dyDescent="0.2">
      <c r="A1249" s="38"/>
      <c r="B1249" s="38"/>
      <c r="E1249" s="8"/>
    </row>
    <row r="1250" spans="1:5" ht="15" customHeight="1" x14ac:dyDescent="0.2">
      <c r="A1250" s="38"/>
      <c r="B1250" s="38"/>
      <c r="E1250" s="8"/>
    </row>
    <row r="1251" spans="1:5" ht="15" customHeight="1" x14ac:dyDescent="0.2">
      <c r="A1251" s="38"/>
      <c r="B1251" s="38"/>
      <c r="E1251" s="8"/>
    </row>
    <row r="1252" spans="1:5" ht="15" customHeight="1" x14ac:dyDescent="0.2">
      <c r="A1252" s="38"/>
      <c r="B1252" s="38"/>
      <c r="E1252" s="8"/>
    </row>
    <row r="1253" spans="1:5" ht="15" customHeight="1" x14ac:dyDescent="0.2">
      <c r="A1253" s="38"/>
      <c r="B1253" s="38"/>
      <c r="E1253" s="8"/>
    </row>
    <row r="1254" spans="1:5" ht="15" customHeight="1" x14ac:dyDescent="0.2">
      <c r="A1254" s="38"/>
      <c r="B1254" s="38"/>
      <c r="E1254" s="8"/>
    </row>
    <row r="1255" spans="1:5" ht="15" customHeight="1" x14ac:dyDescent="0.2">
      <c r="A1255" s="38"/>
      <c r="B1255" s="38"/>
      <c r="E1255" s="8"/>
    </row>
    <row r="1256" spans="1:5" ht="15" customHeight="1" x14ac:dyDescent="0.2">
      <c r="A1256" s="38"/>
      <c r="B1256" s="38"/>
      <c r="E1256" s="8"/>
    </row>
    <row r="1257" spans="1:5" ht="15" customHeight="1" x14ac:dyDescent="0.2">
      <c r="A1257" s="38"/>
      <c r="B1257" s="38"/>
      <c r="E1257" s="8"/>
    </row>
    <row r="1258" spans="1:5" ht="15" customHeight="1" x14ac:dyDescent="0.2">
      <c r="A1258" s="38"/>
      <c r="B1258" s="38"/>
      <c r="E1258" s="8"/>
    </row>
    <row r="1259" spans="1:5" ht="15" customHeight="1" x14ac:dyDescent="0.2">
      <c r="A1259" s="38"/>
      <c r="B1259" s="38"/>
      <c r="E1259" s="8"/>
    </row>
    <row r="1260" spans="1:5" ht="15" customHeight="1" x14ac:dyDescent="0.2">
      <c r="A1260" s="38"/>
      <c r="B1260" s="38"/>
      <c r="E1260" s="8"/>
    </row>
    <row r="1261" spans="1:5" ht="15" customHeight="1" x14ac:dyDescent="0.2">
      <c r="A1261" s="38"/>
      <c r="B1261" s="38"/>
      <c r="E1261" s="8"/>
    </row>
    <row r="1262" spans="1:5" ht="15" customHeight="1" x14ac:dyDescent="0.2">
      <c r="A1262" s="38"/>
      <c r="B1262" s="38"/>
      <c r="E1262" s="8"/>
    </row>
    <row r="1263" spans="1:5" ht="15" customHeight="1" x14ac:dyDescent="0.2">
      <c r="A1263" s="38"/>
      <c r="B1263" s="38"/>
      <c r="E1263" s="8"/>
    </row>
    <row r="1264" spans="1:5" ht="15" customHeight="1" x14ac:dyDescent="0.2">
      <c r="A1264" s="38"/>
      <c r="B1264" s="38"/>
      <c r="E1264" s="8"/>
    </row>
    <row r="1265" spans="1:5" ht="15" customHeight="1" x14ac:dyDescent="0.2">
      <c r="A1265" s="38"/>
      <c r="B1265" s="38"/>
      <c r="E1265" s="8"/>
    </row>
    <row r="1266" spans="1:5" ht="15" customHeight="1" x14ac:dyDescent="0.2">
      <c r="A1266" s="38"/>
      <c r="B1266" s="38"/>
      <c r="E1266" s="8"/>
    </row>
    <row r="1267" spans="1:5" ht="15" customHeight="1" x14ac:dyDescent="0.2">
      <c r="A1267" s="38"/>
      <c r="B1267" s="38"/>
      <c r="E1267" s="8"/>
    </row>
    <row r="1268" spans="1:5" ht="15" customHeight="1" x14ac:dyDescent="0.2">
      <c r="A1268" s="38"/>
      <c r="B1268" s="38"/>
      <c r="E1268" s="8"/>
    </row>
    <row r="1269" spans="1:5" ht="15" customHeight="1" x14ac:dyDescent="0.2">
      <c r="A1269" s="38"/>
      <c r="B1269" s="38"/>
      <c r="E1269" s="8"/>
    </row>
    <row r="1270" spans="1:5" ht="15" customHeight="1" x14ac:dyDescent="0.2">
      <c r="A1270" s="38"/>
      <c r="B1270" s="38"/>
      <c r="E1270" s="8"/>
    </row>
    <row r="1271" spans="1:5" ht="15" customHeight="1" x14ac:dyDescent="0.2">
      <c r="A1271" s="38"/>
      <c r="B1271" s="38"/>
      <c r="E1271" s="8"/>
    </row>
    <row r="1272" spans="1:5" ht="15" customHeight="1" x14ac:dyDescent="0.2">
      <c r="A1272" s="38"/>
      <c r="B1272" s="38"/>
      <c r="E1272" s="8"/>
    </row>
    <row r="1273" spans="1:5" ht="15" customHeight="1" x14ac:dyDescent="0.2">
      <c r="A1273" s="38"/>
      <c r="B1273" s="38"/>
      <c r="E1273" s="8"/>
    </row>
    <row r="1274" spans="1:5" ht="15" customHeight="1" x14ac:dyDescent="0.2">
      <c r="A1274" s="38"/>
      <c r="B1274" s="38"/>
      <c r="E1274" s="8"/>
    </row>
    <row r="1275" spans="1:5" ht="15" customHeight="1" x14ac:dyDescent="0.2">
      <c r="A1275" s="38"/>
      <c r="B1275" s="38"/>
      <c r="E1275" s="8"/>
    </row>
    <row r="1276" spans="1:5" ht="15" customHeight="1" x14ac:dyDescent="0.2">
      <c r="A1276" s="38"/>
      <c r="B1276" s="38"/>
      <c r="E1276" s="8"/>
    </row>
    <row r="1277" spans="1:5" ht="15" customHeight="1" x14ac:dyDescent="0.2">
      <c r="A1277" s="38"/>
      <c r="B1277" s="38"/>
      <c r="E1277" s="8"/>
    </row>
    <row r="1278" spans="1:5" ht="15" customHeight="1" x14ac:dyDescent="0.2">
      <c r="A1278" s="38"/>
      <c r="B1278" s="38"/>
      <c r="E1278" s="8"/>
    </row>
    <row r="1279" spans="1:5" ht="15" customHeight="1" x14ac:dyDescent="0.2">
      <c r="A1279" s="38"/>
      <c r="B1279" s="38"/>
      <c r="E1279" s="8"/>
    </row>
    <row r="1280" spans="1:5" ht="15" customHeight="1" x14ac:dyDescent="0.2">
      <c r="A1280" s="38"/>
      <c r="B1280" s="38"/>
      <c r="E1280" s="8"/>
    </row>
    <row r="1281" spans="1:5" ht="15" customHeight="1" x14ac:dyDescent="0.2">
      <c r="A1281" s="38"/>
      <c r="B1281" s="38"/>
      <c r="E1281" s="8"/>
    </row>
    <row r="1282" spans="1:5" ht="15" customHeight="1" x14ac:dyDescent="0.2">
      <c r="A1282" s="38"/>
      <c r="B1282" s="38"/>
      <c r="E1282" s="8"/>
    </row>
    <row r="1283" spans="1:5" ht="15" customHeight="1" x14ac:dyDescent="0.2">
      <c r="A1283" s="38"/>
      <c r="B1283" s="38"/>
      <c r="E1283" s="8"/>
    </row>
    <row r="1284" spans="1:5" ht="15" customHeight="1" x14ac:dyDescent="0.2">
      <c r="A1284" s="38"/>
      <c r="B1284" s="38"/>
      <c r="E1284" s="8"/>
    </row>
    <row r="1285" spans="1:5" ht="15" customHeight="1" x14ac:dyDescent="0.2">
      <c r="A1285" s="38"/>
      <c r="B1285" s="38"/>
      <c r="E1285" s="8"/>
    </row>
    <row r="1286" spans="1:5" ht="15" customHeight="1" x14ac:dyDescent="0.2">
      <c r="A1286" s="38"/>
      <c r="B1286" s="38"/>
      <c r="E1286" s="8"/>
    </row>
    <row r="1287" spans="1:5" ht="15" customHeight="1" x14ac:dyDescent="0.2">
      <c r="A1287" s="38"/>
      <c r="B1287" s="38"/>
      <c r="E1287" s="8"/>
    </row>
    <row r="1288" spans="1:5" ht="15" customHeight="1" x14ac:dyDescent="0.2">
      <c r="A1288" s="38"/>
      <c r="B1288" s="38"/>
      <c r="E1288" s="8"/>
    </row>
    <row r="1289" spans="1:5" ht="15" customHeight="1" x14ac:dyDescent="0.2">
      <c r="A1289" s="38"/>
      <c r="B1289" s="38"/>
      <c r="E1289" s="8"/>
    </row>
    <row r="1290" spans="1:5" ht="15" customHeight="1" x14ac:dyDescent="0.2">
      <c r="A1290" s="38"/>
      <c r="B1290" s="38"/>
      <c r="E1290" s="8"/>
    </row>
    <row r="1291" spans="1:5" ht="15" customHeight="1" x14ac:dyDescent="0.2">
      <c r="A1291" s="38"/>
      <c r="B1291" s="38"/>
      <c r="E1291" s="8"/>
    </row>
    <row r="1292" spans="1:5" ht="15" customHeight="1" x14ac:dyDescent="0.2">
      <c r="A1292" s="38"/>
      <c r="B1292" s="38"/>
      <c r="E1292" s="8"/>
    </row>
    <row r="1293" spans="1:5" ht="15" customHeight="1" x14ac:dyDescent="0.2">
      <c r="A1293" s="38"/>
      <c r="B1293" s="38"/>
      <c r="E1293" s="8"/>
    </row>
    <row r="1294" spans="1:5" ht="15" customHeight="1" x14ac:dyDescent="0.2">
      <c r="A1294" s="38"/>
      <c r="B1294" s="38"/>
      <c r="E1294" s="8"/>
    </row>
    <row r="1295" spans="1:5" ht="15" customHeight="1" x14ac:dyDescent="0.2">
      <c r="A1295" s="38"/>
      <c r="B1295" s="38"/>
      <c r="E1295" s="8"/>
    </row>
    <row r="1296" spans="1:5" ht="15" customHeight="1" x14ac:dyDescent="0.2">
      <c r="A1296" s="38"/>
      <c r="B1296" s="38"/>
      <c r="E1296" s="8"/>
    </row>
    <row r="1297" spans="1:5" ht="15" customHeight="1" x14ac:dyDescent="0.2">
      <c r="A1297" s="38"/>
      <c r="B1297" s="38"/>
      <c r="E1297" s="8"/>
    </row>
    <row r="1298" spans="1:5" ht="15" customHeight="1" x14ac:dyDescent="0.2">
      <c r="A1298" s="38"/>
      <c r="B1298" s="38"/>
      <c r="E1298" s="8"/>
    </row>
    <row r="1299" spans="1:5" ht="15" customHeight="1" x14ac:dyDescent="0.2">
      <c r="A1299" s="38"/>
      <c r="B1299" s="38"/>
      <c r="E1299" s="8"/>
    </row>
    <row r="1300" spans="1:5" ht="15" customHeight="1" x14ac:dyDescent="0.2">
      <c r="A1300" s="38"/>
      <c r="B1300" s="38"/>
      <c r="E1300" s="8"/>
    </row>
    <row r="1301" spans="1:5" ht="15" customHeight="1" x14ac:dyDescent="0.2">
      <c r="A1301" s="38"/>
      <c r="B1301" s="38"/>
      <c r="E1301" s="8"/>
    </row>
    <row r="1302" spans="1:5" ht="15" customHeight="1" x14ac:dyDescent="0.2">
      <c r="A1302" s="38"/>
      <c r="B1302" s="38"/>
      <c r="E1302" s="8"/>
    </row>
    <row r="1303" spans="1:5" ht="15" customHeight="1" x14ac:dyDescent="0.2">
      <c r="A1303" s="38"/>
      <c r="B1303" s="38"/>
      <c r="E1303" s="8"/>
    </row>
    <row r="1304" spans="1:5" ht="15" customHeight="1" x14ac:dyDescent="0.2">
      <c r="A1304" s="38"/>
      <c r="B1304" s="38"/>
      <c r="E1304" s="8"/>
    </row>
    <row r="1305" spans="1:5" ht="15" customHeight="1" x14ac:dyDescent="0.2">
      <c r="A1305" s="38"/>
      <c r="B1305" s="38"/>
      <c r="E1305" s="8"/>
    </row>
    <row r="1306" spans="1:5" ht="15" customHeight="1" x14ac:dyDescent="0.2">
      <c r="A1306" s="38"/>
      <c r="B1306" s="38"/>
      <c r="E1306" s="8"/>
    </row>
    <row r="1307" spans="1:5" ht="15" customHeight="1" x14ac:dyDescent="0.2">
      <c r="A1307" s="38"/>
      <c r="B1307" s="38"/>
      <c r="E1307" s="8"/>
    </row>
    <row r="1308" spans="1:5" ht="15" customHeight="1" x14ac:dyDescent="0.2">
      <c r="A1308" s="38"/>
      <c r="B1308" s="38"/>
      <c r="E1308" s="8"/>
    </row>
    <row r="1309" spans="1:5" ht="15" customHeight="1" x14ac:dyDescent="0.2">
      <c r="A1309" s="38"/>
      <c r="B1309" s="38"/>
      <c r="E1309" s="8"/>
    </row>
    <row r="1310" spans="1:5" ht="15" customHeight="1" x14ac:dyDescent="0.2">
      <c r="A1310" s="38"/>
      <c r="B1310" s="38"/>
      <c r="E1310" s="8"/>
    </row>
    <row r="1311" spans="1:5" ht="15" customHeight="1" x14ac:dyDescent="0.2">
      <c r="A1311" s="38"/>
      <c r="B1311" s="38"/>
      <c r="E1311" s="8"/>
    </row>
    <row r="1312" spans="1:5" ht="15" customHeight="1" x14ac:dyDescent="0.2">
      <c r="A1312" s="38"/>
      <c r="B1312" s="38"/>
      <c r="E1312" s="8"/>
    </row>
    <row r="1313" spans="1:5" ht="15" customHeight="1" x14ac:dyDescent="0.2">
      <c r="A1313" s="38"/>
      <c r="B1313" s="38"/>
      <c r="E1313" s="8"/>
    </row>
    <row r="1314" spans="1:5" ht="15" customHeight="1" x14ac:dyDescent="0.2">
      <c r="A1314" s="38"/>
      <c r="B1314" s="38"/>
      <c r="E1314" s="8"/>
    </row>
    <row r="1315" spans="1:5" ht="15" customHeight="1" x14ac:dyDescent="0.2">
      <c r="A1315" s="38"/>
      <c r="B1315" s="38"/>
      <c r="E1315" s="8"/>
    </row>
    <row r="1316" spans="1:5" ht="15" customHeight="1" x14ac:dyDescent="0.2">
      <c r="A1316" s="38"/>
      <c r="B1316" s="38"/>
      <c r="E1316" s="8"/>
    </row>
    <row r="1317" spans="1:5" ht="15" customHeight="1" x14ac:dyDescent="0.2">
      <c r="A1317" s="38"/>
      <c r="B1317" s="38"/>
      <c r="E1317" s="8"/>
    </row>
    <row r="1318" spans="1:5" ht="15" customHeight="1" x14ac:dyDescent="0.2">
      <c r="A1318" s="38"/>
      <c r="B1318" s="38"/>
      <c r="E1318" s="8"/>
    </row>
    <row r="1319" spans="1:5" ht="15" customHeight="1" x14ac:dyDescent="0.2">
      <c r="A1319" s="38"/>
      <c r="B1319" s="38"/>
      <c r="E1319" s="8"/>
    </row>
    <row r="1320" spans="1:5" ht="15" customHeight="1" x14ac:dyDescent="0.2">
      <c r="A1320" s="38"/>
      <c r="B1320" s="38"/>
      <c r="E1320" s="8"/>
    </row>
    <row r="1321" spans="1:5" ht="15" customHeight="1" x14ac:dyDescent="0.2">
      <c r="A1321" s="38"/>
      <c r="B1321" s="38"/>
      <c r="E1321" s="8"/>
    </row>
    <row r="1322" spans="1:5" ht="15" customHeight="1" x14ac:dyDescent="0.2">
      <c r="A1322" s="38"/>
      <c r="B1322" s="38"/>
      <c r="E1322" s="8"/>
    </row>
    <row r="1323" spans="1:5" ht="15" customHeight="1" x14ac:dyDescent="0.2">
      <c r="A1323" s="38"/>
      <c r="B1323" s="38"/>
      <c r="E1323" s="8"/>
    </row>
    <row r="1324" spans="1:5" ht="15" customHeight="1" x14ac:dyDescent="0.2">
      <c r="A1324" s="38"/>
      <c r="B1324" s="38"/>
      <c r="E1324" s="8"/>
    </row>
    <row r="1325" spans="1:5" ht="15" customHeight="1" x14ac:dyDescent="0.2">
      <c r="A1325" s="38"/>
      <c r="B1325" s="38"/>
      <c r="E1325" s="8"/>
    </row>
    <row r="1326" spans="1:5" ht="15" customHeight="1" x14ac:dyDescent="0.2">
      <c r="A1326" s="38"/>
      <c r="B1326" s="38"/>
      <c r="E1326" s="8"/>
    </row>
    <row r="1327" spans="1:5" ht="15" customHeight="1" x14ac:dyDescent="0.2">
      <c r="A1327" s="38"/>
      <c r="B1327" s="38"/>
      <c r="E1327" s="8"/>
    </row>
    <row r="1328" spans="1:5" ht="15" customHeight="1" x14ac:dyDescent="0.2">
      <c r="A1328" s="38"/>
      <c r="B1328" s="38"/>
      <c r="E1328" s="8"/>
    </row>
    <row r="1329" spans="1:5" ht="15" customHeight="1" x14ac:dyDescent="0.2">
      <c r="A1329" s="38"/>
      <c r="B1329" s="38"/>
      <c r="E1329" s="8"/>
    </row>
    <row r="1330" spans="1:5" ht="15" customHeight="1" x14ac:dyDescent="0.2">
      <c r="A1330" s="38"/>
      <c r="B1330" s="38"/>
      <c r="E1330" s="8"/>
    </row>
    <row r="1331" spans="1:5" ht="15" customHeight="1" x14ac:dyDescent="0.2">
      <c r="A1331" s="38"/>
      <c r="B1331" s="38"/>
      <c r="E1331" s="8"/>
    </row>
    <row r="1332" spans="1:5" ht="15" customHeight="1" x14ac:dyDescent="0.2">
      <c r="A1332" s="38"/>
      <c r="B1332" s="38"/>
      <c r="E1332" s="8"/>
    </row>
    <row r="1333" spans="1:5" ht="15" customHeight="1" x14ac:dyDescent="0.2">
      <c r="A1333" s="38"/>
      <c r="B1333" s="38"/>
      <c r="E1333" s="8"/>
    </row>
    <row r="1334" spans="1:5" ht="15" customHeight="1" x14ac:dyDescent="0.2">
      <c r="A1334" s="38"/>
      <c r="B1334" s="38"/>
      <c r="E1334" s="8"/>
    </row>
    <row r="1335" spans="1:5" ht="15" customHeight="1" x14ac:dyDescent="0.2">
      <c r="A1335" s="38"/>
      <c r="B1335" s="38"/>
      <c r="E1335" s="8"/>
    </row>
    <row r="1336" spans="1:5" ht="15" customHeight="1" x14ac:dyDescent="0.2">
      <c r="A1336" s="38"/>
      <c r="B1336" s="38"/>
      <c r="E1336" s="8"/>
    </row>
    <row r="1337" spans="1:5" ht="15" customHeight="1" x14ac:dyDescent="0.2">
      <c r="A1337" s="38"/>
      <c r="B1337" s="38"/>
      <c r="E1337" s="8"/>
    </row>
    <row r="1338" spans="1:5" ht="15" customHeight="1" x14ac:dyDescent="0.2">
      <c r="A1338" s="38"/>
      <c r="B1338" s="38"/>
      <c r="E1338" s="8"/>
    </row>
    <row r="1339" spans="1:5" ht="15" customHeight="1" x14ac:dyDescent="0.2">
      <c r="A1339" s="38"/>
      <c r="B1339" s="38"/>
      <c r="E1339" s="8"/>
    </row>
    <row r="1340" spans="1:5" ht="15" customHeight="1" x14ac:dyDescent="0.2">
      <c r="A1340" s="38"/>
      <c r="B1340" s="38"/>
      <c r="E1340" s="8"/>
    </row>
    <row r="1341" spans="1:5" ht="15" customHeight="1" x14ac:dyDescent="0.2">
      <c r="A1341" s="38"/>
      <c r="B1341" s="38"/>
      <c r="E1341" s="8"/>
    </row>
    <row r="1342" spans="1:5" ht="15" customHeight="1" x14ac:dyDescent="0.2">
      <c r="A1342" s="38"/>
      <c r="B1342" s="38"/>
      <c r="E1342" s="8"/>
    </row>
    <row r="1343" spans="1:5" ht="15" customHeight="1" x14ac:dyDescent="0.2">
      <c r="A1343" s="38"/>
      <c r="B1343" s="38"/>
      <c r="E1343" s="8"/>
    </row>
    <row r="1344" spans="1:5" ht="15" customHeight="1" x14ac:dyDescent="0.2">
      <c r="A1344" s="38"/>
      <c r="B1344" s="38"/>
      <c r="E1344" s="8"/>
    </row>
    <row r="1345" spans="1:5" ht="15" customHeight="1" x14ac:dyDescent="0.2">
      <c r="A1345" s="38"/>
      <c r="B1345" s="38"/>
      <c r="E1345" s="8"/>
    </row>
    <row r="1346" spans="1:5" ht="15" customHeight="1" x14ac:dyDescent="0.2">
      <c r="A1346" s="38"/>
      <c r="B1346" s="38"/>
      <c r="E1346" s="8"/>
    </row>
    <row r="1347" spans="1:5" ht="15" customHeight="1" x14ac:dyDescent="0.2">
      <c r="A1347" s="38"/>
      <c r="B1347" s="38"/>
      <c r="E1347" s="8"/>
    </row>
    <row r="1348" spans="1:5" ht="15" customHeight="1" x14ac:dyDescent="0.2">
      <c r="A1348" s="38"/>
      <c r="B1348" s="38"/>
      <c r="E1348" s="8"/>
    </row>
    <row r="1349" spans="1:5" ht="15" customHeight="1" x14ac:dyDescent="0.2">
      <c r="A1349" s="38"/>
      <c r="B1349" s="38"/>
      <c r="E1349" s="8"/>
    </row>
    <row r="1350" spans="1:5" ht="15" customHeight="1" x14ac:dyDescent="0.2">
      <c r="A1350" s="38"/>
      <c r="B1350" s="38"/>
      <c r="E1350" s="8"/>
    </row>
    <row r="1351" spans="1:5" ht="15" customHeight="1" x14ac:dyDescent="0.2">
      <c r="A1351" s="38"/>
      <c r="B1351" s="38"/>
      <c r="E1351" s="8"/>
    </row>
    <row r="1352" spans="1:5" ht="15" customHeight="1" x14ac:dyDescent="0.2">
      <c r="A1352" s="38"/>
      <c r="B1352" s="38"/>
      <c r="E1352" s="8"/>
    </row>
    <row r="1353" spans="1:5" ht="15" customHeight="1" x14ac:dyDescent="0.2">
      <c r="A1353" s="38"/>
      <c r="B1353" s="38"/>
      <c r="E1353" s="8"/>
    </row>
    <row r="1354" spans="1:5" ht="15" customHeight="1" x14ac:dyDescent="0.2">
      <c r="A1354" s="38"/>
      <c r="B1354" s="38"/>
      <c r="E1354" s="8"/>
    </row>
    <row r="1355" spans="1:5" ht="15" customHeight="1" x14ac:dyDescent="0.2">
      <c r="A1355" s="38"/>
      <c r="B1355" s="38"/>
      <c r="E1355" s="8"/>
    </row>
    <row r="1356" spans="1:5" ht="15" customHeight="1" x14ac:dyDescent="0.2">
      <c r="A1356" s="38"/>
      <c r="B1356" s="38"/>
      <c r="E1356" s="8"/>
    </row>
    <row r="1357" spans="1:5" ht="15" customHeight="1" x14ac:dyDescent="0.2">
      <c r="A1357" s="38"/>
      <c r="B1357" s="38"/>
      <c r="E1357" s="8"/>
    </row>
    <row r="1358" spans="1:5" ht="15" customHeight="1" x14ac:dyDescent="0.2">
      <c r="A1358" s="38"/>
      <c r="B1358" s="38"/>
      <c r="E1358" s="8"/>
    </row>
    <row r="1359" spans="1:5" ht="15" customHeight="1" x14ac:dyDescent="0.2">
      <c r="A1359" s="38"/>
      <c r="B1359" s="38"/>
      <c r="E1359" s="8"/>
    </row>
    <row r="1360" spans="1:5" ht="15" customHeight="1" x14ac:dyDescent="0.2">
      <c r="A1360" s="38"/>
      <c r="B1360" s="38"/>
      <c r="E1360" s="8"/>
    </row>
    <row r="1361" spans="1:5" ht="15" customHeight="1" x14ac:dyDescent="0.2">
      <c r="A1361" s="38"/>
      <c r="B1361" s="38"/>
      <c r="E1361" s="8"/>
    </row>
    <row r="1362" spans="1:5" ht="15" customHeight="1" x14ac:dyDescent="0.2">
      <c r="A1362" s="38"/>
      <c r="B1362" s="38"/>
      <c r="E1362" s="8"/>
    </row>
    <row r="1363" spans="1:5" ht="15" customHeight="1" x14ac:dyDescent="0.2">
      <c r="A1363" s="38"/>
      <c r="B1363" s="38"/>
      <c r="E1363" s="8"/>
    </row>
    <row r="1364" spans="1:5" ht="15" customHeight="1" x14ac:dyDescent="0.2">
      <c r="A1364" s="38"/>
      <c r="B1364" s="38"/>
      <c r="E1364" s="8"/>
    </row>
    <row r="1365" spans="1:5" ht="15" customHeight="1" x14ac:dyDescent="0.2">
      <c r="A1365" s="38"/>
      <c r="B1365" s="38"/>
      <c r="E1365" s="8"/>
    </row>
    <row r="1366" spans="1:5" ht="15" customHeight="1" x14ac:dyDescent="0.2">
      <c r="A1366" s="38"/>
      <c r="B1366" s="38"/>
      <c r="E1366" s="8"/>
    </row>
    <row r="1367" spans="1:5" ht="15" customHeight="1" x14ac:dyDescent="0.2">
      <c r="A1367" s="38"/>
      <c r="B1367" s="38"/>
      <c r="E1367" s="8"/>
    </row>
    <row r="1368" spans="1:5" ht="15" customHeight="1" x14ac:dyDescent="0.2">
      <c r="A1368" s="38"/>
      <c r="B1368" s="38"/>
      <c r="E1368" s="8"/>
    </row>
    <row r="1369" spans="1:5" ht="15" customHeight="1" x14ac:dyDescent="0.2">
      <c r="A1369" s="38"/>
      <c r="B1369" s="38"/>
      <c r="E1369" s="8"/>
    </row>
    <row r="1370" spans="1:5" ht="15" customHeight="1" x14ac:dyDescent="0.2">
      <c r="A1370" s="38"/>
      <c r="B1370" s="38"/>
      <c r="E1370" s="8"/>
    </row>
    <row r="1371" spans="1:5" ht="15" customHeight="1" x14ac:dyDescent="0.2">
      <c r="A1371" s="38"/>
      <c r="B1371" s="38"/>
      <c r="E1371" s="8"/>
    </row>
    <row r="1372" spans="1:5" ht="15" customHeight="1" x14ac:dyDescent="0.2">
      <c r="A1372" s="38"/>
      <c r="B1372" s="38"/>
      <c r="E1372" s="8"/>
    </row>
    <row r="1373" spans="1:5" ht="15" customHeight="1" x14ac:dyDescent="0.2">
      <c r="A1373" s="38"/>
      <c r="B1373" s="38"/>
      <c r="E1373" s="8"/>
    </row>
    <row r="1374" spans="1:5" ht="15" customHeight="1" x14ac:dyDescent="0.2">
      <c r="A1374" s="38"/>
      <c r="B1374" s="38"/>
      <c r="E1374" s="8"/>
    </row>
    <row r="1375" spans="1:5" ht="15" customHeight="1" x14ac:dyDescent="0.2">
      <c r="A1375" s="38"/>
      <c r="B1375" s="38"/>
      <c r="E1375" s="8"/>
    </row>
    <row r="1376" spans="1:5" ht="15" customHeight="1" x14ac:dyDescent="0.2">
      <c r="A1376" s="38"/>
      <c r="B1376" s="38"/>
      <c r="E1376" s="8"/>
    </row>
    <row r="1377" spans="1:5" ht="15" customHeight="1" x14ac:dyDescent="0.2">
      <c r="A1377" s="38"/>
      <c r="B1377" s="38"/>
      <c r="E1377" s="8"/>
    </row>
    <row r="1378" spans="1:5" ht="15" customHeight="1" x14ac:dyDescent="0.2">
      <c r="A1378" s="38"/>
      <c r="B1378" s="38"/>
      <c r="E1378" s="8"/>
    </row>
    <row r="1379" spans="1:5" ht="15" customHeight="1" x14ac:dyDescent="0.2">
      <c r="A1379" s="38"/>
      <c r="B1379" s="38"/>
      <c r="E1379" s="8"/>
    </row>
    <row r="1380" spans="1:5" ht="15" customHeight="1" x14ac:dyDescent="0.2">
      <c r="A1380" s="38"/>
      <c r="B1380" s="38"/>
      <c r="E1380" s="8"/>
    </row>
    <row r="1381" spans="1:5" ht="15" customHeight="1" x14ac:dyDescent="0.2">
      <c r="A1381" s="38"/>
      <c r="B1381" s="38"/>
      <c r="E1381" s="8"/>
    </row>
    <row r="1382" spans="1:5" ht="15" customHeight="1" x14ac:dyDescent="0.2">
      <c r="A1382" s="38"/>
      <c r="B1382" s="38"/>
      <c r="E1382" s="8"/>
    </row>
    <row r="1383" spans="1:5" ht="15" customHeight="1" x14ac:dyDescent="0.2">
      <c r="A1383" s="38"/>
      <c r="B1383" s="38"/>
      <c r="E1383" s="8"/>
    </row>
    <row r="1384" spans="1:5" ht="15" customHeight="1" x14ac:dyDescent="0.2">
      <c r="A1384" s="38"/>
      <c r="B1384" s="38"/>
      <c r="E1384" s="8"/>
    </row>
    <row r="1385" spans="1:5" ht="15" customHeight="1" x14ac:dyDescent="0.2">
      <c r="A1385" s="38"/>
      <c r="B1385" s="38"/>
      <c r="E1385" s="8"/>
    </row>
    <row r="1386" spans="1:5" ht="15" customHeight="1" x14ac:dyDescent="0.2">
      <c r="A1386" s="38"/>
      <c r="B1386" s="38"/>
      <c r="E1386" s="8"/>
    </row>
    <row r="1387" spans="1:5" ht="15" customHeight="1" x14ac:dyDescent="0.2">
      <c r="A1387" s="38"/>
      <c r="B1387" s="38"/>
      <c r="E1387" s="8"/>
    </row>
    <row r="1388" spans="1:5" ht="15" customHeight="1" x14ac:dyDescent="0.2">
      <c r="A1388" s="38"/>
      <c r="B1388" s="38"/>
      <c r="E1388" s="8"/>
    </row>
    <row r="1389" spans="1:5" ht="15" customHeight="1" x14ac:dyDescent="0.2">
      <c r="A1389" s="38"/>
      <c r="B1389" s="38"/>
      <c r="E1389" s="8"/>
    </row>
    <row r="1390" spans="1:5" ht="15" customHeight="1" x14ac:dyDescent="0.2">
      <c r="A1390" s="38"/>
      <c r="B1390" s="38"/>
      <c r="E1390" s="8"/>
    </row>
    <row r="1391" spans="1:5" ht="15" customHeight="1" x14ac:dyDescent="0.2">
      <c r="A1391" s="38"/>
      <c r="B1391" s="38"/>
      <c r="E1391" s="8"/>
    </row>
    <row r="1392" spans="1:5" ht="15" customHeight="1" x14ac:dyDescent="0.2">
      <c r="A1392" s="38"/>
      <c r="B1392" s="38"/>
      <c r="E1392" s="8"/>
    </row>
    <row r="1393" spans="1:5" ht="15" customHeight="1" x14ac:dyDescent="0.2">
      <c r="A1393" s="38"/>
      <c r="B1393" s="38"/>
      <c r="E1393" s="8"/>
    </row>
    <row r="1394" spans="1:5" ht="15" customHeight="1" x14ac:dyDescent="0.2">
      <c r="A1394" s="38"/>
      <c r="B1394" s="38"/>
      <c r="E1394" s="8"/>
    </row>
    <row r="1395" spans="1:5" ht="15" customHeight="1" x14ac:dyDescent="0.2">
      <c r="A1395" s="38"/>
      <c r="B1395" s="38"/>
      <c r="E1395" s="8"/>
    </row>
    <row r="1396" spans="1:5" ht="15" customHeight="1" x14ac:dyDescent="0.2">
      <c r="A1396" s="38"/>
      <c r="B1396" s="38"/>
      <c r="E1396" s="8"/>
    </row>
    <row r="1397" spans="1:5" ht="15" customHeight="1" x14ac:dyDescent="0.2">
      <c r="A1397" s="38"/>
      <c r="B1397" s="38"/>
      <c r="E1397" s="8"/>
    </row>
    <row r="1398" spans="1:5" ht="15" customHeight="1" x14ac:dyDescent="0.2">
      <c r="A1398" s="38"/>
      <c r="B1398" s="38"/>
      <c r="E1398" s="8"/>
    </row>
    <row r="1399" spans="1:5" ht="15" customHeight="1" x14ac:dyDescent="0.2">
      <c r="A1399" s="38"/>
      <c r="B1399" s="38"/>
      <c r="E1399" s="8"/>
    </row>
    <row r="1400" spans="1:5" ht="15" customHeight="1" x14ac:dyDescent="0.2">
      <c r="A1400" s="38"/>
      <c r="B1400" s="38"/>
      <c r="E1400" s="8"/>
    </row>
    <row r="1401" spans="1:5" ht="15" customHeight="1" x14ac:dyDescent="0.2">
      <c r="A1401" s="38"/>
      <c r="B1401" s="38"/>
      <c r="E1401" s="8"/>
    </row>
    <row r="1402" spans="1:5" ht="15" customHeight="1" x14ac:dyDescent="0.2">
      <c r="A1402" s="38"/>
      <c r="B1402" s="38"/>
      <c r="E1402" s="8"/>
    </row>
    <row r="1403" spans="1:5" ht="15" customHeight="1" x14ac:dyDescent="0.2">
      <c r="A1403" s="38"/>
      <c r="B1403" s="38"/>
      <c r="E1403" s="8"/>
    </row>
    <row r="1404" spans="1:5" ht="15" customHeight="1" x14ac:dyDescent="0.2">
      <c r="A1404" s="38"/>
      <c r="B1404" s="38"/>
      <c r="E1404" s="8"/>
    </row>
    <row r="1405" spans="1:5" ht="15" customHeight="1" x14ac:dyDescent="0.2">
      <c r="A1405" s="38"/>
      <c r="B1405" s="38"/>
      <c r="E1405" s="8"/>
    </row>
    <row r="1406" spans="1:5" ht="15" customHeight="1" x14ac:dyDescent="0.2">
      <c r="A1406" s="38"/>
      <c r="B1406" s="38"/>
      <c r="E1406" s="8"/>
    </row>
    <row r="1407" spans="1:5" ht="15" customHeight="1" x14ac:dyDescent="0.2">
      <c r="A1407" s="38"/>
      <c r="B1407" s="38"/>
      <c r="E1407" s="8"/>
    </row>
    <row r="1408" spans="1:5" ht="15" customHeight="1" x14ac:dyDescent="0.2">
      <c r="A1408" s="38"/>
      <c r="B1408" s="38"/>
      <c r="E1408" s="8"/>
    </row>
    <row r="1409" spans="1:5" ht="15" customHeight="1" x14ac:dyDescent="0.2">
      <c r="A1409" s="38"/>
      <c r="B1409" s="38"/>
      <c r="E1409" s="8"/>
    </row>
    <row r="1410" spans="1:5" ht="15" customHeight="1" x14ac:dyDescent="0.2">
      <c r="A1410" s="38"/>
      <c r="B1410" s="38"/>
      <c r="E1410" s="8"/>
    </row>
    <row r="1411" spans="1:5" ht="15" customHeight="1" x14ac:dyDescent="0.2">
      <c r="A1411" s="38"/>
      <c r="B1411" s="38"/>
      <c r="E1411" s="8"/>
    </row>
    <row r="1412" spans="1:5" ht="15" customHeight="1" x14ac:dyDescent="0.2">
      <c r="A1412" s="38"/>
      <c r="B1412" s="38"/>
      <c r="E1412" s="8"/>
    </row>
    <row r="1413" spans="1:5" ht="15" customHeight="1" x14ac:dyDescent="0.2">
      <c r="A1413" s="38"/>
      <c r="B1413" s="38"/>
      <c r="E1413" s="8"/>
    </row>
    <row r="1414" spans="1:5" ht="15" customHeight="1" x14ac:dyDescent="0.2">
      <c r="A1414" s="38"/>
      <c r="B1414" s="38"/>
      <c r="E1414" s="8"/>
    </row>
    <row r="1415" spans="1:5" ht="15" customHeight="1" x14ac:dyDescent="0.2">
      <c r="A1415" s="38"/>
      <c r="B1415" s="38"/>
      <c r="E1415" s="8"/>
    </row>
    <row r="1416" spans="1:5" ht="15" customHeight="1" x14ac:dyDescent="0.2">
      <c r="A1416" s="38"/>
      <c r="B1416" s="38"/>
      <c r="E1416" s="8"/>
    </row>
    <row r="1417" spans="1:5" ht="15" customHeight="1" x14ac:dyDescent="0.2">
      <c r="A1417" s="38"/>
      <c r="B1417" s="38"/>
      <c r="E1417" s="8"/>
    </row>
    <row r="1418" spans="1:5" ht="15" customHeight="1" x14ac:dyDescent="0.2">
      <c r="A1418" s="38"/>
      <c r="B1418" s="38"/>
      <c r="E1418" s="8"/>
    </row>
    <row r="1419" spans="1:5" ht="15" customHeight="1" x14ac:dyDescent="0.2">
      <c r="A1419" s="38"/>
      <c r="B1419" s="38"/>
      <c r="E1419" s="8"/>
    </row>
    <row r="1420" spans="1:5" ht="15" customHeight="1" x14ac:dyDescent="0.2">
      <c r="A1420" s="38"/>
      <c r="B1420" s="38"/>
      <c r="E1420" s="8"/>
    </row>
    <row r="1421" spans="1:5" ht="15" customHeight="1" x14ac:dyDescent="0.2">
      <c r="A1421" s="38"/>
      <c r="B1421" s="38"/>
      <c r="E1421" s="8"/>
    </row>
    <row r="1422" spans="1:5" ht="15" customHeight="1" x14ac:dyDescent="0.2">
      <c r="A1422" s="38"/>
      <c r="B1422" s="38"/>
      <c r="E1422" s="8"/>
    </row>
    <row r="1423" spans="1:5" ht="15" customHeight="1" x14ac:dyDescent="0.2">
      <c r="A1423" s="38"/>
      <c r="B1423" s="38"/>
      <c r="E1423" s="8"/>
    </row>
    <row r="1424" spans="1:5" ht="15" customHeight="1" x14ac:dyDescent="0.2">
      <c r="A1424" s="38"/>
      <c r="B1424" s="38"/>
      <c r="E1424" s="8"/>
    </row>
    <row r="1425" spans="1:5" ht="15" customHeight="1" x14ac:dyDescent="0.2">
      <c r="A1425" s="38"/>
      <c r="B1425" s="38"/>
      <c r="E1425" s="8"/>
    </row>
    <row r="1426" spans="1:5" ht="15" customHeight="1" x14ac:dyDescent="0.2">
      <c r="A1426" s="38"/>
      <c r="B1426" s="38"/>
      <c r="E1426" s="8"/>
    </row>
    <row r="1427" spans="1:5" ht="15" customHeight="1" x14ac:dyDescent="0.2">
      <c r="A1427" s="38"/>
      <c r="B1427" s="38"/>
      <c r="E1427" s="8"/>
    </row>
    <row r="1428" spans="1:5" ht="15" customHeight="1" x14ac:dyDescent="0.2">
      <c r="A1428" s="38"/>
      <c r="B1428" s="38"/>
      <c r="E1428" s="8"/>
    </row>
    <row r="1429" spans="1:5" ht="15" customHeight="1" x14ac:dyDescent="0.2">
      <c r="A1429" s="38"/>
      <c r="B1429" s="38"/>
      <c r="E1429" s="8"/>
    </row>
    <row r="1430" spans="1:5" ht="15" customHeight="1" x14ac:dyDescent="0.2">
      <c r="A1430" s="38"/>
      <c r="B1430" s="38"/>
      <c r="E1430" s="8"/>
    </row>
    <row r="1431" spans="1:5" ht="15" customHeight="1" x14ac:dyDescent="0.2">
      <c r="A1431" s="38"/>
      <c r="B1431" s="38"/>
      <c r="E1431" s="8"/>
    </row>
    <row r="1432" spans="1:5" ht="15" customHeight="1" x14ac:dyDescent="0.2">
      <c r="A1432" s="38"/>
      <c r="B1432" s="38"/>
      <c r="E1432" s="8"/>
    </row>
    <row r="1433" spans="1:5" ht="15" customHeight="1" x14ac:dyDescent="0.2">
      <c r="A1433" s="38"/>
      <c r="B1433" s="38"/>
      <c r="E1433" s="8"/>
    </row>
    <row r="1434" spans="1:5" ht="15" customHeight="1" x14ac:dyDescent="0.2">
      <c r="A1434" s="38"/>
      <c r="B1434" s="38"/>
      <c r="E1434" s="8"/>
    </row>
    <row r="1435" spans="1:5" ht="15" customHeight="1" x14ac:dyDescent="0.2">
      <c r="A1435" s="38"/>
      <c r="B1435" s="38"/>
      <c r="E1435" s="8"/>
    </row>
    <row r="1436" spans="1:5" ht="15" customHeight="1" x14ac:dyDescent="0.2">
      <c r="A1436" s="38"/>
      <c r="B1436" s="38"/>
      <c r="E1436" s="8"/>
    </row>
    <row r="1437" spans="1:5" ht="15" customHeight="1" x14ac:dyDescent="0.2">
      <c r="A1437" s="38"/>
      <c r="B1437" s="38"/>
      <c r="E1437" s="8"/>
    </row>
    <row r="1438" spans="1:5" ht="15" customHeight="1" x14ac:dyDescent="0.2">
      <c r="A1438" s="38"/>
      <c r="B1438" s="38"/>
      <c r="E1438" s="8"/>
    </row>
    <row r="1439" spans="1:5" ht="15" customHeight="1" x14ac:dyDescent="0.2">
      <c r="A1439" s="38"/>
      <c r="B1439" s="38"/>
      <c r="E1439" s="8"/>
    </row>
    <row r="1440" spans="1:5" ht="15" customHeight="1" x14ac:dyDescent="0.2">
      <c r="A1440" s="38"/>
      <c r="B1440" s="38"/>
      <c r="E1440" s="8"/>
    </row>
    <row r="1441" spans="1:5" ht="15" customHeight="1" x14ac:dyDescent="0.2">
      <c r="A1441" s="38"/>
      <c r="B1441" s="38"/>
      <c r="E1441" s="8"/>
    </row>
    <row r="1442" spans="1:5" ht="15" customHeight="1" x14ac:dyDescent="0.2">
      <c r="A1442" s="38"/>
      <c r="B1442" s="38"/>
      <c r="E1442" s="8"/>
    </row>
    <row r="1443" spans="1:5" ht="15" customHeight="1" x14ac:dyDescent="0.2">
      <c r="A1443" s="38"/>
      <c r="B1443" s="38"/>
      <c r="E1443" s="8"/>
    </row>
    <row r="1444" spans="1:5" ht="15" customHeight="1" x14ac:dyDescent="0.2">
      <c r="A1444" s="38"/>
      <c r="B1444" s="38"/>
      <c r="E1444" s="8"/>
    </row>
    <row r="1445" spans="1:5" ht="15" customHeight="1" x14ac:dyDescent="0.2">
      <c r="A1445" s="38"/>
      <c r="B1445" s="38"/>
      <c r="E1445" s="8"/>
    </row>
    <row r="1446" spans="1:5" ht="15" customHeight="1" x14ac:dyDescent="0.2">
      <c r="A1446" s="38"/>
      <c r="B1446" s="38"/>
      <c r="E1446" s="8"/>
    </row>
    <row r="1447" spans="1:5" ht="15" customHeight="1" x14ac:dyDescent="0.2">
      <c r="A1447" s="38"/>
      <c r="B1447" s="38"/>
      <c r="E1447" s="8"/>
    </row>
    <row r="1448" spans="1:5" ht="15" customHeight="1" x14ac:dyDescent="0.2">
      <c r="A1448" s="38"/>
      <c r="B1448" s="38"/>
      <c r="E1448" s="8"/>
    </row>
    <row r="1449" spans="1:5" ht="15" customHeight="1" x14ac:dyDescent="0.2">
      <c r="A1449" s="38"/>
      <c r="B1449" s="38"/>
      <c r="E1449" s="8"/>
    </row>
    <row r="1450" spans="1:5" ht="15" customHeight="1" x14ac:dyDescent="0.2">
      <c r="A1450" s="38"/>
      <c r="B1450" s="38"/>
      <c r="E1450" s="8"/>
    </row>
    <row r="1451" spans="1:5" ht="15" customHeight="1" x14ac:dyDescent="0.2">
      <c r="A1451" s="38"/>
      <c r="B1451" s="38"/>
      <c r="E1451" s="8"/>
    </row>
    <row r="1452" spans="1:5" ht="15" customHeight="1" x14ac:dyDescent="0.2">
      <c r="A1452" s="38"/>
      <c r="B1452" s="38"/>
      <c r="E1452" s="8"/>
    </row>
    <row r="1453" spans="1:5" ht="15" customHeight="1" x14ac:dyDescent="0.2">
      <c r="A1453" s="38"/>
      <c r="B1453" s="38"/>
      <c r="E1453" s="8"/>
    </row>
    <row r="1454" spans="1:5" ht="15" customHeight="1" x14ac:dyDescent="0.2">
      <c r="A1454" s="38"/>
      <c r="B1454" s="38"/>
      <c r="E1454" s="8"/>
    </row>
    <row r="1455" spans="1:5" ht="15" customHeight="1" x14ac:dyDescent="0.2">
      <c r="A1455" s="38"/>
      <c r="B1455" s="38"/>
      <c r="E1455" s="8"/>
    </row>
    <row r="1456" spans="1:5" ht="15" customHeight="1" x14ac:dyDescent="0.2">
      <c r="A1456" s="38"/>
      <c r="B1456" s="38"/>
      <c r="E1456" s="8"/>
    </row>
    <row r="1457" spans="1:5" ht="15" customHeight="1" x14ac:dyDescent="0.2">
      <c r="A1457" s="38"/>
      <c r="B1457" s="38"/>
      <c r="E1457" s="8"/>
    </row>
    <row r="1458" spans="1:5" ht="15" customHeight="1" x14ac:dyDescent="0.2">
      <c r="A1458" s="38"/>
      <c r="B1458" s="38"/>
      <c r="E1458" s="8"/>
    </row>
    <row r="1459" spans="1:5" ht="15" customHeight="1" x14ac:dyDescent="0.2">
      <c r="A1459" s="38"/>
      <c r="B1459" s="38"/>
      <c r="E1459" s="8"/>
    </row>
    <row r="1460" spans="1:5" ht="15" customHeight="1" x14ac:dyDescent="0.2">
      <c r="A1460" s="38"/>
      <c r="B1460" s="38"/>
      <c r="E1460" s="8"/>
    </row>
    <row r="1461" spans="1:5" ht="15" customHeight="1" x14ac:dyDescent="0.2">
      <c r="A1461" s="38"/>
      <c r="B1461" s="38"/>
      <c r="E1461" s="8"/>
    </row>
    <row r="1462" spans="1:5" ht="15" customHeight="1" x14ac:dyDescent="0.2">
      <c r="A1462" s="38"/>
      <c r="B1462" s="38"/>
      <c r="E1462" s="8"/>
    </row>
    <row r="1463" spans="1:5" ht="15" customHeight="1" x14ac:dyDescent="0.2">
      <c r="A1463" s="38"/>
      <c r="B1463" s="38"/>
      <c r="E1463" s="8"/>
    </row>
    <row r="1464" spans="1:5" ht="15" customHeight="1" x14ac:dyDescent="0.2">
      <c r="A1464" s="38"/>
      <c r="B1464" s="38"/>
      <c r="E1464" s="8"/>
    </row>
    <row r="1465" spans="1:5" ht="15" customHeight="1" x14ac:dyDescent="0.2">
      <c r="A1465" s="38"/>
      <c r="B1465" s="38"/>
      <c r="E1465" s="8"/>
    </row>
    <row r="1466" spans="1:5" ht="15" customHeight="1" x14ac:dyDescent="0.2">
      <c r="A1466" s="38"/>
      <c r="B1466" s="38"/>
      <c r="E1466" s="8"/>
    </row>
    <row r="1467" spans="1:5" ht="15" customHeight="1" x14ac:dyDescent="0.2">
      <c r="A1467" s="38"/>
      <c r="B1467" s="38"/>
      <c r="E1467" s="8"/>
    </row>
    <row r="1468" spans="1:5" ht="15" customHeight="1" x14ac:dyDescent="0.2">
      <c r="A1468" s="38"/>
      <c r="B1468" s="38"/>
      <c r="E1468" s="8"/>
    </row>
    <row r="1469" spans="1:5" ht="15" customHeight="1" x14ac:dyDescent="0.2">
      <c r="A1469" s="38"/>
      <c r="B1469" s="38"/>
      <c r="E1469" s="8"/>
    </row>
    <row r="1470" spans="1:5" ht="15" customHeight="1" x14ac:dyDescent="0.2">
      <c r="A1470" s="38"/>
      <c r="B1470" s="38"/>
      <c r="E1470" s="8"/>
    </row>
    <row r="1471" spans="1:5" ht="15" customHeight="1" x14ac:dyDescent="0.2">
      <c r="A1471" s="38"/>
      <c r="B1471" s="38"/>
      <c r="E1471" s="8"/>
    </row>
    <row r="1472" spans="1:5" ht="15" customHeight="1" x14ac:dyDescent="0.2">
      <c r="A1472" s="38"/>
      <c r="B1472" s="38"/>
      <c r="E1472" s="8"/>
    </row>
    <row r="1473" spans="1:5" ht="15" customHeight="1" x14ac:dyDescent="0.2">
      <c r="A1473" s="38"/>
      <c r="B1473" s="38"/>
      <c r="E1473" s="8"/>
    </row>
    <row r="1474" spans="1:5" ht="15" customHeight="1" x14ac:dyDescent="0.2">
      <c r="A1474" s="38"/>
      <c r="B1474" s="38"/>
      <c r="E1474" s="8"/>
    </row>
    <row r="1475" spans="1:5" ht="15" customHeight="1" x14ac:dyDescent="0.2">
      <c r="A1475" s="38"/>
      <c r="B1475" s="38"/>
      <c r="E1475" s="8"/>
    </row>
    <row r="1476" spans="1:5" ht="15" customHeight="1" x14ac:dyDescent="0.2">
      <c r="A1476" s="38"/>
      <c r="B1476" s="38"/>
      <c r="E1476" s="8"/>
    </row>
  </sheetData>
  <autoFilter ref="A2:E7" xr:uid="{00000000-0001-0000-0500-000000000000}"/>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M1000"/>
  <sheetViews>
    <sheetView workbookViewId="0">
      <selection activeCell="AI6" sqref="AI6"/>
    </sheetView>
  </sheetViews>
  <sheetFormatPr defaultColWidth="14.42578125" defaultRowHeight="15" customHeight="1" x14ac:dyDescent="0.2"/>
  <cols>
    <col min="1" max="1" width="27.7109375" customWidth="1"/>
    <col min="2" max="3" width="36.28515625" customWidth="1"/>
    <col min="4" max="6" width="26.28515625" customWidth="1"/>
    <col min="7" max="7" width="32.85546875" customWidth="1"/>
    <col min="8" max="8" width="31.85546875" customWidth="1"/>
    <col min="9" max="9" width="29.85546875" customWidth="1"/>
    <col min="10" max="10" width="31.85546875" customWidth="1"/>
    <col min="11" max="11" width="26" customWidth="1"/>
    <col min="12" max="12" width="25.5703125" customWidth="1"/>
    <col min="13" max="13" width="29" customWidth="1"/>
    <col min="14" max="14" width="62.42578125" customWidth="1"/>
    <col min="15" max="15" width="29.7109375" customWidth="1"/>
    <col min="16" max="17" width="28.140625" customWidth="1"/>
    <col min="18" max="18" width="48.7109375" customWidth="1"/>
    <col min="19" max="19" width="37.7109375" customWidth="1"/>
    <col min="20" max="20" width="26.140625" customWidth="1"/>
    <col min="21" max="23" width="25.5703125" customWidth="1"/>
    <col min="24" max="24" width="27.7109375" customWidth="1"/>
    <col min="25" max="33" width="36.7109375" customWidth="1"/>
    <col min="34" max="34" width="80.140625" customWidth="1"/>
    <col min="35" max="38" width="24.5703125" customWidth="1"/>
    <col min="39" max="39" width="29.140625" customWidth="1"/>
  </cols>
  <sheetData>
    <row r="1" spans="1:39" ht="12.75" customHeight="1" x14ac:dyDescent="0.2">
      <c r="A1" s="6" t="s">
        <v>123</v>
      </c>
      <c r="B1" s="6" t="s">
        <v>81</v>
      </c>
      <c r="C1" s="6" t="s">
        <v>7</v>
      </c>
      <c r="D1" s="6" t="s">
        <v>83</v>
      </c>
      <c r="E1" s="6" t="s">
        <v>84</v>
      </c>
      <c r="F1" s="6" t="s">
        <v>85</v>
      </c>
      <c r="G1" s="6" t="s">
        <v>86</v>
      </c>
      <c r="H1" s="6" t="s">
        <v>90</v>
      </c>
      <c r="I1" s="6" t="s">
        <v>91</v>
      </c>
      <c r="J1" s="6" t="s">
        <v>92</v>
      </c>
      <c r="K1" s="6" t="s">
        <v>11</v>
      </c>
      <c r="L1" s="6" t="s">
        <v>96</v>
      </c>
      <c r="M1" s="6" t="s">
        <v>97</v>
      </c>
      <c r="N1" s="6" t="s">
        <v>100</v>
      </c>
      <c r="O1" s="6" t="s">
        <v>105</v>
      </c>
      <c r="P1" s="6" t="s">
        <v>106</v>
      </c>
      <c r="Q1" s="6" t="s">
        <v>107</v>
      </c>
      <c r="R1" s="6" t="s">
        <v>108</v>
      </c>
      <c r="S1" s="6" t="s">
        <v>109</v>
      </c>
      <c r="T1" s="6" t="s">
        <v>110</v>
      </c>
      <c r="U1" s="6" t="s">
        <v>111</v>
      </c>
      <c r="V1" s="6" t="s">
        <v>112</v>
      </c>
      <c r="W1" s="6" t="s">
        <v>113</v>
      </c>
      <c r="X1" s="6" t="s">
        <v>115</v>
      </c>
      <c r="Y1" s="6" t="s">
        <v>126</v>
      </c>
      <c r="Z1" s="6" t="s">
        <v>127</v>
      </c>
      <c r="AA1" s="6" t="s">
        <v>128</v>
      </c>
      <c r="AB1" s="6" t="s">
        <v>129</v>
      </c>
      <c r="AC1" s="6" t="s">
        <v>130</v>
      </c>
      <c r="AD1" s="6" t="s">
        <v>131</v>
      </c>
      <c r="AE1" s="6" t="s">
        <v>132</v>
      </c>
      <c r="AF1" s="6" t="s">
        <v>135</v>
      </c>
      <c r="AG1" s="6" t="s">
        <v>136</v>
      </c>
      <c r="AH1" s="6" t="s">
        <v>137</v>
      </c>
      <c r="AI1" s="6" t="s">
        <v>138</v>
      </c>
      <c r="AJ1" s="6" t="s">
        <v>139</v>
      </c>
      <c r="AK1" s="6" t="s">
        <v>140</v>
      </c>
      <c r="AL1" s="6" t="s">
        <v>141</v>
      </c>
      <c r="AM1" s="6" t="s">
        <v>142</v>
      </c>
    </row>
    <row r="2" spans="1:39" ht="12.75" customHeight="1" x14ac:dyDescent="0.2">
      <c r="A2" s="6" t="s">
        <v>194</v>
      </c>
      <c r="B2" s="6" t="s">
        <v>150</v>
      </c>
      <c r="C2" s="6" t="s">
        <v>151</v>
      </c>
      <c r="D2" s="6" t="s">
        <v>153</v>
      </c>
      <c r="E2" s="6" t="s">
        <v>154</v>
      </c>
      <c r="F2" s="6" t="s">
        <v>155</v>
      </c>
      <c r="G2" s="6" t="s">
        <v>156</v>
      </c>
      <c r="H2" s="6" t="s">
        <v>160</v>
      </c>
      <c r="I2" s="8" t="s">
        <v>161</v>
      </c>
      <c r="J2" s="6" t="s">
        <v>162</v>
      </c>
      <c r="K2" s="6" t="s">
        <v>165</v>
      </c>
      <c r="L2" s="6" t="s">
        <v>167</v>
      </c>
      <c r="M2" s="6" t="s">
        <v>168</v>
      </c>
      <c r="N2" s="6" t="s">
        <v>171</v>
      </c>
      <c r="O2" s="6" t="s">
        <v>176</v>
      </c>
      <c r="P2" s="6" t="s">
        <v>177</v>
      </c>
      <c r="Q2" s="6" t="s">
        <v>178</v>
      </c>
      <c r="R2" s="6" t="s">
        <v>179</v>
      </c>
      <c r="S2" s="6" t="s">
        <v>180</v>
      </c>
      <c r="T2" s="6" t="s">
        <v>181</v>
      </c>
      <c r="U2" s="6" t="s">
        <v>182</v>
      </c>
      <c r="V2" s="6" t="s">
        <v>183</v>
      </c>
      <c r="W2" s="6" t="s">
        <v>184</v>
      </c>
      <c r="X2" s="6" t="s">
        <v>186</v>
      </c>
      <c r="Y2" s="6" t="s">
        <v>197</v>
      </c>
      <c r="Z2" s="6" t="s">
        <v>198</v>
      </c>
      <c r="AA2" s="6" t="s">
        <v>199</v>
      </c>
      <c r="AB2" s="6" t="s">
        <v>200</v>
      </c>
      <c r="AC2" s="6" t="s">
        <v>201</v>
      </c>
      <c r="AD2" s="6" t="s">
        <v>202</v>
      </c>
      <c r="AE2" s="6" t="s">
        <v>203</v>
      </c>
      <c r="AF2" s="6" t="s">
        <v>206</v>
      </c>
      <c r="AG2" s="6" t="s">
        <v>207</v>
      </c>
      <c r="AH2" s="6" t="s">
        <v>208</v>
      </c>
      <c r="AI2" s="6" t="s">
        <v>209</v>
      </c>
      <c r="AJ2" s="6" t="s">
        <v>210</v>
      </c>
      <c r="AK2" s="6" t="s">
        <v>211</v>
      </c>
      <c r="AL2" s="6" t="s">
        <v>212</v>
      </c>
      <c r="AM2" s="6" t="s">
        <v>213</v>
      </c>
    </row>
    <row r="3" spans="1:39" ht="12.75" customHeight="1" x14ac:dyDescent="0.2">
      <c r="A3" s="10" t="s">
        <v>265</v>
      </c>
      <c r="B3" s="10" t="s">
        <v>223</v>
      </c>
      <c r="C3" s="10" t="s">
        <v>224</v>
      </c>
      <c r="D3" s="10" t="s">
        <v>226</v>
      </c>
      <c r="E3" s="10" t="s">
        <v>227</v>
      </c>
      <c r="F3" s="10" t="s">
        <v>228</v>
      </c>
      <c r="G3" s="10" t="s">
        <v>229</v>
      </c>
      <c r="H3" s="10" t="s">
        <v>234</v>
      </c>
      <c r="I3" s="10" t="s">
        <v>235</v>
      </c>
      <c r="J3" s="10" t="s">
        <v>236</v>
      </c>
      <c r="K3" s="10" t="s">
        <v>239</v>
      </c>
      <c r="L3" s="10" t="s">
        <v>241</v>
      </c>
      <c r="M3" s="10" t="s">
        <v>242</v>
      </c>
      <c r="N3" s="10" t="s">
        <v>245</v>
      </c>
      <c r="O3" s="10" t="s">
        <v>250</v>
      </c>
      <c r="P3" s="10" t="s">
        <v>251</v>
      </c>
      <c r="Q3" s="10" t="s">
        <v>252</v>
      </c>
      <c r="R3" s="10" t="s">
        <v>253</v>
      </c>
      <c r="S3" s="10" t="s">
        <v>254</v>
      </c>
      <c r="T3" s="10" t="s">
        <v>255</v>
      </c>
      <c r="U3" s="10" t="s">
        <v>256</v>
      </c>
      <c r="V3" s="10" t="s">
        <v>257</v>
      </c>
      <c r="W3" s="10" t="s">
        <v>258</v>
      </c>
      <c r="X3" s="10" t="s">
        <v>260</v>
      </c>
      <c r="Y3" s="10" t="s">
        <v>267</v>
      </c>
      <c r="Z3" s="10" t="s">
        <v>268</v>
      </c>
      <c r="AA3" s="10" t="s">
        <v>269</v>
      </c>
      <c r="AB3" s="10" t="s">
        <v>270</v>
      </c>
      <c r="AC3" s="10" t="s">
        <v>271</v>
      </c>
      <c r="AD3" s="10" t="s">
        <v>272</v>
      </c>
      <c r="AE3" s="10" t="s">
        <v>273</v>
      </c>
      <c r="AF3" s="10" t="s">
        <v>276</v>
      </c>
      <c r="AG3" s="10" t="s">
        <v>277</v>
      </c>
      <c r="AH3" s="10" t="s">
        <v>278</v>
      </c>
      <c r="AI3" s="10" t="s">
        <v>279</v>
      </c>
      <c r="AJ3" s="10" t="s">
        <v>280</v>
      </c>
      <c r="AK3" s="10" t="s">
        <v>281</v>
      </c>
      <c r="AL3" s="10" t="s">
        <v>282</v>
      </c>
      <c r="AM3" s="10" t="s">
        <v>283</v>
      </c>
    </row>
    <row r="4" spans="1:39" ht="12.75" customHeight="1" x14ac:dyDescent="0.2">
      <c r="A4" s="8" t="s">
        <v>9</v>
      </c>
      <c r="B4" s="8" t="s">
        <v>4</v>
      </c>
      <c r="C4" s="8" t="s">
        <v>9</v>
      </c>
      <c r="D4" s="8" t="s">
        <v>9</v>
      </c>
      <c r="E4" s="8" t="s">
        <v>9</v>
      </c>
      <c r="F4" s="8" t="s">
        <v>9</v>
      </c>
      <c r="G4" s="8" t="s">
        <v>9</v>
      </c>
      <c r="H4" s="8" t="s">
        <v>9</v>
      </c>
      <c r="I4" s="6" t="s">
        <v>285</v>
      </c>
      <c r="J4" s="8" t="s">
        <v>16</v>
      </c>
      <c r="K4" s="8" t="s">
        <v>286</v>
      </c>
      <c r="L4" s="8" t="s">
        <v>287</v>
      </c>
      <c r="M4" s="6" t="s">
        <v>16</v>
      </c>
      <c r="N4" s="6" t="s">
        <v>9</v>
      </c>
      <c r="O4" s="8" t="s">
        <v>12</v>
      </c>
      <c r="P4" s="8" t="s">
        <v>286</v>
      </c>
      <c r="Q4" s="8" t="s">
        <v>286</v>
      </c>
      <c r="R4" s="8" t="s">
        <v>16</v>
      </c>
      <c r="S4" s="8" t="s">
        <v>288</v>
      </c>
      <c r="T4" s="8" t="s">
        <v>289</v>
      </c>
      <c r="U4" s="8" t="s">
        <v>287</v>
      </c>
      <c r="V4" s="8" t="s">
        <v>287</v>
      </c>
      <c r="W4" s="8" t="s">
        <v>9</v>
      </c>
      <c r="X4" s="8" t="s">
        <v>9</v>
      </c>
      <c r="Y4" s="8" t="s">
        <v>286</v>
      </c>
      <c r="Z4" s="8" t="s">
        <v>289</v>
      </c>
      <c r="AA4" s="8" t="s">
        <v>9</v>
      </c>
      <c r="AB4" s="8" t="s">
        <v>286</v>
      </c>
      <c r="AC4" s="8" t="s">
        <v>286</v>
      </c>
      <c r="AD4" s="8" t="s">
        <v>286</v>
      </c>
      <c r="AE4" s="8" t="s">
        <v>9</v>
      </c>
      <c r="AF4" s="8" t="s">
        <v>9</v>
      </c>
      <c r="AG4" s="8" t="s">
        <v>286</v>
      </c>
      <c r="AH4" s="8" t="s">
        <v>9</v>
      </c>
      <c r="AI4" s="8" t="s">
        <v>289</v>
      </c>
      <c r="AJ4" s="8" t="s">
        <v>9</v>
      </c>
      <c r="AK4" s="8"/>
      <c r="AL4" s="8"/>
      <c r="AM4" s="6" t="s">
        <v>9</v>
      </c>
    </row>
    <row r="5" spans="1:39" ht="12.75" customHeight="1" x14ac:dyDescent="0.2">
      <c r="A5" s="8" t="s">
        <v>9</v>
      </c>
      <c r="B5" s="8" t="s">
        <v>291</v>
      </c>
      <c r="C5" s="8" t="s">
        <v>9</v>
      </c>
      <c r="D5" s="8" t="s">
        <v>9</v>
      </c>
      <c r="E5" s="8" t="s">
        <v>9</v>
      </c>
      <c r="F5" s="8" t="s">
        <v>9</v>
      </c>
      <c r="G5" s="8" t="s">
        <v>9</v>
      </c>
      <c r="H5" s="8" t="s">
        <v>9</v>
      </c>
      <c r="I5" s="6" t="s">
        <v>285</v>
      </c>
      <c r="J5" s="8" t="s">
        <v>17</v>
      </c>
      <c r="K5" s="8"/>
      <c r="L5" s="8" t="s">
        <v>293</v>
      </c>
      <c r="M5" s="6" t="s">
        <v>17</v>
      </c>
      <c r="N5" s="6" t="s">
        <v>9</v>
      </c>
      <c r="O5" s="8"/>
      <c r="P5" s="8"/>
      <c r="Q5" s="8"/>
      <c r="R5" s="8" t="s">
        <v>17</v>
      </c>
      <c r="S5" s="8"/>
      <c r="T5" s="8"/>
      <c r="U5" s="8" t="s">
        <v>294</v>
      </c>
      <c r="V5" s="8" t="s">
        <v>295</v>
      </c>
      <c r="W5" s="8" t="s">
        <v>9</v>
      </c>
      <c r="X5" s="8" t="s">
        <v>9</v>
      </c>
      <c r="Y5" s="8"/>
      <c r="Z5" s="8"/>
      <c r="AA5" s="8" t="s">
        <v>9</v>
      </c>
      <c r="AB5" s="8"/>
      <c r="AC5" s="8"/>
      <c r="AD5" s="8"/>
      <c r="AE5" s="8" t="s">
        <v>9</v>
      </c>
      <c r="AF5" s="8" t="s">
        <v>9</v>
      </c>
      <c r="AG5" s="8"/>
      <c r="AH5" s="8" t="s">
        <v>9</v>
      </c>
      <c r="AI5" s="8"/>
      <c r="AJ5" s="8" t="s">
        <v>9</v>
      </c>
      <c r="AK5" s="8"/>
      <c r="AL5" s="8"/>
      <c r="AM5" s="6" t="s">
        <v>9</v>
      </c>
    </row>
    <row r="6" spans="1:39" ht="12.75" customHeight="1" x14ac:dyDescent="0.2">
      <c r="A6" s="12"/>
      <c r="B6" s="12" t="s">
        <v>296</v>
      </c>
      <c r="C6" s="13"/>
      <c r="D6" s="12"/>
      <c r="E6" s="12"/>
      <c r="F6" s="12"/>
      <c r="G6" s="13"/>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2.75" customHeight="1" x14ac:dyDescent="0.2">
      <c r="A7" s="12"/>
      <c r="B7" s="13" t="s">
        <v>298</v>
      </c>
      <c r="C7" s="13"/>
      <c r="D7" s="12"/>
      <c r="E7" s="12"/>
      <c r="F7" s="12"/>
      <c r="G7" s="13"/>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row>
    <row r="8" spans="1:39" ht="12.75" customHeight="1" x14ac:dyDescent="0.2">
      <c r="A8" s="8"/>
      <c r="B8" s="8"/>
      <c r="C8" s="8"/>
      <c r="D8" s="8"/>
      <c r="E8" s="8"/>
      <c r="F8" s="8"/>
      <c r="G8" s="8"/>
      <c r="H8" s="8"/>
      <c r="J8" s="8"/>
      <c r="K8" s="8"/>
      <c r="L8" s="8"/>
      <c r="M8" s="8"/>
      <c r="N8" s="8"/>
      <c r="O8" s="8"/>
      <c r="P8" s="8"/>
      <c r="Q8" s="8"/>
      <c r="R8" s="8"/>
      <c r="S8" s="8"/>
      <c r="T8" s="8"/>
      <c r="U8" s="8"/>
      <c r="V8" s="8"/>
      <c r="W8" s="8"/>
      <c r="X8" s="8"/>
      <c r="Y8" s="8"/>
      <c r="Z8" s="8"/>
      <c r="AA8" s="8"/>
      <c r="AB8" s="8"/>
      <c r="AC8" s="8"/>
      <c r="AD8" s="8"/>
      <c r="AE8" s="8"/>
      <c r="AF8" s="8"/>
      <c r="AG8" s="8"/>
      <c r="AH8" s="8"/>
      <c r="AI8" s="8"/>
      <c r="AJ8" s="8"/>
      <c r="AK8" s="8"/>
      <c r="AL8" s="8"/>
      <c r="AM8" s="8"/>
    </row>
    <row r="9" spans="1:39" ht="12.75" customHeight="1" x14ac:dyDescent="0.2">
      <c r="A9" s="8"/>
      <c r="B9" s="8"/>
      <c r="C9" s="8"/>
      <c r="D9" s="8"/>
      <c r="E9" s="8"/>
      <c r="F9" s="8"/>
      <c r="G9" s="8"/>
      <c r="H9" s="8"/>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row>
    <row r="10" spans="1:39" ht="12.75" customHeight="1" x14ac:dyDescent="0.2">
      <c r="A10" s="8"/>
      <c r="B10" s="8"/>
      <c r="C10" s="8"/>
      <c r="D10" s="8"/>
      <c r="E10" s="8"/>
      <c r="F10" s="8"/>
      <c r="G10" s="8"/>
      <c r="H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row>
    <row r="11" spans="1:39" ht="12.75" customHeight="1" x14ac:dyDescent="0.2">
      <c r="A11" s="8"/>
      <c r="B11" s="8"/>
      <c r="C11" s="8"/>
      <c r="D11" s="8"/>
      <c r="E11" s="8"/>
      <c r="F11" s="8"/>
      <c r="G11" s="8"/>
      <c r="H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row>
    <row r="12" spans="1:39" ht="12.75" customHeight="1" x14ac:dyDescent="0.2">
      <c r="A12" s="8"/>
      <c r="B12" s="8"/>
      <c r="C12" s="8"/>
      <c r="D12" s="8"/>
      <c r="E12" s="8"/>
      <c r="F12" s="8"/>
      <c r="G12" s="8"/>
      <c r="H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1:39" ht="12.75" customHeight="1" x14ac:dyDescent="0.2">
      <c r="A13" s="8"/>
      <c r="B13" s="8"/>
      <c r="C13" s="8"/>
      <c r="D13" s="8"/>
      <c r="E13" s="8"/>
      <c r="F13" s="8"/>
      <c r="G13" s="8"/>
      <c r="H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1:39" ht="12.75" customHeight="1" x14ac:dyDescent="0.2">
      <c r="A14" s="8"/>
      <c r="B14" s="8"/>
      <c r="C14" s="8"/>
      <c r="D14" s="8"/>
      <c r="E14" s="8"/>
      <c r="F14" s="8"/>
      <c r="G14" s="8"/>
      <c r="H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row>
    <row r="15" spans="1:39" ht="12.75" customHeight="1" x14ac:dyDescent="0.2">
      <c r="A15" s="8"/>
      <c r="B15" s="8"/>
      <c r="C15" s="8"/>
      <c r="D15" s="8"/>
      <c r="E15" s="8"/>
      <c r="F15" s="8"/>
      <c r="G15" s="8"/>
      <c r="H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row>
    <row r="16" spans="1:39" ht="12.75" customHeight="1" x14ac:dyDescent="0.2">
      <c r="A16" s="8"/>
      <c r="B16" s="8"/>
      <c r="C16" s="8"/>
      <c r="D16" s="8"/>
      <c r="E16" s="8"/>
      <c r="F16" s="8"/>
      <c r="G16" s="8"/>
      <c r="H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row>
    <row r="17" spans="1:39" ht="12.75" customHeight="1" x14ac:dyDescent="0.2">
      <c r="A17" s="8"/>
      <c r="B17" s="8"/>
      <c r="C17" s="8"/>
      <c r="D17" s="8"/>
      <c r="E17" s="8"/>
      <c r="F17" s="8"/>
      <c r="G17" s="8"/>
      <c r="H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row>
    <row r="18" spans="1:39" ht="12.75" customHeight="1" x14ac:dyDescent="0.2">
      <c r="A18" s="8"/>
      <c r="B18" s="8"/>
      <c r="C18" s="8"/>
      <c r="D18" s="8"/>
      <c r="E18" s="8"/>
      <c r="F18" s="8"/>
      <c r="G18" s="8"/>
      <c r="H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row>
    <row r="19" spans="1:39" ht="12.75" customHeight="1" x14ac:dyDescent="0.2">
      <c r="A19" s="8"/>
      <c r="B19" s="8"/>
      <c r="C19" s="8"/>
      <c r="D19" s="8"/>
      <c r="E19" s="8"/>
      <c r="F19" s="8"/>
      <c r="G19" s="8"/>
      <c r="H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row>
    <row r="20" spans="1:39" ht="12.75" customHeight="1" x14ac:dyDescent="0.2">
      <c r="A20" s="8"/>
      <c r="B20" s="8"/>
      <c r="C20" s="8"/>
      <c r="D20" s="8"/>
      <c r="E20" s="8"/>
      <c r="F20" s="8"/>
      <c r="G20" s="8"/>
      <c r="H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row>
    <row r="21" spans="1:39" ht="12.75" customHeight="1" x14ac:dyDescent="0.2">
      <c r="A21" s="8"/>
      <c r="B21" s="8"/>
      <c r="C21" s="8"/>
      <c r="D21" s="8"/>
      <c r="E21" s="8"/>
      <c r="F21" s="8"/>
      <c r="G21" s="8"/>
      <c r="H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row>
    <row r="22" spans="1:39" ht="12.75" customHeight="1" x14ac:dyDescent="0.2">
      <c r="A22" s="8"/>
      <c r="B22" s="8"/>
      <c r="C22" s="8"/>
      <c r="D22" s="8"/>
      <c r="E22" s="8"/>
      <c r="F22" s="8"/>
      <c r="G22" s="8"/>
      <c r="H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row>
    <row r="23" spans="1:39" ht="12.75" customHeight="1" x14ac:dyDescent="0.2">
      <c r="A23" s="8"/>
      <c r="B23" s="8"/>
      <c r="C23" s="8"/>
      <c r="D23" s="8"/>
      <c r="E23" s="8"/>
      <c r="F23" s="8"/>
      <c r="G23" s="8"/>
      <c r="H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row>
    <row r="24" spans="1:39" ht="12.75" customHeight="1" x14ac:dyDescent="0.2">
      <c r="A24" s="8"/>
      <c r="B24" s="8"/>
      <c r="C24" s="8"/>
      <c r="D24" s="8"/>
      <c r="E24" s="8"/>
      <c r="F24" s="8"/>
      <c r="G24" s="8"/>
      <c r="H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row>
    <row r="25" spans="1:39" ht="12.75" customHeight="1" x14ac:dyDescent="0.2">
      <c r="A25" s="8"/>
      <c r="B25" s="8"/>
      <c r="C25" s="8"/>
      <c r="D25" s="8"/>
      <c r="E25" s="8"/>
      <c r="F25" s="8"/>
      <c r="G25" s="8"/>
      <c r="H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row>
    <row r="26" spans="1:39" ht="12.75" customHeight="1" x14ac:dyDescent="0.2">
      <c r="A26" s="8"/>
      <c r="B26" s="8"/>
      <c r="C26" s="8"/>
      <c r="D26" s="8"/>
      <c r="E26" s="8"/>
      <c r="F26" s="8"/>
      <c r="G26" s="8"/>
      <c r="H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row>
    <row r="27" spans="1:39" ht="12.75" customHeight="1" x14ac:dyDescent="0.2">
      <c r="A27" s="8"/>
      <c r="B27" s="8"/>
      <c r="C27" s="8"/>
      <c r="D27" s="8"/>
      <c r="E27" s="8"/>
      <c r="F27" s="8"/>
      <c r="G27" s="8"/>
      <c r="H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row>
    <row r="28" spans="1:39" ht="12.75" customHeight="1" x14ac:dyDescent="0.2">
      <c r="A28" s="8"/>
      <c r="B28" s="8"/>
      <c r="C28" s="8"/>
      <c r="D28" s="8"/>
      <c r="E28" s="8"/>
      <c r="F28" s="8"/>
      <c r="G28" s="8"/>
      <c r="H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row>
    <row r="29" spans="1:39" ht="12.75" customHeight="1" x14ac:dyDescent="0.2">
      <c r="A29" s="8"/>
      <c r="B29" s="8"/>
      <c r="C29" s="8"/>
      <c r="D29" s="8"/>
      <c r="E29" s="8"/>
      <c r="F29" s="8"/>
      <c r="G29" s="8"/>
      <c r="H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row>
    <row r="30" spans="1:39" ht="12.75" customHeight="1" x14ac:dyDescent="0.2">
      <c r="A30" s="8"/>
      <c r="B30" s="8"/>
      <c r="C30" s="8"/>
      <c r="D30" s="8"/>
      <c r="E30" s="8"/>
      <c r="F30" s="8"/>
      <c r="G30" s="8"/>
      <c r="H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row>
    <row r="31" spans="1:39" ht="12.75" customHeight="1" x14ac:dyDescent="0.2">
      <c r="A31" s="8"/>
      <c r="B31" s="8"/>
      <c r="C31" s="8"/>
      <c r="D31" s="8"/>
      <c r="E31" s="8"/>
      <c r="F31" s="8"/>
      <c r="G31" s="8"/>
      <c r="H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row>
    <row r="32" spans="1:39" ht="12.75" customHeight="1" x14ac:dyDescent="0.2">
      <c r="A32" s="8"/>
      <c r="B32" s="8"/>
      <c r="C32" s="8"/>
      <c r="D32" s="8"/>
      <c r="E32" s="8"/>
      <c r="F32" s="8"/>
      <c r="G32" s="8"/>
      <c r="H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row>
    <row r="33" spans="1:39" ht="12.75" customHeight="1" x14ac:dyDescent="0.2">
      <c r="A33" s="8"/>
      <c r="B33" s="8"/>
      <c r="C33" s="8"/>
      <c r="D33" s="8"/>
      <c r="E33" s="8"/>
      <c r="F33" s="8"/>
      <c r="G33" s="8"/>
      <c r="H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row>
    <row r="34" spans="1:39" ht="12.75" customHeight="1" x14ac:dyDescent="0.2">
      <c r="A34" s="8"/>
      <c r="B34" s="8"/>
      <c r="C34" s="8"/>
      <c r="D34" s="8"/>
      <c r="E34" s="8"/>
      <c r="F34" s="8"/>
      <c r="G34" s="8"/>
      <c r="H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row>
    <row r="35" spans="1:39" ht="12.75" customHeight="1" x14ac:dyDescent="0.2">
      <c r="A35" s="8"/>
      <c r="B35" s="8"/>
      <c r="C35" s="8"/>
      <c r="D35" s="8"/>
      <c r="E35" s="8"/>
      <c r="F35" s="8"/>
      <c r="G35" s="8"/>
      <c r="H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row>
    <row r="36" spans="1:39" ht="12.75" customHeight="1" x14ac:dyDescent="0.2">
      <c r="A36" s="8"/>
      <c r="B36" s="8"/>
      <c r="C36" s="8"/>
      <c r="D36" s="8"/>
      <c r="E36" s="8"/>
      <c r="F36" s="8"/>
      <c r="G36" s="8"/>
      <c r="H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row>
    <row r="37" spans="1:39" ht="12.75" customHeight="1" x14ac:dyDescent="0.2">
      <c r="A37" s="8"/>
      <c r="B37" s="8"/>
      <c r="C37" s="8"/>
      <c r="D37" s="8"/>
      <c r="E37" s="8"/>
      <c r="F37" s="8"/>
      <c r="G37" s="8"/>
      <c r="H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row>
    <row r="38" spans="1:39" ht="12.75" customHeight="1" x14ac:dyDescent="0.2">
      <c r="A38" s="8"/>
      <c r="B38" s="8"/>
      <c r="C38" s="8"/>
      <c r="D38" s="8"/>
      <c r="E38" s="8"/>
      <c r="F38" s="8"/>
      <c r="G38" s="8"/>
      <c r="H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row>
    <row r="39" spans="1:39" ht="12.75" customHeight="1" x14ac:dyDescent="0.2">
      <c r="A39" s="8"/>
      <c r="B39" s="8"/>
      <c r="C39" s="8"/>
      <c r="D39" s="8"/>
      <c r="E39" s="8"/>
      <c r="F39" s="8"/>
      <c r="G39" s="8"/>
      <c r="H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row>
    <row r="40" spans="1:39" ht="12.75" customHeight="1" x14ac:dyDescent="0.2">
      <c r="A40" s="8"/>
      <c r="B40" s="8"/>
      <c r="C40" s="8"/>
      <c r="D40" s="8"/>
      <c r="E40" s="8"/>
      <c r="F40" s="8"/>
      <c r="G40" s="8"/>
      <c r="H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row>
    <row r="41" spans="1:39" ht="12.75" customHeight="1" x14ac:dyDescent="0.2">
      <c r="A41" s="8"/>
      <c r="B41" s="8"/>
      <c r="C41" s="8"/>
      <c r="D41" s="8"/>
      <c r="E41" s="8"/>
      <c r="F41" s="8"/>
      <c r="G41" s="8"/>
      <c r="H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row>
    <row r="42" spans="1:39" ht="12.75" customHeight="1" x14ac:dyDescent="0.2">
      <c r="A42" s="8"/>
      <c r="B42" s="8"/>
      <c r="C42" s="8"/>
      <c r="D42" s="8"/>
      <c r="E42" s="8"/>
      <c r="F42" s="8"/>
      <c r="G42" s="8"/>
      <c r="H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row>
    <row r="43" spans="1:39" ht="12.75" customHeight="1" x14ac:dyDescent="0.2">
      <c r="A43" s="8"/>
      <c r="B43" s="8"/>
      <c r="C43" s="8"/>
      <c r="D43" s="8"/>
      <c r="E43" s="8"/>
      <c r="F43" s="8"/>
      <c r="G43" s="8"/>
      <c r="H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row>
    <row r="44" spans="1:39" ht="12.75" customHeight="1" x14ac:dyDescent="0.2">
      <c r="A44" s="8"/>
      <c r="B44" s="8"/>
      <c r="C44" s="8"/>
      <c r="D44" s="8"/>
      <c r="E44" s="8"/>
      <c r="F44" s="8"/>
      <c r="G44" s="8"/>
      <c r="H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row>
    <row r="45" spans="1:39" ht="12.75" customHeight="1" x14ac:dyDescent="0.2">
      <c r="A45" s="8"/>
      <c r="B45" s="8"/>
      <c r="C45" s="8"/>
      <c r="D45" s="8"/>
      <c r="E45" s="8"/>
      <c r="F45" s="8"/>
      <c r="G45" s="8"/>
      <c r="H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row>
    <row r="46" spans="1:39" ht="12.75" customHeight="1" x14ac:dyDescent="0.2">
      <c r="A46" s="8"/>
      <c r="B46" s="8"/>
      <c r="C46" s="8"/>
      <c r="D46" s="8"/>
      <c r="E46" s="8"/>
      <c r="F46" s="8"/>
      <c r="G46" s="8"/>
      <c r="H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row>
    <row r="47" spans="1:39" ht="12.75" customHeight="1" x14ac:dyDescent="0.2">
      <c r="A47" s="8"/>
      <c r="B47" s="8"/>
      <c r="C47" s="8"/>
      <c r="D47" s="8"/>
      <c r="E47" s="8"/>
      <c r="F47" s="8"/>
      <c r="G47" s="8"/>
      <c r="H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row>
    <row r="48" spans="1:39" ht="12.75" customHeight="1" x14ac:dyDescent="0.2">
      <c r="A48" s="8"/>
      <c r="B48" s="8"/>
      <c r="C48" s="8"/>
      <c r="D48" s="8"/>
      <c r="E48" s="8"/>
      <c r="F48" s="8"/>
      <c r="G48" s="8"/>
      <c r="H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row>
    <row r="49" spans="1:39" ht="12.75" customHeight="1" x14ac:dyDescent="0.2">
      <c r="A49" s="8"/>
      <c r="B49" s="8"/>
      <c r="C49" s="8"/>
      <c r="D49" s="8"/>
      <c r="E49" s="8"/>
      <c r="F49" s="8"/>
      <c r="G49" s="8"/>
      <c r="H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row>
    <row r="50" spans="1:39" ht="12.75" customHeight="1" x14ac:dyDescent="0.2">
      <c r="A50" s="8"/>
      <c r="B50" s="8"/>
      <c r="C50" s="8"/>
      <c r="D50" s="8"/>
      <c r="E50" s="8"/>
      <c r="F50" s="8"/>
      <c r="G50" s="8"/>
      <c r="H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row>
    <row r="51" spans="1:39" ht="12.75" customHeight="1" x14ac:dyDescent="0.2">
      <c r="A51" s="8"/>
      <c r="B51" s="8"/>
      <c r="C51" s="8"/>
      <c r="D51" s="8"/>
      <c r="E51" s="8"/>
      <c r="F51" s="8"/>
      <c r="G51" s="8"/>
      <c r="H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row>
    <row r="52" spans="1:39" ht="12.75" customHeight="1" x14ac:dyDescent="0.2">
      <c r="A52" s="8"/>
      <c r="B52" s="8"/>
      <c r="C52" s="8"/>
      <c r="D52" s="8"/>
      <c r="E52" s="8"/>
      <c r="F52" s="8"/>
      <c r="G52" s="8"/>
      <c r="H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row>
    <row r="53" spans="1:39" ht="12.75" customHeight="1" x14ac:dyDescent="0.2">
      <c r="A53" s="8"/>
      <c r="B53" s="8"/>
      <c r="C53" s="8"/>
      <c r="D53" s="8"/>
      <c r="E53" s="8"/>
      <c r="F53" s="8"/>
      <c r="G53" s="8"/>
      <c r="H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row>
    <row r="54" spans="1:39" ht="12.75" customHeight="1" x14ac:dyDescent="0.2">
      <c r="A54" s="8"/>
      <c r="B54" s="8"/>
      <c r="C54" s="8"/>
      <c r="D54" s="8"/>
      <c r="E54" s="8"/>
      <c r="F54" s="8"/>
      <c r="G54" s="8"/>
      <c r="H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row>
    <row r="55" spans="1:39" ht="12.75" customHeight="1" x14ac:dyDescent="0.2">
      <c r="A55" s="8"/>
      <c r="B55" s="8"/>
      <c r="C55" s="8"/>
      <c r="D55" s="8"/>
      <c r="E55" s="8"/>
      <c r="F55" s="8"/>
      <c r="G55" s="8"/>
      <c r="H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row>
    <row r="56" spans="1:39" ht="12.75" customHeight="1" x14ac:dyDescent="0.2">
      <c r="A56" s="8"/>
      <c r="B56" s="8"/>
      <c r="C56" s="8"/>
      <c r="D56" s="8"/>
      <c r="E56" s="8"/>
      <c r="F56" s="8"/>
      <c r="G56" s="8"/>
      <c r="H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row>
    <row r="57" spans="1:39" ht="12.75" customHeight="1" x14ac:dyDescent="0.2">
      <c r="A57" s="8"/>
      <c r="B57" s="8"/>
      <c r="C57" s="8"/>
      <c r="D57" s="8"/>
      <c r="E57" s="8"/>
      <c r="F57" s="8"/>
      <c r="G57" s="8"/>
      <c r="H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row>
    <row r="58" spans="1:39" ht="12.75" customHeight="1" x14ac:dyDescent="0.2">
      <c r="A58" s="8"/>
      <c r="B58" s="8"/>
      <c r="C58" s="8"/>
      <c r="D58" s="8"/>
      <c r="E58" s="8"/>
      <c r="F58" s="8"/>
      <c r="G58" s="8"/>
      <c r="H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row>
    <row r="59" spans="1:39" ht="12.75" customHeight="1" x14ac:dyDescent="0.2">
      <c r="A59" s="8"/>
      <c r="B59" s="8"/>
      <c r="C59" s="8"/>
      <c r="D59" s="8"/>
      <c r="E59" s="8"/>
      <c r="F59" s="8"/>
      <c r="G59" s="8"/>
      <c r="H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row>
    <row r="60" spans="1:39" ht="12.75" customHeight="1" x14ac:dyDescent="0.2">
      <c r="A60" s="8"/>
      <c r="B60" s="8"/>
      <c r="C60" s="8"/>
      <c r="D60" s="8"/>
      <c r="E60" s="8"/>
      <c r="F60" s="8"/>
      <c r="G60" s="8"/>
      <c r="H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row>
    <row r="61" spans="1:39" ht="12.75" customHeight="1" x14ac:dyDescent="0.2">
      <c r="A61" s="8"/>
      <c r="B61" s="8"/>
      <c r="C61" s="8"/>
      <c r="D61" s="8"/>
      <c r="E61" s="8"/>
      <c r="F61" s="8"/>
      <c r="G61" s="8"/>
      <c r="H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row>
    <row r="62" spans="1:39" ht="12.75" customHeight="1" x14ac:dyDescent="0.2">
      <c r="A62" s="8"/>
      <c r="B62" s="8"/>
      <c r="C62" s="8"/>
      <c r="D62" s="8"/>
      <c r="E62" s="8"/>
      <c r="F62" s="8"/>
      <c r="G62" s="8"/>
      <c r="H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row>
    <row r="63" spans="1:39" ht="12.75" customHeight="1" x14ac:dyDescent="0.2">
      <c r="A63" s="8"/>
      <c r="B63" s="8"/>
      <c r="C63" s="8"/>
      <c r="D63" s="8"/>
      <c r="E63" s="8"/>
      <c r="F63" s="8"/>
      <c r="G63" s="8"/>
      <c r="H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row>
    <row r="64" spans="1:39" ht="12.75" customHeight="1" x14ac:dyDescent="0.2">
      <c r="A64" s="8"/>
      <c r="B64" s="8"/>
      <c r="C64" s="8"/>
      <c r="D64" s="8"/>
      <c r="E64" s="8"/>
      <c r="F64" s="8"/>
      <c r="G64" s="8"/>
      <c r="H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row>
    <row r="65" spans="1:39" ht="12.75" customHeight="1" x14ac:dyDescent="0.2">
      <c r="A65" s="8"/>
      <c r="B65" s="8"/>
      <c r="C65" s="8"/>
      <c r="D65" s="8"/>
      <c r="E65" s="8"/>
      <c r="F65" s="8"/>
      <c r="G65" s="8"/>
      <c r="H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row>
    <row r="66" spans="1:39" ht="12.75" customHeight="1" x14ac:dyDescent="0.2">
      <c r="A66" s="8"/>
      <c r="B66" s="8"/>
      <c r="C66" s="8"/>
      <c r="D66" s="8"/>
      <c r="E66" s="8"/>
      <c r="F66" s="8"/>
      <c r="G66" s="8"/>
      <c r="H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row>
    <row r="67" spans="1:39" ht="12.75" customHeight="1" x14ac:dyDescent="0.2">
      <c r="A67" s="8"/>
      <c r="B67" s="8"/>
      <c r="C67" s="8"/>
      <c r="D67" s="8"/>
      <c r="E67" s="8"/>
      <c r="F67" s="8"/>
      <c r="G67" s="8"/>
      <c r="H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row>
    <row r="68" spans="1:39" ht="12.75" customHeight="1" x14ac:dyDescent="0.2">
      <c r="A68" s="8"/>
      <c r="B68" s="8"/>
      <c r="C68" s="8"/>
      <c r="D68" s="8"/>
      <c r="E68" s="8"/>
      <c r="F68" s="8"/>
      <c r="G68" s="8"/>
      <c r="H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row>
    <row r="69" spans="1:39" ht="12.75" customHeight="1" x14ac:dyDescent="0.2">
      <c r="A69" s="8"/>
      <c r="B69" s="8"/>
      <c r="C69" s="8"/>
      <c r="D69" s="8"/>
      <c r="E69" s="8"/>
      <c r="F69" s="8"/>
      <c r="G69" s="8"/>
      <c r="H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row>
    <row r="70" spans="1:39" ht="12.75" customHeight="1" x14ac:dyDescent="0.2">
      <c r="A70" s="8"/>
      <c r="B70" s="8"/>
      <c r="C70" s="8"/>
      <c r="D70" s="8"/>
      <c r="E70" s="8"/>
      <c r="F70" s="8"/>
      <c r="G70" s="8"/>
      <c r="H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row>
    <row r="71" spans="1:39" ht="12.75" customHeight="1" x14ac:dyDescent="0.2">
      <c r="A71" s="8"/>
      <c r="B71" s="8"/>
      <c r="C71" s="8"/>
      <c r="D71" s="8"/>
      <c r="E71" s="8"/>
      <c r="F71" s="8"/>
      <c r="G71" s="8"/>
      <c r="H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row>
    <row r="72" spans="1:39" ht="12.75" customHeight="1" x14ac:dyDescent="0.2">
      <c r="A72" s="8"/>
      <c r="B72" s="8"/>
      <c r="C72" s="8"/>
      <c r="D72" s="8"/>
      <c r="E72" s="8"/>
      <c r="F72" s="8"/>
      <c r="G72" s="8"/>
      <c r="H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row>
    <row r="73" spans="1:39" ht="12.75" customHeight="1" x14ac:dyDescent="0.2">
      <c r="A73" s="8"/>
      <c r="B73" s="8"/>
      <c r="C73" s="8"/>
      <c r="D73" s="8"/>
      <c r="E73" s="8"/>
      <c r="F73" s="8"/>
      <c r="G73" s="8"/>
      <c r="H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row>
    <row r="74" spans="1:39" ht="12.75" customHeight="1" x14ac:dyDescent="0.2">
      <c r="A74" s="8"/>
      <c r="B74" s="8"/>
      <c r="C74" s="8"/>
      <c r="D74" s="8"/>
      <c r="E74" s="8"/>
      <c r="F74" s="8"/>
      <c r="G74" s="8"/>
      <c r="H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row>
    <row r="75" spans="1:39" ht="12.75" customHeight="1" x14ac:dyDescent="0.2">
      <c r="A75" s="8"/>
      <c r="B75" s="8"/>
      <c r="C75" s="8"/>
      <c r="D75" s="8"/>
      <c r="E75" s="8"/>
      <c r="F75" s="8"/>
      <c r="G75" s="8"/>
      <c r="H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row>
    <row r="76" spans="1:39" ht="12.75" customHeight="1" x14ac:dyDescent="0.2">
      <c r="A76" s="8"/>
      <c r="B76" s="8"/>
      <c r="C76" s="8"/>
      <c r="D76" s="8"/>
      <c r="E76" s="8"/>
      <c r="F76" s="8"/>
      <c r="G76" s="8"/>
      <c r="H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row>
    <row r="77" spans="1:39" ht="12.75" customHeight="1" x14ac:dyDescent="0.2">
      <c r="A77" s="8"/>
      <c r="B77" s="8"/>
      <c r="C77" s="8"/>
      <c r="D77" s="8"/>
      <c r="E77" s="8"/>
      <c r="F77" s="8"/>
      <c r="G77" s="8"/>
      <c r="H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row>
    <row r="78" spans="1:39" ht="12.75" customHeight="1" x14ac:dyDescent="0.2">
      <c r="A78" s="8"/>
      <c r="B78" s="8"/>
      <c r="C78" s="8"/>
      <c r="D78" s="8"/>
      <c r="E78" s="8"/>
      <c r="F78" s="8"/>
      <c r="G78" s="8"/>
      <c r="H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row>
    <row r="79" spans="1:39" ht="12.75" customHeight="1" x14ac:dyDescent="0.2">
      <c r="A79" s="8"/>
      <c r="B79" s="8"/>
      <c r="C79" s="8"/>
      <c r="D79" s="8"/>
      <c r="E79" s="8"/>
      <c r="F79" s="8"/>
      <c r="G79" s="8"/>
      <c r="H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row>
    <row r="80" spans="1:39" ht="12.75" customHeight="1" x14ac:dyDescent="0.2">
      <c r="A80" s="8"/>
      <c r="B80" s="8"/>
      <c r="C80" s="8"/>
      <c r="D80" s="8"/>
      <c r="E80" s="8"/>
      <c r="F80" s="8"/>
      <c r="G80" s="8"/>
      <c r="H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row>
    <row r="81" spans="1:39" ht="12.75" customHeight="1" x14ac:dyDescent="0.2">
      <c r="A81" s="8"/>
      <c r="B81" s="8"/>
      <c r="C81" s="8"/>
      <c r="D81" s="8"/>
      <c r="E81" s="8"/>
      <c r="F81" s="8"/>
      <c r="G81" s="8"/>
      <c r="H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row>
    <row r="82" spans="1:39" ht="12.75" customHeight="1" x14ac:dyDescent="0.2">
      <c r="A82" s="8"/>
      <c r="B82" s="8"/>
      <c r="C82" s="8"/>
      <c r="D82" s="8"/>
      <c r="E82" s="8"/>
      <c r="F82" s="8"/>
      <c r="G82" s="8"/>
      <c r="H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row>
    <row r="83" spans="1:39" ht="12.75" customHeight="1" x14ac:dyDescent="0.2">
      <c r="A83" s="8"/>
      <c r="B83" s="8"/>
      <c r="C83" s="8"/>
      <c r="D83" s="8"/>
      <c r="E83" s="8"/>
      <c r="F83" s="8"/>
      <c r="G83" s="8"/>
      <c r="H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row>
    <row r="84" spans="1:39" ht="12.75" customHeight="1" x14ac:dyDescent="0.2">
      <c r="A84" s="8"/>
      <c r="B84" s="8"/>
      <c r="C84" s="8"/>
      <c r="D84" s="8"/>
      <c r="E84" s="8"/>
      <c r="F84" s="8"/>
      <c r="G84" s="8"/>
      <c r="H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row>
    <row r="85" spans="1:39" ht="12.75" customHeight="1" x14ac:dyDescent="0.2">
      <c r="A85" s="8"/>
      <c r="B85" s="8"/>
      <c r="C85" s="8"/>
      <c r="D85" s="8"/>
      <c r="E85" s="8"/>
      <c r="F85" s="8"/>
      <c r="G85" s="8"/>
      <c r="H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row>
    <row r="86" spans="1:39" ht="12.75" customHeight="1" x14ac:dyDescent="0.2">
      <c r="A86" s="8"/>
      <c r="B86" s="8"/>
      <c r="C86" s="8"/>
      <c r="D86" s="8"/>
      <c r="E86" s="8"/>
      <c r="F86" s="8"/>
      <c r="G86" s="8"/>
      <c r="H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row>
    <row r="87" spans="1:39" ht="12.75" customHeight="1" x14ac:dyDescent="0.2">
      <c r="A87" s="8"/>
      <c r="B87" s="8"/>
      <c r="C87" s="8"/>
      <c r="D87" s="8"/>
      <c r="E87" s="8"/>
      <c r="F87" s="8"/>
      <c r="G87" s="8"/>
      <c r="H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row>
    <row r="88" spans="1:39" ht="12.75" customHeight="1" x14ac:dyDescent="0.2">
      <c r="A88" s="8"/>
      <c r="B88" s="8"/>
      <c r="C88" s="8"/>
      <c r="D88" s="8"/>
      <c r="E88" s="8"/>
      <c r="F88" s="8"/>
      <c r="G88" s="8"/>
      <c r="H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row>
    <row r="89" spans="1:39" ht="12.75" customHeight="1" x14ac:dyDescent="0.2">
      <c r="A89" s="8"/>
      <c r="B89" s="8"/>
      <c r="C89" s="8"/>
      <c r="D89" s="8"/>
      <c r="E89" s="8"/>
      <c r="F89" s="8"/>
      <c r="G89" s="8"/>
      <c r="H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row>
    <row r="90" spans="1:39" ht="12.75" customHeight="1" x14ac:dyDescent="0.2">
      <c r="A90" s="8"/>
      <c r="B90" s="8"/>
      <c r="C90" s="8"/>
      <c r="D90" s="8"/>
      <c r="E90" s="8"/>
      <c r="F90" s="8"/>
      <c r="G90" s="8"/>
      <c r="H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row>
    <row r="91" spans="1:39" ht="12.75" customHeight="1" x14ac:dyDescent="0.2">
      <c r="A91" s="8"/>
      <c r="B91" s="8"/>
      <c r="C91" s="8"/>
      <c r="D91" s="8"/>
      <c r="E91" s="8"/>
      <c r="F91" s="8"/>
      <c r="G91" s="8"/>
      <c r="H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row>
    <row r="92" spans="1:39" ht="12.75" customHeight="1" x14ac:dyDescent="0.2">
      <c r="A92" s="8"/>
      <c r="B92" s="8"/>
      <c r="C92" s="8"/>
      <c r="D92" s="8"/>
      <c r="E92" s="8"/>
      <c r="F92" s="8"/>
      <c r="G92" s="8"/>
      <c r="H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row>
    <row r="93" spans="1:39" ht="12.75" customHeight="1" x14ac:dyDescent="0.2">
      <c r="A93" s="8"/>
      <c r="B93" s="8"/>
      <c r="C93" s="8"/>
      <c r="D93" s="8"/>
      <c r="E93" s="8"/>
      <c r="F93" s="8"/>
      <c r="G93" s="8"/>
      <c r="H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row>
    <row r="94" spans="1:39" ht="12.75" customHeight="1" x14ac:dyDescent="0.2">
      <c r="A94" s="8"/>
      <c r="B94" s="8"/>
      <c r="C94" s="8"/>
      <c r="D94" s="8"/>
      <c r="E94" s="8"/>
      <c r="F94" s="8"/>
      <c r="G94" s="8"/>
      <c r="H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row>
    <row r="95" spans="1:39" ht="12.75" customHeight="1" x14ac:dyDescent="0.2">
      <c r="A95" s="8"/>
      <c r="B95" s="8"/>
      <c r="C95" s="8"/>
      <c r="D95" s="8"/>
      <c r="E95" s="8"/>
      <c r="F95" s="8"/>
      <c r="G95" s="8"/>
      <c r="H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row>
    <row r="96" spans="1:39" ht="12.75" customHeight="1" x14ac:dyDescent="0.2">
      <c r="A96" s="8"/>
      <c r="B96" s="8"/>
      <c r="C96" s="8"/>
      <c r="D96" s="8"/>
      <c r="E96" s="8"/>
      <c r="F96" s="8"/>
      <c r="G96" s="8"/>
      <c r="H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row>
    <row r="97" spans="1:39" ht="12.75" customHeight="1" x14ac:dyDescent="0.2">
      <c r="A97" s="8"/>
      <c r="B97" s="8"/>
      <c r="C97" s="8"/>
      <c r="D97" s="8"/>
      <c r="E97" s="8"/>
      <c r="F97" s="8"/>
      <c r="G97" s="8"/>
      <c r="H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row>
    <row r="98" spans="1:39" ht="12.75" customHeight="1" x14ac:dyDescent="0.2">
      <c r="A98" s="8"/>
      <c r="B98" s="8"/>
      <c r="C98" s="8"/>
      <c r="D98" s="8"/>
      <c r="E98" s="8"/>
      <c r="F98" s="8"/>
      <c r="G98" s="8"/>
      <c r="H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row>
    <row r="99" spans="1:39" ht="12.75" customHeight="1" x14ac:dyDescent="0.2">
      <c r="A99" s="8"/>
      <c r="B99" s="8"/>
      <c r="C99" s="8"/>
      <c r="D99" s="8"/>
      <c r="E99" s="8"/>
      <c r="F99" s="8"/>
      <c r="G99" s="8"/>
      <c r="H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row>
    <row r="100" spans="1:39" ht="12.75" customHeight="1" x14ac:dyDescent="0.2">
      <c r="A100" s="8"/>
      <c r="B100" s="8"/>
      <c r="C100" s="8"/>
      <c r="D100" s="8"/>
      <c r="E100" s="8"/>
      <c r="F100" s="8"/>
      <c r="G100" s="8"/>
      <c r="H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row>
    <row r="101" spans="1:39" ht="12.75" customHeight="1" x14ac:dyDescent="0.2">
      <c r="A101" s="8"/>
      <c r="B101" s="8"/>
      <c r="C101" s="8"/>
      <c r="D101" s="8"/>
      <c r="E101" s="8"/>
      <c r="F101" s="8"/>
      <c r="G101" s="8"/>
      <c r="H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row>
    <row r="102" spans="1:39" ht="12.75" customHeight="1" x14ac:dyDescent="0.2">
      <c r="A102" s="8"/>
      <c r="B102" s="8"/>
      <c r="C102" s="8"/>
      <c r="D102" s="8"/>
      <c r="E102" s="8"/>
      <c r="F102" s="8"/>
      <c r="G102" s="8"/>
      <c r="H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row>
    <row r="103" spans="1:39" ht="12.75" customHeight="1" x14ac:dyDescent="0.2">
      <c r="A103" s="8"/>
      <c r="B103" s="8"/>
      <c r="C103" s="8"/>
      <c r="D103" s="8"/>
      <c r="E103" s="8"/>
      <c r="F103" s="8"/>
      <c r="G103" s="8"/>
      <c r="H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row>
    <row r="104" spans="1:39" ht="12.75" customHeight="1" x14ac:dyDescent="0.2">
      <c r="A104" s="8"/>
      <c r="B104" s="8"/>
      <c r="C104" s="8"/>
      <c r="D104" s="8"/>
      <c r="E104" s="8"/>
      <c r="F104" s="8"/>
      <c r="G104" s="8"/>
      <c r="H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row>
    <row r="105" spans="1:39" ht="12.75" customHeight="1" x14ac:dyDescent="0.2">
      <c r="A105" s="8"/>
      <c r="B105" s="8"/>
      <c r="C105" s="8"/>
      <c r="D105" s="8"/>
      <c r="E105" s="8"/>
      <c r="F105" s="8"/>
      <c r="G105" s="8"/>
      <c r="H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row>
    <row r="106" spans="1:39" ht="12.75" customHeight="1" x14ac:dyDescent="0.2">
      <c r="A106" s="8"/>
      <c r="B106" s="8"/>
      <c r="C106" s="8"/>
      <c r="D106" s="8"/>
      <c r="E106" s="8"/>
      <c r="F106" s="8"/>
      <c r="G106" s="8"/>
      <c r="H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row>
    <row r="107" spans="1:39" ht="12.75" customHeight="1" x14ac:dyDescent="0.2">
      <c r="A107" s="8"/>
      <c r="B107" s="8"/>
      <c r="C107" s="8"/>
      <c r="D107" s="8"/>
      <c r="E107" s="8"/>
      <c r="F107" s="8"/>
      <c r="G107" s="8"/>
      <c r="H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row>
    <row r="108" spans="1:39" ht="12.75" customHeight="1" x14ac:dyDescent="0.2">
      <c r="A108" s="8"/>
      <c r="B108" s="8"/>
      <c r="C108" s="8"/>
      <c r="D108" s="8"/>
      <c r="E108" s="8"/>
      <c r="F108" s="8"/>
      <c r="G108" s="8"/>
      <c r="H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row>
    <row r="109" spans="1:39" ht="12.75" customHeight="1" x14ac:dyDescent="0.2">
      <c r="A109" s="8"/>
      <c r="B109" s="8"/>
      <c r="C109" s="8"/>
      <c r="D109" s="8"/>
      <c r="E109" s="8"/>
      <c r="F109" s="8"/>
      <c r="G109" s="8"/>
      <c r="H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row>
    <row r="110" spans="1:39" ht="12.75" customHeight="1" x14ac:dyDescent="0.2">
      <c r="A110" s="8"/>
      <c r="B110" s="8"/>
      <c r="C110" s="8"/>
      <c r="D110" s="8"/>
      <c r="E110" s="8"/>
      <c r="F110" s="8"/>
      <c r="G110" s="8"/>
      <c r="H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row>
    <row r="111" spans="1:39" ht="12.75" customHeight="1" x14ac:dyDescent="0.2">
      <c r="A111" s="8"/>
      <c r="B111" s="8"/>
      <c r="C111" s="8"/>
      <c r="D111" s="8"/>
      <c r="E111" s="8"/>
      <c r="F111" s="8"/>
      <c r="G111" s="8"/>
      <c r="H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row>
    <row r="112" spans="1:39" ht="12.75" customHeight="1" x14ac:dyDescent="0.2">
      <c r="A112" s="8"/>
      <c r="B112" s="8"/>
      <c r="C112" s="8"/>
      <c r="D112" s="8"/>
      <c r="E112" s="8"/>
      <c r="F112" s="8"/>
      <c r="G112" s="8"/>
      <c r="H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row>
    <row r="113" spans="1:39" ht="12.75" customHeight="1" x14ac:dyDescent="0.2">
      <c r="A113" s="8"/>
      <c r="B113" s="8"/>
      <c r="C113" s="8"/>
      <c r="D113" s="8"/>
      <c r="E113" s="8"/>
      <c r="F113" s="8"/>
      <c r="G113" s="8"/>
      <c r="H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row>
    <row r="114" spans="1:39" ht="12.75" customHeight="1" x14ac:dyDescent="0.2">
      <c r="A114" s="8"/>
      <c r="B114" s="8"/>
      <c r="C114" s="8"/>
      <c r="D114" s="8"/>
      <c r="E114" s="8"/>
      <c r="F114" s="8"/>
      <c r="G114" s="8"/>
      <c r="H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row>
    <row r="115" spans="1:39" ht="12.75" customHeight="1" x14ac:dyDescent="0.2">
      <c r="A115" s="8"/>
      <c r="B115" s="8"/>
      <c r="C115" s="8"/>
      <c r="D115" s="8"/>
      <c r="E115" s="8"/>
      <c r="F115" s="8"/>
      <c r="G115" s="8"/>
      <c r="H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row>
    <row r="116" spans="1:39" ht="12.75" customHeight="1" x14ac:dyDescent="0.2">
      <c r="A116" s="8"/>
      <c r="B116" s="8"/>
      <c r="C116" s="8"/>
      <c r="D116" s="8"/>
      <c r="E116" s="8"/>
      <c r="F116" s="8"/>
      <c r="G116" s="8"/>
      <c r="H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row>
    <row r="117" spans="1:39" ht="12.75" customHeight="1" x14ac:dyDescent="0.2">
      <c r="A117" s="8"/>
      <c r="B117" s="8"/>
      <c r="C117" s="8"/>
      <c r="D117" s="8"/>
      <c r="E117" s="8"/>
      <c r="F117" s="8"/>
      <c r="G117" s="8"/>
      <c r="H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row>
    <row r="118" spans="1:39" ht="12.75" customHeight="1" x14ac:dyDescent="0.2">
      <c r="A118" s="8"/>
      <c r="B118" s="8"/>
      <c r="C118" s="8"/>
      <c r="D118" s="8"/>
      <c r="E118" s="8"/>
      <c r="F118" s="8"/>
      <c r="G118" s="8"/>
      <c r="H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row>
    <row r="119" spans="1:39" ht="12.75" customHeight="1" x14ac:dyDescent="0.2">
      <c r="A119" s="8"/>
      <c r="B119" s="8"/>
      <c r="C119" s="8"/>
      <c r="D119" s="8"/>
      <c r="E119" s="8"/>
      <c r="F119" s="8"/>
      <c r="G119" s="8"/>
      <c r="H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row>
    <row r="120" spans="1:39" ht="12.75" customHeight="1" x14ac:dyDescent="0.2">
      <c r="A120" s="8"/>
      <c r="B120" s="8"/>
      <c r="C120" s="8"/>
      <c r="D120" s="8"/>
      <c r="E120" s="8"/>
      <c r="F120" s="8"/>
      <c r="G120" s="8"/>
      <c r="H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row>
    <row r="121" spans="1:39" ht="12.75" customHeight="1" x14ac:dyDescent="0.2">
      <c r="A121" s="8"/>
      <c r="B121" s="8"/>
      <c r="C121" s="8"/>
      <c r="D121" s="8"/>
      <c r="E121" s="8"/>
      <c r="F121" s="8"/>
      <c r="G121" s="8"/>
      <c r="H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row>
    <row r="122" spans="1:39" ht="12.75" customHeight="1" x14ac:dyDescent="0.2">
      <c r="A122" s="8"/>
      <c r="B122" s="8"/>
      <c r="C122" s="8"/>
      <c r="D122" s="8"/>
      <c r="E122" s="8"/>
      <c r="F122" s="8"/>
      <c r="G122" s="8"/>
      <c r="H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row>
    <row r="123" spans="1:39" ht="12.75" customHeight="1" x14ac:dyDescent="0.2">
      <c r="A123" s="8"/>
      <c r="B123" s="8"/>
      <c r="C123" s="8"/>
      <c r="D123" s="8"/>
      <c r="E123" s="8"/>
      <c r="F123" s="8"/>
      <c r="G123" s="8"/>
      <c r="H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row>
    <row r="124" spans="1:39" ht="12.75" customHeight="1" x14ac:dyDescent="0.2">
      <c r="A124" s="8"/>
      <c r="B124" s="8"/>
      <c r="C124" s="8"/>
      <c r="D124" s="8"/>
      <c r="E124" s="8"/>
      <c r="F124" s="8"/>
      <c r="G124" s="8"/>
      <c r="H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row>
    <row r="125" spans="1:39" ht="12.75" customHeight="1" x14ac:dyDescent="0.2">
      <c r="A125" s="8"/>
      <c r="B125" s="8"/>
      <c r="C125" s="8"/>
      <c r="D125" s="8"/>
      <c r="E125" s="8"/>
      <c r="F125" s="8"/>
      <c r="G125" s="8"/>
      <c r="H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row>
    <row r="126" spans="1:39" ht="12.75" customHeight="1" x14ac:dyDescent="0.2">
      <c r="A126" s="8"/>
      <c r="B126" s="8"/>
      <c r="C126" s="8"/>
      <c r="D126" s="8"/>
      <c r="E126" s="8"/>
      <c r="F126" s="8"/>
      <c r="G126" s="8"/>
      <c r="H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row>
    <row r="127" spans="1:39" ht="12.75" customHeight="1" x14ac:dyDescent="0.2">
      <c r="A127" s="8"/>
      <c r="B127" s="8"/>
      <c r="C127" s="8"/>
      <c r="D127" s="8"/>
      <c r="E127" s="8"/>
      <c r="F127" s="8"/>
      <c r="G127" s="8"/>
      <c r="H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row>
    <row r="128" spans="1:39" ht="12.75" customHeight="1" x14ac:dyDescent="0.2">
      <c r="A128" s="8"/>
      <c r="B128" s="8"/>
      <c r="C128" s="8"/>
      <c r="D128" s="8"/>
      <c r="E128" s="8"/>
      <c r="F128" s="8"/>
      <c r="G128" s="8"/>
      <c r="H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row>
    <row r="129" spans="1:39" ht="12.75" customHeight="1" x14ac:dyDescent="0.2">
      <c r="A129" s="8"/>
      <c r="B129" s="8"/>
      <c r="C129" s="8"/>
      <c r="D129" s="8"/>
      <c r="E129" s="8"/>
      <c r="F129" s="8"/>
      <c r="G129" s="8"/>
      <c r="H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row>
    <row r="130" spans="1:39" ht="12.75" customHeight="1" x14ac:dyDescent="0.2">
      <c r="A130" s="8"/>
      <c r="B130" s="8"/>
      <c r="C130" s="8"/>
      <c r="D130" s="8"/>
      <c r="E130" s="8"/>
      <c r="F130" s="8"/>
      <c r="G130" s="8"/>
      <c r="H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row>
    <row r="131" spans="1:39" ht="12.75" customHeight="1" x14ac:dyDescent="0.2">
      <c r="A131" s="8"/>
      <c r="B131" s="8"/>
      <c r="C131" s="8"/>
      <c r="D131" s="8"/>
      <c r="E131" s="8"/>
      <c r="F131" s="8"/>
      <c r="G131" s="8"/>
      <c r="H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row>
    <row r="132" spans="1:39" ht="12.75" customHeight="1" x14ac:dyDescent="0.2">
      <c r="A132" s="8"/>
      <c r="B132" s="8"/>
      <c r="C132" s="8"/>
      <c r="D132" s="8"/>
      <c r="E132" s="8"/>
      <c r="F132" s="8"/>
      <c r="G132" s="8"/>
      <c r="H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row>
    <row r="133" spans="1:39" ht="12.75" customHeight="1" x14ac:dyDescent="0.2">
      <c r="A133" s="8"/>
      <c r="B133" s="8"/>
      <c r="C133" s="8"/>
      <c r="D133" s="8"/>
      <c r="E133" s="8"/>
      <c r="F133" s="8"/>
      <c r="G133" s="8"/>
      <c r="H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row>
    <row r="134" spans="1:39" ht="12.75" customHeight="1" x14ac:dyDescent="0.2">
      <c r="A134" s="8"/>
      <c r="B134" s="8"/>
      <c r="C134" s="8"/>
      <c r="D134" s="8"/>
      <c r="E134" s="8"/>
      <c r="F134" s="8"/>
      <c r="G134" s="8"/>
      <c r="H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row>
    <row r="135" spans="1:39" ht="12.75" customHeight="1" x14ac:dyDescent="0.2">
      <c r="A135" s="8"/>
      <c r="B135" s="8"/>
      <c r="C135" s="8"/>
      <c r="D135" s="8"/>
      <c r="E135" s="8"/>
      <c r="F135" s="8"/>
      <c r="G135" s="8"/>
      <c r="H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row>
    <row r="136" spans="1:39" ht="12.75" customHeight="1" x14ac:dyDescent="0.2">
      <c r="A136" s="8"/>
      <c r="B136" s="8"/>
      <c r="C136" s="8"/>
      <c r="D136" s="8"/>
      <c r="E136" s="8"/>
      <c r="F136" s="8"/>
      <c r="G136" s="8"/>
      <c r="H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row>
    <row r="137" spans="1:39" ht="12.75" customHeight="1" x14ac:dyDescent="0.2">
      <c r="A137" s="8"/>
      <c r="B137" s="8"/>
      <c r="C137" s="8"/>
      <c r="D137" s="8"/>
      <c r="E137" s="8"/>
      <c r="F137" s="8"/>
      <c r="G137" s="8"/>
      <c r="H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row>
    <row r="138" spans="1:39" ht="12.75" customHeight="1" x14ac:dyDescent="0.2">
      <c r="A138" s="8"/>
      <c r="B138" s="8"/>
      <c r="C138" s="8"/>
      <c r="D138" s="8"/>
      <c r="E138" s="8"/>
      <c r="F138" s="8"/>
      <c r="G138" s="8"/>
      <c r="H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row>
    <row r="139" spans="1:39" ht="12.75" customHeight="1" x14ac:dyDescent="0.2">
      <c r="A139" s="8"/>
      <c r="B139" s="8"/>
      <c r="C139" s="8"/>
      <c r="D139" s="8"/>
      <c r="E139" s="8"/>
      <c r="F139" s="8"/>
      <c r="G139" s="8"/>
      <c r="H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row>
    <row r="140" spans="1:39" ht="12.75" customHeight="1" x14ac:dyDescent="0.2">
      <c r="A140" s="8"/>
      <c r="B140" s="8"/>
      <c r="C140" s="8"/>
      <c r="D140" s="8"/>
      <c r="E140" s="8"/>
      <c r="F140" s="8"/>
      <c r="G140" s="8"/>
      <c r="H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row>
    <row r="141" spans="1:39" ht="12.75" customHeight="1" x14ac:dyDescent="0.2">
      <c r="A141" s="8"/>
      <c r="B141" s="8"/>
      <c r="C141" s="8"/>
      <c r="D141" s="8"/>
      <c r="E141" s="8"/>
      <c r="F141" s="8"/>
      <c r="G141" s="8"/>
      <c r="H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row>
    <row r="142" spans="1:39" ht="12.75" customHeight="1" x14ac:dyDescent="0.2">
      <c r="A142" s="8"/>
      <c r="B142" s="8"/>
      <c r="C142" s="8"/>
      <c r="D142" s="8"/>
      <c r="E142" s="8"/>
      <c r="F142" s="8"/>
      <c r="G142" s="8"/>
      <c r="H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row>
    <row r="143" spans="1:39" ht="12.75" customHeight="1" x14ac:dyDescent="0.2">
      <c r="A143" s="8"/>
      <c r="B143" s="8"/>
      <c r="C143" s="8"/>
      <c r="D143" s="8"/>
      <c r="E143" s="8"/>
      <c r="F143" s="8"/>
      <c r="G143" s="8"/>
      <c r="H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row>
    <row r="144" spans="1:39" ht="12.75" customHeight="1" x14ac:dyDescent="0.2">
      <c r="A144" s="8"/>
      <c r="B144" s="8"/>
      <c r="C144" s="8"/>
      <c r="D144" s="8"/>
      <c r="E144" s="8"/>
      <c r="F144" s="8"/>
      <c r="G144" s="8"/>
      <c r="H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row>
    <row r="145" spans="1:39" ht="12.75" customHeight="1" x14ac:dyDescent="0.2">
      <c r="A145" s="8"/>
      <c r="B145" s="8"/>
      <c r="C145" s="8"/>
      <c r="D145" s="8"/>
      <c r="E145" s="8"/>
      <c r="F145" s="8"/>
      <c r="G145" s="8"/>
      <c r="H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row>
    <row r="146" spans="1:39" ht="12.75" customHeight="1" x14ac:dyDescent="0.2">
      <c r="A146" s="8"/>
      <c r="B146" s="8"/>
      <c r="C146" s="8"/>
      <c r="D146" s="8"/>
      <c r="E146" s="8"/>
      <c r="F146" s="8"/>
      <c r="G146" s="8"/>
      <c r="H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row>
    <row r="147" spans="1:39" ht="12.75" customHeight="1" x14ac:dyDescent="0.2">
      <c r="A147" s="8"/>
      <c r="B147" s="8"/>
      <c r="C147" s="8"/>
      <c r="D147" s="8"/>
      <c r="E147" s="8"/>
      <c r="F147" s="8"/>
      <c r="G147" s="8"/>
      <c r="H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row>
    <row r="148" spans="1:39" ht="12.75" customHeight="1" x14ac:dyDescent="0.2">
      <c r="A148" s="8"/>
      <c r="B148" s="8"/>
      <c r="C148" s="8"/>
      <c r="D148" s="8"/>
      <c r="E148" s="8"/>
      <c r="F148" s="8"/>
      <c r="G148" s="8"/>
      <c r="H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row>
    <row r="149" spans="1:39" ht="12.75" customHeight="1" x14ac:dyDescent="0.2">
      <c r="A149" s="8"/>
      <c r="B149" s="8"/>
      <c r="C149" s="8"/>
      <c r="D149" s="8"/>
      <c r="E149" s="8"/>
      <c r="F149" s="8"/>
      <c r="G149" s="8"/>
      <c r="H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row>
    <row r="150" spans="1:39" ht="12.75" customHeight="1" x14ac:dyDescent="0.2">
      <c r="A150" s="8"/>
      <c r="B150" s="8"/>
      <c r="C150" s="8"/>
      <c r="D150" s="8"/>
      <c r="E150" s="8"/>
      <c r="F150" s="8"/>
      <c r="G150" s="8"/>
      <c r="H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row>
    <row r="151" spans="1:39" ht="12.75" customHeight="1" x14ac:dyDescent="0.2">
      <c r="A151" s="8"/>
      <c r="B151" s="8"/>
      <c r="C151" s="8"/>
      <c r="D151" s="8"/>
      <c r="E151" s="8"/>
      <c r="F151" s="8"/>
      <c r="G151" s="8"/>
      <c r="H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row>
    <row r="152" spans="1:39" ht="12.75" customHeight="1" x14ac:dyDescent="0.2">
      <c r="A152" s="8"/>
      <c r="B152" s="8"/>
      <c r="C152" s="8"/>
      <c r="D152" s="8"/>
      <c r="E152" s="8"/>
      <c r="F152" s="8"/>
      <c r="G152" s="8"/>
      <c r="H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row>
    <row r="153" spans="1:39" ht="12.75" customHeight="1" x14ac:dyDescent="0.2">
      <c r="A153" s="8"/>
      <c r="B153" s="8"/>
      <c r="C153" s="8"/>
      <c r="D153" s="8"/>
      <c r="E153" s="8"/>
      <c r="F153" s="8"/>
      <c r="G153" s="8"/>
      <c r="H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row>
    <row r="154" spans="1:39" ht="12.75" customHeight="1" x14ac:dyDescent="0.2">
      <c r="A154" s="8"/>
      <c r="B154" s="8"/>
      <c r="C154" s="8"/>
      <c r="D154" s="8"/>
      <c r="E154" s="8"/>
      <c r="F154" s="8"/>
      <c r="G154" s="8"/>
      <c r="H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row>
    <row r="155" spans="1:39" ht="12.75" customHeight="1" x14ac:dyDescent="0.2">
      <c r="A155" s="8"/>
      <c r="B155" s="8"/>
      <c r="C155" s="8"/>
      <c r="D155" s="8"/>
      <c r="E155" s="8"/>
      <c r="F155" s="8"/>
      <c r="G155" s="8"/>
      <c r="H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row>
    <row r="156" spans="1:39" ht="12.75" customHeight="1" x14ac:dyDescent="0.2">
      <c r="A156" s="8"/>
      <c r="B156" s="8"/>
      <c r="C156" s="8"/>
      <c r="D156" s="8"/>
      <c r="E156" s="8"/>
      <c r="F156" s="8"/>
      <c r="G156" s="8"/>
      <c r="H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row>
    <row r="157" spans="1:39" ht="12.75" customHeight="1" x14ac:dyDescent="0.2">
      <c r="A157" s="8"/>
      <c r="B157" s="8"/>
      <c r="C157" s="8"/>
      <c r="D157" s="8"/>
      <c r="E157" s="8"/>
      <c r="F157" s="8"/>
      <c r="G157" s="8"/>
      <c r="H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row>
    <row r="158" spans="1:39" ht="12.75" customHeight="1" x14ac:dyDescent="0.2">
      <c r="A158" s="8"/>
      <c r="B158" s="8"/>
      <c r="C158" s="8"/>
      <c r="D158" s="8"/>
      <c r="E158" s="8"/>
      <c r="F158" s="8"/>
      <c r="G158" s="8"/>
      <c r="H158" s="8"/>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row>
    <row r="159" spans="1:39" ht="12.75" customHeight="1" x14ac:dyDescent="0.2">
      <c r="A159" s="8"/>
      <c r="B159" s="8"/>
      <c r="C159" s="8"/>
      <c r="D159" s="8"/>
      <c r="E159" s="8"/>
      <c r="F159" s="8"/>
      <c r="G159" s="8"/>
      <c r="H159" s="8"/>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row>
    <row r="160" spans="1:39" ht="12.75" customHeight="1" x14ac:dyDescent="0.2">
      <c r="A160" s="8"/>
      <c r="B160" s="8"/>
      <c r="C160" s="8"/>
      <c r="D160" s="8"/>
      <c r="E160" s="8"/>
      <c r="F160" s="8"/>
      <c r="G160" s="8"/>
      <c r="H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row>
    <row r="161" spans="1:39" ht="12.75" customHeight="1" x14ac:dyDescent="0.2">
      <c r="A161" s="8"/>
      <c r="B161" s="8"/>
      <c r="C161" s="8"/>
      <c r="D161" s="8"/>
      <c r="E161" s="8"/>
      <c r="F161" s="8"/>
      <c r="G161" s="8"/>
      <c r="H161" s="8"/>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row>
    <row r="162" spans="1:39" ht="12.75" customHeight="1" x14ac:dyDescent="0.2">
      <c r="A162" s="8"/>
      <c r="B162" s="8"/>
      <c r="C162" s="8"/>
      <c r="D162" s="8"/>
      <c r="E162" s="8"/>
      <c r="F162" s="8"/>
      <c r="G162" s="8"/>
      <c r="H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row>
    <row r="163" spans="1:39" ht="12.75" customHeight="1" x14ac:dyDescent="0.2">
      <c r="A163" s="8"/>
      <c r="B163" s="8"/>
      <c r="C163" s="8"/>
      <c r="D163" s="8"/>
      <c r="E163" s="8"/>
      <c r="F163" s="8"/>
      <c r="G163" s="8"/>
      <c r="H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row>
    <row r="164" spans="1:39" ht="12.75" customHeight="1" x14ac:dyDescent="0.2">
      <c r="A164" s="8"/>
      <c r="B164" s="8"/>
      <c r="C164" s="8"/>
      <c r="D164" s="8"/>
      <c r="E164" s="8"/>
      <c r="F164" s="8"/>
      <c r="G164" s="8"/>
      <c r="H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row>
    <row r="165" spans="1:39" ht="12.75" customHeight="1" x14ac:dyDescent="0.2">
      <c r="A165" s="8"/>
      <c r="B165" s="8"/>
      <c r="C165" s="8"/>
      <c r="D165" s="8"/>
      <c r="E165" s="8"/>
      <c r="F165" s="8"/>
      <c r="G165" s="8"/>
      <c r="H165" s="8"/>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row>
    <row r="166" spans="1:39" ht="12.75" customHeight="1" x14ac:dyDescent="0.2">
      <c r="A166" s="8"/>
      <c r="B166" s="8"/>
      <c r="C166" s="8"/>
      <c r="D166" s="8"/>
      <c r="E166" s="8"/>
      <c r="F166" s="8"/>
      <c r="G166" s="8"/>
      <c r="H166" s="8"/>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row>
    <row r="167" spans="1:39" ht="12.75" customHeight="1" x14ac:dyDescent="0.2">
      <c r="A167" s="8"/>
      <c r="B167" s="8"/>
      <c r="C167" s="8"/>
      <c r="D167" s="8"/>
      <c r="E167" s="8"/>
      <c r="F167" s="8"/>
      <c r="G167" s="8"/>
      <c r="H167" s="8"/>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row>
    <row r="168" spans="1:39" ht="12.75" customHeight="1" x14ac:dyDescent="0.2">
      <c r="A168" s="8"/>
      <c r="B168" s="8"/>
      <c r="C168" s="8"/>
      <c r="D168" s="8"/>
      <c r="E168" s="8"/>
      <c r="F168" s="8"/>
      <c r="G168" s="8"/>
      <c r="H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row>
    <row r="169" spans="1:39" ht="12.75" customHeight="1" x14ac:dyDescent="0.2">
      <c r="A169" s="8"/>
      <c r="B169" s="8"/>
      <c r="C169" s="8"/>
      <c r="D169" s="8"/>
      <c r="E169" s="8"/>
      <c r="F169" s="8"/>
      <c r="G169" s="8"/>
      <c r="H169" s="8"/>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row>
    <row r="170" spans="1:39" ht="12.75" customHeight="1" x14ac:dyDescent="0.2">
      <c r="A170" s="8"/>
      <c r="B170" s="8"/>
      <c r="C170" s="8"/>
      <c r="D170" s="8"/>
      <c r="E170" s="8"/>
      <c r="F170" s="8"/>
      <c r="G170" s="8"/>
      <c r="H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row>
    <row r="171" spans="1:39" ht="12.75" customHeight="1" x14ac:dyDescent="0.2">
      <c r="A171" s="8"/>
      <c r="B171" s="8"/>
      <c r="C171" s="8"/>
      <c r="D171" s="8"/>
      <c r="E171" s="8"/>
      <c r="F171" s="8"/>
      <c r="G171" s="8"/>
      <c r="H171" s="8"/>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row>
    <row r="172" spans="1:39" ht="12.75" customHeight="1" x14ac:dyDescent="0.2">
      <c r="A172" s="8"/>
      <c r="B172" s="8"/>
      <c r="C172" s="8"/>
      <c r="D172" s="8"/>
      <c r="E172" s="8"/>
      <c r="F172" s="8"/>
      <c r="G172" s="8"/>
      <c r="H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row>
    <row r="173" spans="1:39" ht="12.75" customHeight="1" x14ac:dyDescent="0.2">
      <c r="A173" s="8"/>
      <c r="B173" s="8"/>
      <c r="C173" s="8"/>
      <c r="D173" s="8"/>
      <c r="E173" s="8"/>
      <c r="F173" s="8"/>
      <c r="G173" s="8"/>
      <c r="H173" s="8"/>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row>
    <row r="174" spans="1:39" ht="12.75" customHeight="1" x14ac:dyDescent="0.2">
      <c r="A174" s="8"/>
      <c r="B174" s="8"/>
      <c r="C174" s="8"/>
      <c r="D174" s="8"/>
      <c r="E174" s="8"/>
      <c r="F174" s="8"/>
      <c r="G174" s="8"/>
      <c r="H174" s="8"/>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row>
    <row r="175" spans="1:39" ht="12.75" customHeight="1" x14ac:dyDescent="0.2">
      <c r="A175" s="8"/>
      <c r="B175" s="8"/>
      <c r="C175" s="8"/>
      <c r="D175" s="8"/>
      <c r="E175" s="8"/>
      <c r="F175" s="8"/>
      <c r="G175" s="8"/>
      <c r="H175" s="8"/>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row>
    <row r="176" spans="1:39" ht="12.75" customHeight="1" x14ac:dyDescent="0.2">
      <c r="A176" s="8"/>
      <c r="B176" s="8"/>
      <c r="C176" s="8"/>
      <c r="D176" s="8"/>
      <c r="E176" s="8"/>
      <c r="F176" s="8"/>
      <c r="G176" s="8"/>
      <c r="H176" s="8"/>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row>
    <row r="177" spans="1:39" ht="12.75" customHeight="1" x14ac:dyDescent="0.2">
      <c r="A177" s="8"/>
      <c r="B177" s="8"/>
      <c r="C177" s="8"/>
      <c r="D177" s="8"/>
      <c r="E177" s="8"/>
      <c r="F177" s="8"/>
      <c r="G177" s="8"/>
      <c r="H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row>
    <row r="178" spans="1:39" ht="12.75" customHeight="1" x14ac:dyDescent="0.2">
      <c r="A178" s="8"/>
      <c r="B178" s="8"/>
      <c r="C178" s="8"/>
      <c r="D178" s="8"/>
      <c r="E178" s="8"/>
      <c r="F178" s="8"/>
      <c r="G178" s="8"/>
      <c r="H178" s="8"/>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row>
    <row r="179" spans="1:39" ht="12.75" customHeight="1" x14ac:dyDescent="0.2">
      <c r="A179" s="8"/>
      <c r="B179" s="8"/>
      <c r="C179" s="8"/>
      <c r="D179" s="8"/>
      <c r="E179" s="8"/>
      <c r="F179" s="8"/>
      <c r="G179" s="8"/>
      <c r="H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row>
    <row r="180" spans="1:39" ht="12.75" customHeight="1" x14ac:dyDescent="0.2">
      <c r="A180" s="8"/>
      <c r="B180" s="8"/>
      <c r="C180" s="8"/>
      <c r="D180" s="8"/>
      <c r="E180" s="8"/>
      <c r="F180" s="8"/>
      <c r="G180" s="8"/>
      <c r="H180" s="8"/>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row>
    <row r="181" spans="1:39" ht="12.75" customHeight="1" x14ac:dyDescent="0.2">
      <c r="A181" s="8"/>
      <c r="B181" s="8"/>
      <c r="C181" s="8"/>
      <c r="D181" s="8"/>
      <c r="E181" s="8"/>
      <c r="F181" s="8"/>
      <c r="G181" s="8"/>
      <c r="H181" s="8"/>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row>
    <row r="182" spans="1:39" ht="12.75" customHeight="1" x14ac:dyDescent="0.2">
      <c r="A182" s="8"/>
      <c r="B182" s="8"/>
      <c r="C182" s="8"/>
      <c r="D182" s="8"/>
      <c r="E182" s="8"/>
      <c r="F182" s="8"/>
      <c r="G182" s="8"/>
      <c r="H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row>
    <row r="183" spans="1:39" ht="12.75" customHeight="1" x14ac:dyDescent="0.2">
      <c r="A183" s="8"/>
      <c r="B183" s="8"/>
      <c r="C183" s="8"/>
      <c r="D183" s="8"/>
      <c r="E183" s="8"/>
      <c r="F183" s="8"/>
      <c r="G183" s="8"/>
      <c r="H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row>
    <row r="184" spans="1:39" ht="12.75" customHeight="1" x14ac:dyDescent="0.2">
      <c r="A184" s="8"/>
      <c r="B184" s="8"/>
      <c r="C184" s="8"/>
      <c r="D184" s="8"/>
      <c r="E184" s="8"/>
      <c r="F184" s="8"/>
      <c r="G184" s="8"/>
      <c r="H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row>
    <row r="185" spans="1:39" ht="12.75" customHeight="1" x14ac:dyDescent="0.2">
      <c r="A185" s="8"/>
      <c r="B185" s="8"/>
      <c r="C185" s="8"/>
      <c r="D185" s="8"/>
      <c r="E185" s="8"/>
      <c r="F185" s="8"/>
      <c r="G185" s="8"/>
      <c r="H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row>
    <row r="186" spans="1:39" ht="12.75" customHeight="1" x14ac:dyDescent="0.2">
      <c r="A186" s="8"/>
      <c r="B186" s="8"/>
      <c r="C186" s="8"/>
      <c r="D186" s="8"/>
      <c r="E186" s="8"/>
      <c r="F186" s="8"/>
      <c r="G186" s="8"/>
      <c r="H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row>
    <row r="187" spans="1:39" ht="12.75" customHeight="1" x14ac:dyDescent="0.2">
      <c r="A187" s="8"/>
      <c r="B187" s="8"/>
      <c r="C187" s="8"/>
      <c r="D187" s="8"/>
      <c r="E187" s="8"/>
      <c r="F187" s="8"/>
      <c r="G187" s="8"/>
      <c r="H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row>
    <row r="188" spans="1:39" ht="12.75" customHeight="1" x14ac:dyDescent="0.2">
      <c r="A188" s="8"/>
      <c r="B188" s="8"/>
      <c r="C188" s="8"/>
      <c r="D188" s="8"/>
      <c r="E188" s="8"/>
      <c r="F188" s="8"/>
      <c r="G188" s="8"/>
      <c r="H188" s="8"/>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row>
    <row r="189" spans="1:39" ht="12.75" customHeight="1" x14ac:dyDescent="0.2">
      <c r="A189" s="8"/>
      <c r="B189" s="8"/>
      <c r="C189" s="8"/>
      <c r="D189" s="8"/>
      <c r="E189" s="8"/>
      <c r="F189" s="8"/>
      <c r="G189" s="8"/>
      <c r="H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row>
    <row r="190" spans="1:39" ht="12.75" customHeight="1" x14ac:dyDescent="0.2">
      <c r="A190" s="8"/>
      <c r="B190" s="8"/>
      <c r="C190" s="8"/>
      <c r="D190" s="8"/>
      <c r="E190" s="8"/>
      <c r="F190" s="8"/>
      <c r="G190" s="8"/>
      <c r="H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row>
    <row r="191" spans="1:39" ht="12.75" customHeight="1" x14ac:dyDescent="0.2">
      <c r="A191" s="8"/>
      <c r="B191" s="8"/>
      <c r="C191" s="8"/>
      <c r="D191" s="8"/>
      <c r="E191" s="8"/>
      <c r="F191" s="8"/>
      <c r="G191" s="8"/>
      <c r="H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row>
    <row r="192" spans="1:39" ht="12.75" customHeight="1" x14ac:dyDescent="0.2">
      <c r="A192" s="8"/>
      <c r="B192" s="8"/>
      <c r="C192" s="8"/>
      <c r="D192" s="8"/>
      <c r="E192" s="8"/>
      <c r="F192" s="8"/>
      <c r="G192" s="8"/>
      <c r="H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row>
    <row r="193" spans="1:39" ht="12.75" customHeight="1" x14ac:dyDescent="0.2">
      <c r="A193" s="8"/>
      <c r="B193" s="8"/>
      <c r="C193" s="8"/>
      <c r="D193" s="8"/>
      <c r="E193" s="8"/>
      <c r="F193" s="8"/>
      <c r="G193" s="8"/>
      <c r="H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row>
    <row r="194" spans="1:39" ht="12.75" customHeight="1" x14ac:dyDescent="0.2">
      <c r="A194" s="8"/>
      <c r="B194" s="8"/>
      <c r="C194" s="8"/>
      <c r="D194" s="8"/>
      <c r="E194" s="8"/>
      <c r="F194" s="8"/>
      <c r="G194" s="8"/>
      <c r="H194" s="8"/>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row>
    <row r="195" spans="1:39" ht="12.75" customHeight="1" x14ac:dyDescent="0.2">
      <c r="A195" s="8"/>
      <c r="B195" s="8"/>
      <c r="C195" s="8"/>
      <c r="D195" s="8"/>
      <c r="E195" s="8"/>
      <c r="F195" s="8"/>
      <c r="G195" s="8"/>
      <c r="H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row>
    <row r="196" spans="1:39" ht="12.75" customHeight="1" x14ac:dyDescent="0.2">
      <c r="A196" s="8"/>
      <c r="B196" s="8"/>
      <c r="C196" s="8"/>
      <c r="D196" s="8"/>
      <c r="E196" s="8"/>
      <c r="F196" s="8"/>
      <c r="G196" s="8"/>
      <c r="H196" s="8"/>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row>
    <row r="197" spans="1:39" ht="12.75" customHeight="1" x14ac:dyDescent="0.2">
      <c r="A197" s="8"/>
      <c r="B197" s="8"/>
      <c r="C197" s="8"/>
      <c r="D197" s="8"/>
      <c r="E197" s="8"/>
      <c r="F197" s="8"/>
      <c r="G197" s="8"/>
      <c r="H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row>
    <row r="198" spans="1:39" ht="12.75" customHeight="1" x14ac:dyDescent="0.2">
      <c r="A198" s="8"/>
      <c r="B198" s="8"/>
      <c r="C198" s="8"/>
      <c r="D198" s="8"/>
      <c r="E198" s="8"/>
      <c r="F198" s="8"/>
      <c r="G198" s="8"/>
      <c r="H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row>
    <row r="199" spans="1:39" ht="12.75" customHeight="1" x14ac:dyDescent="0.2">
      <c r="A199" s="8"/>
      <c r="B199" s="8"/>
      <c r="C199" s="8"/>
      <c r="D199" s="8"/>
      <c r="E199" s="8"/>
      <c r="F199" s="8"/>
      <c r="G199" s="8"/>
      <c r="H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row>
    <row r="200" spans="1:39" ht="12.75" customHeight="1" x14ac:dyDescent="0.2">
      <c r="A200" s="8"/>
      <c r="B200" s="8"/>
      <c r="C200" s="8"/>
      <c r="D200" s="8"/>
      <c r="E200" s="8"/>
      <c r="F200" s="8"/>
      <c r="G200" s="8"/>
      <c r="H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row>
    <row r="201" spans="1:39" ht="12.75" customHeight="1" x14ac:dyDescent="0.2">
      <c r="A201" s="8"/>
      <c r="B201" s="8"/>
      <c r="C201" s="8"/>
      <c r="D201" s="8"/>
      <c r="E201" s="8"/>
      <c r="F201" s="8"/>
      <c r="G201" s="8"/>
      <c r="H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row>
    <row r="202" spans="1:39" ht="12.75" customHeight="1" x14ac:dyDescent="0.2">
      <c r="A202" s="8"/>
      <c r="B202" s="8"/>
      <c r="C202" s="8"/>
      <c r="D202" s="8"/>
      <c r="E202" s="8"/>
      <c r="F202" s="8"/>
      <c r="G202" s="8"/>
      <c r="H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row>
    <row r="203" spans="1:39" ht="12.75" customHeight="1" x14ac:dyDescent="0.2">
      <c r="A203" s="8"/>
      <c r="B203" s="8"/>
      <c r="C203" s="8"/>
      <c r="D203" s="8"/>
      <c r="E203" s="8"/>
      <c r="F203" s="8"/>
      <c r="G203" s="8"/>
      <c r="H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row>
    <row r="204" spans="1:39" ht="12.75" customHeight="1" x14ac:dyDescent="0.2">
      <c r="A204" s="8"/>
      <c r="B204" s="8"/>
      <c r="C204" s="8"/>
      <c r="D204" s="8"/>
      <c r="E204" s="8"/>
      <c r="F204" s="8"/>
      <c r="G204" s="8"/>
      <c r="H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row>
    <row r="205" spans="1:39" ht="12.75" customHeight="1" x14ac:dyDescent="0.2">
      <c r="A205" s="8"/>
      <c r="B205" s="8"/>
      <c r="C205" s="8"/>
      <c r="D205" s="8"/>
      <c r="E205" s="8"/>
      <c r="F205" s="8"/>
      <c r="G205" s="8"/>
      <c r="H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row>
    <row r="206" spans="1:39" ht="12.75" customHeight="1" x14ac:dyDescent="0.2">
      <c r="A206" s="8"/>
      <c r="B206" s="8"/>
      <c r="C206" s="8"/>
      <c r="D206" s="8"/>
      <c r="E206" s="8"/>
      <c r="F206" s="8"/>
      <c r="G206" s="8"/>
      <c r="H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row>
    <row r="207" spans="1:39" ht="12.75" customHeight="1" x14ac:dyDescent="0.2">
      <c r="A207" s="8"/>
      <c r="B207" s="8"/>
      <c r="C207" s="8"/>
      <c r="D207" s="8"/>
      <c r="E207" s="8"/>
      <c r="F207" s="8"/>
      <c r="G207" s="8"/>
      <c r="H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row>
    <row r="208" spans="1:39" ht="12.75" customHeight="1" x14ac:dyDescent="0.2">
      <c r="A208" s="8"/>
      <c r="B208" s="8"/>
      <c r="C208" s="8"/>
      <c r="D208" s="8"/>
      <c r="E208" s="8"/>
      <c r="F208" s="8"/>
      <c r="G208" s="8"/>
      <c r="H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row>
    <row r="209" spans="1:39" ht="12.75" customHeight="1" x14ac:dyDescent="0.2">
      <c r="A209" s="8"/>
      <c r="B209" s="8"/>
      <c r="C209" s="8"/>
      <c r="D209" s="8"/>
      <c r="E209" s="8"/>
      <c r="F209" s="8"/>
      <c r="G209" s="8"/>
      <c r="H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row>
    <row r="210" spans="1:39" ht="12.75" customHeight="1" x14ac:dyDescent="0.2">
      <c r="A210" s="8"/>
      <c r="B210" s="8"/>
      <c r="C210" s="8"/>
      <c r="D210" s="8"/>
      <c r="E210" s="8"/>
      <c r="F210" s="8"/>
      <c r="G210" s="8"/>
      <c r="H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row>
    <row r="211" spans="1:39" ht="12.75" customHeight="1" x14ac:dyDescent="0.2">
      <c r="A211" s="8"/>
      <c r="B211" s="8"/>
      <c r="C211" s="8"/>
      <c r="D211" s="8"/>
      <c r="E211" s="8"/>
      <c r="F211" s="8"/>
      <c r="G211" s="8"/>
      <c r="H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row>
    <row r="212" spans="1:39" ht="12.75" customHeight="1" x14ac:dyDescent="0.2">
      <c r="A212" s="8"/>
      <c r="B212" s="8"/>
      <c r="C212" s="8"/>
      <c r="D212" s="8"/>
      <c r="E212" s="8"/>
      <c r="F212" s="8"/>
      <c r="G212" s="8"/>
      <c r="H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row>
    <row r="213" spans="1:39" ht="12.75" customHeight="1" x14ac:dyDescent="0.2">
      <c r="A213" s="8"/>
      <c r="B213" s="8"/>
      <c r="C213" s="8"/>
      <c r="D213" s="8"/>
      <c r="E213" s="8"/>
      <c r="F213" s="8"/>
      <c r="G213" s="8"/>
      <c r="H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row>
    <row r="214" spans="1:39" ht="12.75" customHeight="1" x14ac:dyDescent="0.2">
      <c r="A214" s="8"/>
      <c r="B214" s="8"/>
      <c r="C214" s="8"/>
      <c r="D214" s="8"/>
      <c r="E214" s="8"/>
      <c r="F214" s="8"/>
      <c r="G214" s="8"/>
      <c r="H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row>
    <row r="215" spans="1:39" ht="12.75" customHeight="1" x14ac:dyDescent="0.2">
      <c r="A215" s="8"/>
      <c r="B215" s="8"/>
      <c r="C215" s="8"/>
      <c r="D215" s="8"/>
      <c r="E215" s="8"/>
      <c r="F215" s="8"/>
      <c r="G215" s="8"/>
      <c r="H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row>
    <row r="216" spans="1:39" ht="12.75" customHeight="1" x14ac:dyDescent="0.2">
      <c r="A216" s="8"/>
      <c r="B216" s="8"/>
      <c r="C216" s="8"/>
      <c r="D216" s="8"/>
      <c r="E216" s="8"/>
      <c r="F216" s="8"/>
      <c r="G216" s="8"/>
      <c r="H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row>
    <row r="217" spans="1:39" ht="12.75" customHeight="1" x14ac:dyDescent="0.2">
      <c r="A217" s="8"/>
      <c r="B217" s="8"/>
      <c r="C217" s="8"/>
      <c r="D217" s="8"/>
      <c r="E217" s="8"/>
      <c r="F217" s="8"/>
      <c r="G217" s="8"/>
      <c r="H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row>
    <row r="218" spans="1:39" ht="12.75" customHeight="1" x14ac:dyDescent="0.2">
      <c r="A218" s="8"/>
      <c r="B218" s="8"/>
      <c r="C218" s="8"/>
      <c r="D218" s="8"/>
      <c r="E218" s="8"/>
      <c r="F218" s="8"/>
      <c r="G218" s="8"/>
      <c r="H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row>
    <row r="219" spans="1:39" ht="12.75" customHeight="1" x14ac:dyDescent="0.2">
      <c r="A219" s="8"/>
      <c r="B219" s="8"/>
      <c r="C219" s="8"/>
      <c r="D219" s="8"/>
      <c r="E219" s="8"/>
      <c r="F219" s="8"/>
      <c r="G219" s="8"/>
      <c r="H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row>
    <row r="220" spans="1:39" ht="12.75" customHeight="1" x14ac:dyDescent="0.2">
      <c r="A220" s="8"/>
      <c r="B220" s="8"/>
      <c r="C220" s="8"/>
      <c r="D220" s="8"/>
      <c r="E220" s="8"/>
      <c r="F220" s="8"/>
      <c r="G220" s="8"/>
      <c r="H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row>
    <row r="221" spans="1:39" ht="12.75" customHeight="1" x14ac:dyDescent="0.2">
      <c r="A221" s="8"/>
      <c r="B221" s="8"/>
      <c r="C221" s="8"/>
      <c r="D221" s="8"/>
      <c r="E221" s="8"/>
      <c r="F221" s="8"/>
      <c r="G221" s="8"/>
      <c r="H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row>
    <row r="222" spans="1:39" ht="12.75" customHeight="1" x14ac:dyDescent="0.2">
      <c r="A222" s="8"/>
      <c r="B222" s="8"/>
      <c r="C222" s="8"/>
      <c r="D222" s="8"/>
      <c r="E222" s="8"/>
      <c r="F222" s="8"/>
      <c r="G222" s="8"/>
      <c r="H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row>
    <row r="223" spans="1:39" ht="12.75" customHeight="1" x14ac:dyDescent="0.2">
      <c r="A223" s="8"/>
      <c r="B223" s="8"/>
      <c r="C223" s="8"/>
      <c r="D223" s="8"/>
      <c r="E223" s="8"/>
      <c r="F223" s="8"/>
      <c r="G223" s="8"/>
      <c r="H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row>
    <row r="224" spans="1:39" ht="12.75" customHeight="1" x14ac:dyDescent="0.2">
      <c r="A224" s="8"/>
      <c r="B224" s="8"/>
      <c r="C224" s="8"/>
      <c r="D224" s="8"/>
      <c r="E224" s="8"/>
      <c r="F224" s="8"/>
      <c r="G224" s="8"/>
      <c r="H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row>
    <row r="225" spans="1:39" ht="12.75" customHeight="1" x14ac:dyDescent="0.2">
      <c r="A225" s="8"/>
      <c r="B225" s="8"/>
      <c r="C225" s="8"/>
      <c r="D225" s="8"/>
      <c r="E225" s="8"/>
      <c r="F225" s="8"/>
      <c r="G225" s="8"/>
      <c r="H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row>
    <row r="226" spans="1:39" ht="12.75" customHeight="1" x14ac:dyDescent="0.2">
      <c r="A226" s="8"/>
      <c r="B226" s="8"/>
      <c r="C226" s="8"/>
      <c r="D226" s="8"/>
      <c r="E226" s="8"/>
      <c r="F226" s="8"/>
      <c r="G226" s="8"/>
      <c r="H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row>
    <row r="227" spans="1:39" ht="12.75" customHeight="1" x14ac:dyDescent="0.2">
      <c r="A227" s="8"/>
      <c r="B227" s="8"/>
      <c r="C227" s="8"/>
      <c r="D227" s="8"/>
      <c r="E227" s="8"/>
      <c r="F227" s="8"/>
      <c r="G227" s="8"/>
      <c r="H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row>
    <row r="228" spans="1:39" ht="12.75" customHeight="1" x14ac:dyDescent="0.2">
      <c r="A228" s="8"/>
      <c r="B228" s="8"/>
      <c r="C228" s="8"/>
      <c r="D228" s="8"/>
      <c r="E228" s="8"/>
      <c r="F228" s="8"/>
      <c r="G228" s="8"/>
      <c r="H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row>
    <row r="229" spans="1:39" ht="12.75" customHeight="1" x14ac:dyDescent="0.2">
      <c r="A229" s="8"/>
      <c r="B229" s="8"/>
      <c r="C229" s="8"/>
      <c r="D229" s="8"/>
      <c r="E229" s="8"/>
      <c r="F229" s="8"/>
      <c r="G229" s="8"/>
      <c r="H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row>
    <row r="230" spans="1:39" ht="12.75" customHeight="1" x14ac:dyDescent="0.2">
      <c r="A230" s="8"/>
      <c r="B230" s="8"/>
      <c r="C230" s="8"/>
      <c r="D230" s="8"/>
      <c r="E230" s="8"/>
      <c r="F230" s="8"/>
      <c r="G230" s="8"/>
      <c r="H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row>
    <row r="231" spans="1:39" ht="12.75" customHeight="1" x14ac:dyDescent="0.2">
      <c r="A231" s="8"/>
      <c r="B231" s="8"/>
      <c r="C231" s="8"/>
      <c r="D231" s="8"/>
      <c r="E231" s="8"/>
      <c r="F231" s="8"/>
      <c r="G231" s="8"/>
      <c r="H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row>
    <row r="232" spans="1:39" ht="12.75" customHeight="1" x14ac:dyDescent="0.2">
      <c r="A232" s="8"/>
      <c r="B232" s="8"/>
      <c r="C232" s="8"/>
      <c r="D232" s="8"/>
      <c r="E232" s="8"/>
      <c r="F232" s="8"/>
      <c r="G232" s="8"/>
      <c r="H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8"/>
    </row>
    <row r="233" spans="1:39" ht="12.75" customHeight="1" x14ac:dyDescent="0.2">
      <c r="A233" s="8"/>
      <c r="B233" s="8"/>
      <c r="C233" s="8"/>
      <c r="D233" s="8"/>
      <c r="E233" s="8"/>
      <c r="F233" s="8"/>
      <c r="G233" s="8"/>
      <c r="H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row>
    <row r="234" spans="1:39" ht="12.75" customHeight="1" x14ac:dyDescent="0.2">
      <c r="A234" s="8"/>
      <c r="B234" s="8"/>
      <c r="C234" s="8"/>
      <c r="D234" s="8"/>
      <c r="E234" s="8"/>
      <c r="F234" s="8"/>
      <c r="G234" s="8"/>
      <c r="H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8"/>
      <c r="AM234" s="8"/>
    </row>
    <row r="235" spans="1:39" ht="12.75" customHeight="1" x14ac:dyDescent="0.2">
      <c r="A235" s="8"/>
      <c r="B235" s="8"/>
      <c r="C235" s="8"/>
      <c r="D235" s="8"/>
      <c r="E235" s="8"/>
      <c r="F235" s="8"/>
      <c r="G235" s="8"/>
      <c r="H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row>
    <row r="236" spans="1:39" ht="12.75" customHeight="1" x14ac:dyDescent="0.2">
      <c r="A236" s="8"/>
      <c r="B236" s="8"/>
      <c r="C236" s="8"/>
      <c r="D236" s="8"/>
      <c r="E236" s="8"/>
      <c r="F236" s="8"/>
      <c r="G236" s="8"/>
      <c r="H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8"/>
      <c r="AM236" s="8"/>
    </row>
    <row r="237" spans="1:39" ht="12.75" customHeight="1" x14ac:dyDescent="0.2">
      <c r="A237" s="8"/>
      <c r="B237" s="8"/>
      <c r="C237" s="8"/>
      <c r="D237" s="8"/>
      <c r="E237" s="8"/>
      <c r="F237" s="8"/>
      <c r="G237" s="8"/>
      <c r="H237" s="8"/>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row>
    <row r="238" spans="1:39" ht="12.75" customHeight="1" x14ac:dyDescent="0.2">
      <c r="A238" s="8"/>
      <c r="B238" s="8"/>
      <c r="C238" s="8"/>
      <c r="D238" s="8"/>
      <c r="E238" s="8"/>
      <c r="F238" s="8"/>
      <c r="G238" s="8"/>
      <c r="H238" s="8"/>
      <c r="J238" s="8"/>
      <c r="K238" s="8"/>
      <c r="L238" s="8"/>
      <c r="M238" s="8"/>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8"/>
      <c r="AM238" s="8"/>
    </row>
    <row r="239" spans="1:39" ht="12.75" customHeight="1" x14ac:dyDescent="0.2">
      <c r="A239" s="8"/>
      <c r="B239" s="8"/>
      <c r="C239" s="8"/>
      <c r="D239" s="8"/>
      <c r="E239" s="8"/>
      <c r="F239" s="8"/>
      <c r="G239" s="8"/>
      <c r="H239" s="8"/>
      <c r="J239" s="8"/>
      <c r="K239" s="8"/>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row>
    <row r="240" spans="1:39" ht="12.75" customHeight="1" x14ac:dyDescent="0.2">
      <c r="A240" s="8"/>
      <c r="B240" s="8"/>
      <c r="C240" s="8"/>
      <c r="D240" s="8"/>
      <c r="E240" s="8"/>
      <c r="F240" s="8"/>
      <c r="G240" s="8"/>
      <c r="H240" s="8"/>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8"/>
      <c r="AM240" s="8"/>
    </row>
    <row r="241" spans="1:39" ht="12.75" customHeight="1" x14ac:dyDescent="0.2">
      <c r="A241" s="8"/>
      <c r="B241" s="8"/>
      <c r="C241" s="8"/>
      <c r="D241" s="8"/>
      <c r="E241" s="8"/>
      <c r="F241" s="8"/>
      <c r="G241" s="8"/>
      <c r="H241" s="8"/>
      <c r="J241" s="8"/>
      <c r="K241" s="8"/>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row>
    <row r="242" spans="1:39" ht="12.75" customHeight="1" x14ac:dyDescent="0.2">
      <c r="A242" s="8"/>
      <c r="B242" s="8"/>
      <c r="C242" s="8"/>
      <c r="D242" s="8"/>
      <c r="E242" s="8"/>
      <c r="F242" s="8"/>
      <c r="G242" s="8"/>
      <c r="H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8"/>
      <c r="AM242" s="8"/>
    </row>
    <row r="243" spans="1:39" ht="12.75" customHeight="1" x14ac:dyDescent="0.2">
      <c r="A243" s="8"/>
      <c r="B243" s="8"/>
      <c r="C243" s="8"/>
      <c r="D243" s="8"/>
      <c r="E243" s="8"/>
      <c r="F243" s="8"/>
      <c r="G243" s="8"/>
      <c r="H243" s="8"/>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row>
    <row r="244" spans="1:39" ht="12.75" customHeight="1" x14ac:dyDescent="0.2">
      <c r="A244" s="8"/>
      <c r="B244" s="8"/>
      <c r="C244" s="8"/>
      <c r="D244" s="8"/>
      <c r="E244" s="8"/>
      <c r="F244" s="8"/>
      <c r="G244" s="8"/>
      <c r="H244" s="8"/>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8"/>
      <c r="AM244" s="8"/>
    </row>
    <row r="245" spans="1:39" ht="12.75" customHeight="1" x14ac:dyDescent="0.2">
      <c r="A245" s="8"/>
      <c r="B245" s="8"/>
      <c r="C245" s="8"/>
      <c r="D245" s="8"/>
      <c r="E245" s="8"/>
      <c r="F245" s="8"/>
      <c r="G245" s="8"/>
      <c r="H245" s="8"/>
      <c r="J245" s="8"/>
      <c r="K245" s="8"/>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row>
    <row r="246" spans="1:39" ht="12.75" customHeight="1" x14ac:dyDescent="0.2">
      <c r="A246" s="8"/>
      <c r="B246" s="8"/>
      <c r="C246" s="8"/>
      <c r="D246" s="8"/>
      <c r="E246" s="8"/>
      <c r="F246" s="8"/>
      <c r="G246" s="8"/>
      <c r="H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8"/>
      <c r="AM246" s="8"/>
    </row>
    <row r="247" spans="1:39" ht="12.75" customHeight="1" x14ac:dyDescent="0.2">
      <c r="A247" s="8"/>
      <c r="B247" s="8"/>
      <c r="C247" s="8"/>
      <c r="D247" s="8"/>
      <c r="E247" s="8"/>
      <c r="F247" s="8"/>
      <c r="G247" s="8"/>
      <c r="H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row>
    <row r="248" spans="1:39" ht="12.75" customHeight="1" x14ac:dyDescent="0.2">
      <c r="A248" s="8"/>
      <c r="B248" s="8"/>
      <c r="C248" s="8"/>
      <c r="D248" s="8"/>
      <c r="E248" s="8"/>
      <c r="F248" s="8"/>
      <c r="G248" s="8"/>
      <c r="H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8"/>
      <c r="AM248" s="8"/>
    </row>
    <row r="249" spans="1:39" ht="12.75" customHeight="1" x14ac:dyDescent="0.2">
      <c r="A249" s="8"/>
      <c r="B249" s="8"/>
      <c r="C249" s="8"/>
      <c r="D249" s="8"/>
      <c r="E249" s="8"/>
      <c r="F249" s="8"/>
      <c r="G249" s="8"/>
      <c r="H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row>
    <row r="250" spans="1:39" ht="12.75" customHeight="1" x14ac:dyDescent="0.2">
      <c r="A250" s="8"/>
      <c r="B250" s="8"/>
      <c r="C250" s="8"/>
      <c r="D250" s="8"/>
      <c r="E250" s="8"/>
      <c r="F250" s="8"/>
      <c r="G250" s="8"/>
      <c r="H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8"/>
      <c r="AM250" s="8"/>
    </row>
    <row r="251" spans="1:39" ht="12.75" customHeight="1" x14ac:dyDescent="0.2">
      <c r="A251" s="8"/>
      <c r="B251" s="8"/>
      <c r="C251" s="8"/>
      <c r="D251" s="8"/>
      <c r="E251" s="8"/>
      <c r="F251" s="8"/>
      <c r="G251" s="8"/>
      <c r="H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row>
    <row r="252" spans="1:39" ht="12.75" customHeight="1" x14ac:dyDescent="0.2">
      <c r="A252" s="8"/>
      <c r="B252" s="8"/>
      <c r="C252" s="8"/>
      <c r="D252" s="8"/>
      <c r="E252" s="8"/>
      <c r="F252" s="8"/>
      <c r="G252" s="8"/>
      <c r="H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8"/>
      <c r="AM252" s="8"/>
    </row>
    <row r="253" spans="1:39" ht="12.75" customHeight="1" x14ac:dyDescent="0.2">
      <c r="A253" s="8"/>
      <c r="B253" s="8"/>
      <c r="C253" s="8"/>
      <c r="D253" s="8"/>
      <c r="E253" s="8"/>
      <c r="F253" s="8"/>
      <c r="G253" s="8"/>
      <c r="H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row>
    <row r="254" spans="1:39" ht="12.75" customHeight="1" x14ac:dyDescent="0.2">
      <c r="A254" s="8"/>
      <c r="B254" s="8"/>
      <c r="C254" s="8"/>
      <c r="D254" s="8"/>
      <c r="E254" s="8"/>
      <c r="F254" s="8"/>
      <c r="G254" s="8"/>
      <c r="H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8"/>
      <c r="AM254" s="8"/>
    </row>
    <row r="255" spans="1:39" ht="12.75" customHeight="1" x14ac:dyDescent="0.2">
      <c r="A255" s="8"/>
      <c r="B255" s="8"/>
      <c r="C255" s="8"/>
      <c r="D255" s="8"/>
      <c r="E255" s="8"/>
      <c r="F255" s="8"/>
      <c r="G255" s="8"/>
      <c r="H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row>
    <row r="256" spans="1:39" ht="12.75" customHeight="1" x14ac:dyDescent="0.2">
      <c r="A256" s="8"/>
      <c r="B256" s="8"/>
      <c r="C256" s="8"/>
      <c r="D256" s="8"/>
      <c r="E256" s="8"/>
      <c r="F256" s="8"/>
      <c r="G256" s="8"/>
      <c r="H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8"/>
      <c r="AM256" s="8"/>
    </row>
    <row r="257" spans="1:39" ht="12.75" customHeight="1" x14ac:dyDescent="0.2">
      <c r="A257" s="8"/>
      <c r="B257" s="8"/>
      <c r="C257" s="8"/>
      <c r="D257" s="8"/>
      <c r="E257" s="8"/>
      <c r="F257" s="8"/>
      <c r="G257" s="8"/>
      <c r="H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row>
    <row r="258" spans="1:39" ht="12.75" customHeight="1" x14ac:dyDescent="0.2">
      <c r="A258" s="8"/>
      <c r="B258" s="8"/>
      <c r="C258" s="8"/>
      <c r="D258" s="8"/>
      <c r="E258" s="8"/>
      <c r="F258" s="8"/>
      <c r="G258" s="8"/>
      <c r="H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8"/>
    </row>
    <row r="259" spans="1:39" ht="12.75" customHeight="1" x14ac:dyDescent="0.2">
      <c r="A259" s="8"/>
      <c r="B259" s="8"/>
      <c r="C259" s="8"/>
      <c r="D259" s="8"/>
      <c r="E259" s="8"/>
      <c r="F259" s="8"/>
      <c r="G259" s="8"/>
      <c r="H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row>
    <row r="260" spans="1:39" ht="12.75" customHeight="1" x14ac:dyDescent="0.2">
      <c r="A260" s="8"/>
      <c r="B260" s="8"/>
      <c r="C260" s="8"/>
      <c r="D260" s="8"/>
      <c r="E260" s="8"/>
      <c r="F260" s="8"/>
      <c r="G260" s="8"/>
      <c r="H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8"/>
    </row>
    <row r="261" spans="1:39" ht="12.75" customHeight="1" x14ac:dyDescent="0.2">
      <c r="A261" s="8"/>
      <c r="B261" s="8"/>
      <c r="C261" s="8"/>
      <c r="D261" s="8"/>
      <c r="E261" s="8"/>
      <c r="F261" s="8"/>
      <c r="G261" s="8"/>
      <c r="H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row>
    <row r="262" spans="1:39" ht="12.75" customHeight="1" x14ac:dyDescent="0.2">
      <c r="A262" s="8"/>
      <c r="B262" s="8"/>
      <c r="C262" s="8"/>
      <c r="D262" s="8"/>
      <c r="E262" s="8"/>
      <c r="F262" s="8"/>
      <c r="G262" s="8"/>
      <c r="H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row>
    <row r="263" spans="1:39" ht="12.75" customHeight="1" x14ac:dyDescent="0.2">
      <c r="A263" s="8"/>
      <c r="B263" s="8"/>
      <c r="C263" s="8"/>
      <c r="D263" s="8"/>
      <c r="E263" s="8"/>
      <c r="F263" s="8"/>
      <c r="G263" s="8"/>
      <c r="H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row>
    <row r="264" spans="1:39" ht="12.75" customHeight="1" x14ac:dyDescent="0.2">
      <c r="A264" s="8"/>
      <c r="B264" s="8"/>
      <c r="C264" s="8"/>
      <c r="D264" s="8"/>
      <c r="E264" s="8"/>
      <c r="F264" s="8"/>
      <c r="G264" s="8"/>
      <c r="H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row>
    <row r="265" spans="1:39" ht="12.75" customHeight="1" x14ac:dyDescent="0.2">
      <c r="A265" s="8"/>
      <c r="B265" s="8"/>
      <c r="C265" s="8"/>
      <c r="D265" s="8"/>
      <c r="E265" s="8"/>
      <c r="F265" s="8"/>
      <c r="G265" s="8"/>
      <c r="H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row>
    <row r="266" spans="1:39" ht="12.75" customHeight="1" x14ac:dyDescent="0.2">
      <c r="A266" s="8"/>
      <c r="B266" s="8"/>
      <c r="C266" s="8"/>
      <c r="D266" s="8"/>
      <c r="E266" s="8"/>
      <c r="F266" s="8"/>
      <c r="G266" s="8"/>
      <c r="H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row>
    <row r="267" spans="1:39" ht="12.75" customHeight="1" x14ac:dyDescent="0.2">
      <c r="A267" s="8"/>
      <c r="B267" s="8"/>
      <c r="C267" s="8"/>
      <c r="D267" s="8"/>
      <c r="E267" s="8"/>
      <c r="F267" s="8"/>
      <c r="G267" s="8"/>
      <c r="H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row>
    <row r="268" spans="1:39" ht="12.75" customHeight="1" x14ac:dyDescent="0.2">
      <c r="A268" s="8"/>
      <c r="B268" s="8"/>
      <c r="C268" s="8"/>
      <c r="D268" s="8"/>
      <c r="E268" s="8"/>
      <c r="F268" s="8"/>
      <c r="G268" s="8"/>
      <c r="H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row>
    <row r="269" spans="1:39" ht="12.75" customHeight="1" x14ac:dyDescent="0.2">
      <c r="A269" s="8"/>
      <c r="B269" s="8"/>
      <c r="C269" s="8"/>
      <c r="D269" s="8"/>
      <c r="E269" s="8"/>
      <c r="F269" s="8"/>
      <c r="G269" s="8"/>
      <c r="H269" s="8"/>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row>
    <row r="270" spans="1:39" ht="12.75" customHeight="1" x14ac:dyDescent="0.2">
      <c r="A270" s="8"/>
      <c r="B270" s="8"/>
      <c r="C270" s="8"/>
      <c r="D270" s="8"/>
      <c r="E270" s="8"/>
      <c r="F270" s="8"/>
      <c r="G270" s="8"/>
      <c r="H270" s="8"/>
      <c r="J270" s="8"/>
      <c r="K270" s="8"/>
      <c r="L270" s="8"/>
      <c r="M270" s="8"/>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8"/>
      <c r="AM270" s="8"/>
    </row>
    <row r="271" spans="1:39" ht="12.75" customHeight="1" x14ac:dyDescent="0.2">
      <c r="A271" s="8"/>
      <c r="B271" s="8"/>
      <c r="C271" s="8"/>
      <c r="D271" s="8"/>
      <c r="E271" s="8"/>
      <c r="F271" s="8"/>
      <c r="G271" s="8"/>
      <c r="H271" s="8"/>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row>
    <row r="272" spans="1:39" ht="12.75" customHeight="1" x14ac:dyDescent="0.2">
      <c r="A272" s="8"/>
      <c r="B272" s="8"/>
      <c r="C272" s="8"/>
      <c r="D272" s="8"/>
      <c r="E272" s="8"/>
      <c r="F272" s="8"/>
      <c r="G272" s="8"/>
      <c r="H272" s="8"/>
      <c r="J272" s="8"/>
      <c r="K272" s="8"/>
      <c r="L272" s="8"/>
      <c r="M272" s="8"/>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8"/>
      <c r="AM272" s="8"/>
    </row>
    <row r="273" spans="1:39" ht="12.75" customHeight="1" x14ac:dyDescent="0.2">
      <c r="A273" s="8"/>
      <c r="B273" s="8"/>
      <c r="C273" s="8"/>
      <c r="D273" s="8"/>
      <c r="E273" s="8"/>
      <c r="F273" s="8"/>
      <c r="G273" s="8"/>
      <c r="H273" s="8"/>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row>
    <row r="274" spans="1:39" ht="12.75" customHeight="1" x14ac:dyDescent="0.2">
      <c r="A274" s="8"/>
      <c r="B274" s="8"/>
      <c r="C274" s="8"/>
      <c r="D274" s="8"/>
      <c r="E274" s="8"/>
      <c r="F274" s="8"/>
      <c r="G274" s="8"/>
      <c r="H274" s="8"/>
      <c r="J274" s="8"/>
      <c r="K274" s="8"/>
      <c r="L274" s="8"/>
      <c r="M274" s="8"/>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8"/>
      <c r="AM274" s="8"/>
    </row>
    <row r="275" spans="1:39" ht="12.75" customHeight="1" x14ac:dyDescent="0.2">
      <c r="A275" s="8"/>
      <c r="B275" s="8"/>
      <c r="C275" s="8"/>
      <c r="D275" s="8"/>
      <c r="E275" s="8"/>
      <c r="F275" s="8"/>
      <c r="G275" s="8"/>
      <c r="H275" s="8"/>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row>
    <row r="276" spans="1:39" ht="12.75" customHeight="1" x14ac:dyDescent="0.2">
      <c r="A276" s="8"/>
      <c r="B276" s="8"/>
      <c r="C276" s="8"/>
      <c r="D276" s="8"/>
      <c r="E276" s="8"/>
      <c r="F276" s="8"/>
      <c r="G276" s="8"/>
      <c r="H276" s="8"/>
      <c r="J276" s="8"/>
      <c r="K276" s="8"/>
      <c r="L276" s="8"/>
      <c r="M276" s="8"/>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8"/>
      <c r="AM276" s="8"/>
    </row>
    <row r="277" spans="1:39" ht="12.75" customHeight="1" x14ac:dyDescent="0.2">
      <c r="A277" s="8"/>
      <c r="B277" s="8"/>
      <c r="C277" s="8"/>
      <c r="D277" s="8"/>
      <c r="E277" s="8"/>
      <c r="F277" s="8"/>
      <c r="G277" s="8"/>
      <c r="H277" s="8"/>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row>
    <row r="278" spans="1:39" ht="12.75" customHeight="1" x14ac:dyDescent="0.2">
      <c r="A278" s="8"/>
      <c r="B278" s="8"/>
      <c r="C278" s="8"/>
      <c r="D278" s="8"/>
      <c r="E278" s="8"/>
      <c r="F278" s="8"/>
      <c r="G278" s="8"/>
      <c r="H278" s="8"/>
      <c r="J278" s="8"/>
      <c r="K278" s="8"/>
      <c r="L278" s="8"/>
      <c r="M278" s="8"/>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8"/>
      <c r="AM278" s="8"/>
    </row>
    <row r="279" spans="1:39" ht="12.75" customHeight="1" x14ac:dyDescent="0.2">
      <c r="A279" s="8"/>
      <c r="B279" s="8"/>
      <c r="C279" s="8"/>
      <c r="D279" s="8"/>
      <c r="E279" s="8"/>
      <c r="F279" s="8"/>
      <c r="G279" s="8"/>
      <c r="H279" s="8"/>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row>
    <row r="280" spans="1:39" ht="12.75" customHeight="1" x14ac:dyDescent="0.2">
      <c r="A280" s="8"/>
      <c r="B280" s="8"/>
      <c r="C280" s="8"/>
      <c r="D280" s="8"/>
      <c r="E280" s="8"/>
      <c r="F280" s="8"/>
      <c r="G280" s="8"/>
      <c r="H280" s="8"/>
      <c r="J280" s="8"/>
      <c r="K280" s="8"/>
      <c r="L280" s="8"/>
      <c r="M280" s="8"/>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8"/>
      <c r="AM280" s="8"/>
    </row>
    <row r="281" spans="1:39" ht="12.75" customHeight="1" x14ac:dyDescent="0.2">
      <c r="A281" s="8"/>
      <c r="B281" s="8"/>
      <c r="C281" s="8"/>
      <c r="D281" s="8"/>
      <c r="E281" s="8"/>
      <c r="F281" s="8"/>
      <c r="G281" s="8"/>
      <c r="H281" s="8"/>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row>
    <row r="282" spans="1:39" ht="12.75" customHeight="1" x14ac:dyDescent="0.2">
      <c r="A282" s="8"/>
      <c r="B282" s="8"/>
      <c r="C282" s="8"/>
      <c r="D282" s="8"/>
      <c r="E282" s="8"/>
      <c r="F282" s="8"/>
      <c r="G282" s="8"/>
      <c r="H282" s="8"/>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8"/>
      <c r="AM282" s="8"/>
    </row>
    <row r="283" spans="1:39" ht="12.75" customHeight="1" x14ac:dyDescent="0.2">
      <c r="A283" s="8"/>
      <c r="B283" s="8"/>
      <c r="C283" s="8"/>
      <c r="D283" s="8"/>
      <c r="E283" s="8"/>
      <c r="F283" s="8"/>
      <c r="G283" s="8"/>
      <c r="H283" s="8"/>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row>
    <row r="284" spans="1:39" ht="12.75" customHeight="1" x14ac:dyDescent="0.2">
      <c r="A284" s="8"/>
      <c r="B284" s="8"/>
      <c r="C284" s="8"/>
      <c r="D284" s="8"/>
      <c r="E284" s="8"/>
      <c r="F284" s="8"/>
      <c r="G284" s="8"/>
      <c r="H284" s="8"/>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8"/>
      <c r="AM284" s="8"/>
    </row>
    <row r="285" spans="1:39" ht="12.75" customHeight="1" x14ac:dyDescent="0.2">
      <c r="A285" s="8"/>
      <c r="B285" s="8"/>
      <c r="C285" s="8"/>
      <c r="D285" s="8"/>
      <c r="E285" s="8"/>
      <c r="F285" s="8"/>
      <c r="G285" s="8"/>
      <c r="H285" s="8"/>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row>
    <row r="286" spans="1:39" ht="12.75" customHeight="1" x14ac:dyDescent="0.2">
      <c r="A286" s="8"/>
      <c r="B286" s="8"/>
      <c r="C286" s="8"/>
      <c r="D286" s="8"/>
      <c r="E286" s="8"/>
      <c r="F286" s="8"/>
      <c r="G286" s="8"/>
      <c r="H286" s="8"/>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row>
    <row r="287" spans="1:39" ht="12.75" customHeight="1" x14ac:dyDescent="0.2">
      <c r="A287" s="8"/>
      <c r="B287" s="8"/>
      <c r="C287" s="8"/>
      <c r="D287" s="8"/>
      <c r="E287" s="8"/>
      <c r="F287" s="8"/>
      <c r="G287" s="8"/>
      <c r="H287" s="8"/>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row>
    <row r="288" spans="1:39" ht="12.75" customHeight="1" x14ac:dyDescent="0.2">
      <c r="A288" s="8"/>
      <c r="B288" s="8"/>
      <c r="C288" s="8"/>
      <c r="D288" s="8"/>
      <c r="E288" s="8"/>
      <c r="F288" s="8"/>
      <c r="G288" s="8"/>
      <c r="H288" s="8"/>
      <c r="J288" s="8"/>
      <c r="K288" s="8"/>
      <c r="L288" s="8"/>
      <c r="M288" s="8"/>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8"/>
      <c r="AM288" s="8"/>
    </row>
    <row r="289" spans="1:39" ht="12.75" customHeight="1" x14ac:dyDescent="0.2">
      <c r="A289" s="8"/>
      <c r="B289" s="8"/>
      <c r="C289" s="8"/>
      <c r="D289" s="8"/>
      <c r="E289" s="8"/>
      <c r="F289" s="8"/>
      <c r="G289" s="8"/>
      <c r="H289" s="8"/>
      <c r="J289" s="8"/>
      <c r="K289" s="8"/>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row>
    <row r="290" spans="1:39" ht="12.75" customHeight="1" x14ac:dyDescent="0.2">
      <c r="A290" s="8"/>
      <c r="B290" s="8"/>
      <c r="C290" s="8"/>
      <c r="D290" s="8"/>
      <c r="E290" s="8"/>
      <c r="F290" s="8"/>
      <c r="G290" s="8"/>
      <c r="H290" s="8"/>
      <c r="J290" s="8"/>
      <c r="K290" s="8"/>
      <c r="L290" s="8"/>
      <c r="M290" s="8"/>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8"/>
      <c r="AM290" s="8"/>
    </row>
    <row r="291" spans="1:39" ht="12.75" customHeight="1" x14ac:dyDescent="0.2">
      <c r="A291" s="8"/>
      <c r="B291" s="8"/>
      <c r="C291" s="8"/>
      <c r="D291" s="8"/>
      <c r="E291" s="8"/>
      <c r="F291" s="8"/>
      <c r="G291" s="8"/>
      <c r="H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row>
    <row r="292" spans="1:39" ht="12.75" customHeight="1" x14ac:dyDescent="0.2">
      <c r="A292" s="8"/>
      <c r="B292" s="8"/>
      <c r="C292" s="8"/>
      <c r="D292" s="8"/>
      <c r="E292" s="8"/>
      <c r="F292" s="8"/>
      <c r="G292" s="8"/>
      <c r="H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row>
    <row r="293" spans="1:39" ht="12.75" customHeight="1" x14ac:dyDescent="0.2">
      <c r="A293" s="8"/>
      <c r="B293" s="8"/>
      <c r="C293" s="8"/>
      <c r="D293" s="8"/>
      <c r="E293" s="8"/>
      <c r="F293" s="8"/>
      <c r="G293" s="8"/>
      <c r="H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row>
    <row r="294" spans="1:39" ht="12.75" customHeight="1" x14ac:dyDescent="0.2">
      <c r="A294" s="8"/>
      <c r="B294" s="8"/>
      <c r="C294" s="8"/>
      <c r="D294" s="8"/>
      <c r="E294" s="8"/>
      <c r="F294" s="8"/>
      <c r="G294" s="8"/>
      <c r="H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row>
    <row r="295" spans="1:39" ht="12.75" customHeight="1" x14ac:dyDescent="0.2">
      <c r="A295" s="8"/>
      <c r="B295" s="8"/>
      <c r="C295" s="8"/>
      <c r="D295" s="8"/>
      <c r="E295" s="8"/>
      <c r="F295" s="8"/>
      <c r="G295" s="8"/>
      <c r="H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row>
    <row r="296" spans="1:39" ht="12.75" customHeight="1" x14ac:dyDescent="0.2">
      <c r="A296" s="8"/>
      <c r="B296" s="8"/>
      <c r="C296" s="8"/>
      <c r="D296" s="8"/>
      <c r="E296" s="8"/>
      <c r="F296" s="8"/>
      <c r="G296" s="8"/>
      <c r="H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row>
    <row r="297" spans="1:39" ht="12.75" customHeight="1" x14ac:dyDescent="0.2">
      <c r="A297" s="8"/>
      <c r="B297" s="8"/>
      <c r="C297" s="8"/>
      <c r="D297" s="8"/>
      <c r="E297" s="8"/>
      <c r="F297" s="8"/>
      <c r="G297" s="8"/>
      <c r="H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row>
    <row r="298" spans="1:39" ht="12.75" customHeight="1" x14ac:dyDescent="0.2">
      <c r="A298" s="8"/>
      <c r="B298" s="8"/>
      <c r="C298" s="8"/>
      <c r="D298" s="8"/>
      <c r="E298" s="8"/>
      <c r="F298" s="8"/>
      <c r="G298" s="8"/>
      <c r="H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row>
    <row r="299" spans="1:39" ht="12.75" customHeight="1" x14ac:dyDescent="0.2">
      <c r="A299" s="8"/>
      <c r="B299" s="8"/>
      <c r="C299" s="8"/>
      <c r="D299" s="8"/>
      <c r="E299" s="8"/>
      <c r="F299" s="8"/>
      <c r="G299" s="8"/>
      <c r="H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row>
    <row r="300" spans="1:39" ht="12.75" customHeight="1" x14ac:dyDescent="0.2">
      <c r="A300" s="8"/>
      <c r="B300" s="8"/>
      <c r="C300" s="8"/>
      <c r="D300" s="8"/>
      <c r="E300" s="8"/>
      <c r="F300" s="8"/>
      <c r="G300" s="8"/>
      <c r="H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row>
    <row r="301" spans="1:39" ht="12.75" customHeight="1" x14ac:dyDescent="0.2">
      <c r="A301" s="8"/>
      <c r="B301" s="8"/>
      <c r="C301" s="8"/>
      <c r="D301" s="8"/>
      <c r="E301" s="8"/>
      <c r="F301" s="8"/>
      <c r="G301" s="8"/>
      <c r="H301" s="8"/>
      <c r="J301" s="8"/>
      <c r="K301" s="8"/>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row>
    <row r="302" spans="1:39" ht="12.75" customHeight="1" x14ac:dyDescent="0.2">
      <c r="A302" s="8"/>
      <c r="B302" s="8"/>
      <c r="C302" s="8"/>
      <c r="D302" s="8"/>
      <c r="E302" s="8"/>
      <c r="F302" s="8"/>
      <c r="G302" s="8"/>
      <c r="H302" s="8"/>
      <c r="J302" s="8"/>
      <c r="K302" s="8"/>
      <c r="L302" s="8"/>
      <c r="M302" s="8"/>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8"/>
      <c r="AM302" s="8"/>
    </row>
    <row r="303" spans="1:39" ht="12.75" customHeight="1" x14ac:dyDescent="0.2">
      <c r="A303" s="8"/>
      <c r="B303" s="8"/>
      <c r="C303" s="8"/>
      <c r="D303" s="8"/>
      <c r="E303" s="8"/>
      <c r="F303" s="8"/>
      <c r="G303" s="8"/>
      <c r="H303" s="8"/>
      <c r="J303" s="8"/>
      <c r="K303" s="8"/>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row>
    <row r="304" spans="1:39" ht="12.75" customHeight="1" x14ac:dyDescent="0.2">
      <c r="A304" s="8"/>
      <c r="B304" s="8"/>
      <c r="C304" s="8"/>
      <c r="D304" s="8"/>
      <c r="E304" s="8"/>
      <c r="F304" s="8"/>
      <c r="G304" s="8"/>
      <c r="H304" s="8"/>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8"/>
      <c r="AM304" s="8"/>
    </row>
    <row r="305" spans="1:39" ht="12.75" customHeight="1" x14ac:dyDescent="0.2">
      <c r="A305" s="8"/>
      <c r="B305" s="8"/>
      <c r="C305" s="8"/>
      <c r="D305" s="8"/>
      <c r="E305" s="8"/>
      <c r="F305" s="8"/>
      <c r="G305" s="8"/>
      <c r="H305" s="8"/>
      <c r="J305" s="8"/>
      <c r="K305" s="8"/>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row>
    <row r="306" spans="1:39" ht="12.75" customHeight="1" x14ac:dyDescent="0.2">
      <c r="A306" s="8"/>
      <c r="B306" s="8"/>
      <c r="C306" s="8"/>
      <c r="D306" s="8"/>
      <c r="E306" s="8"/>
      <c r="F306" s="8"/>
      <c r="G306" s="8"/>
      <c r="H306" s="8"/>
      <c r="J306" s="8"/>
      <c r="K306" s="8"/>
      <c r="L306" s="8"/>
      <c r="M306" s="8"/>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8"/>
      <c r="AM306" s="8"/>
    </row>
    <row r="307" spans="1:39" ht="12.75" customHeight="1" x14ac:dyDescent="0.2">
      <c r="A307" s="8"/>
      <c r="B307" s="8"/>
      <c r="C307" s="8"/>
      <c r="D307" s="8"/>
      <c r="E307" s="8"/>
      <c r="F307" s="8"/>
      <c r="G307" s="8"/>
      <c r="H307" s="8"/>
      <c r="J307" s="8"/>
      <c r="K307" s="8"/>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row>
    <row r="308" spans="1:39" ht="12.75" customHeight="1" x14ac:dyDescent="0.2">
      <c r="A308" s="8"/>
      <c r="B308" s="8"/>
      <c r="C308" s="8"/>
      <c r="D308" s="8"/>
      <c r="E308" s="8"/>
      <c r="F308" s="8"/>
      <c r="G308" s="8"/>
      <c r="H308" s="8"/>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8"/>
      <c r="AM308" s="8"/>
    </row>
    <row r="309" spans="1:39" ht="12.75" customHeight="1" x14ac:dyDescent="0.2">
      <c r="A309" s="8"/>
      <c r="B309" s="8"/>
      <c r="C309" s="8"/>
      <c r="D309" s="8"/>
      <c r="E309" s="8"/>
      <c r="F309" s="8"/>
      <c r="G309" s="8"/>
      <c r="H309" s="8"/>
      <c r="J309" s="8"/>
      <c r="K309" s="8"/>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row>
    <row r="310" spans="1:39" ht="12.75" customHeight="1" x14ac:dyDescent="0.2">
      <c r="A310" s="8"/>
      <c r="B310" s="8"/>
      <c r="C310" s="8"/>
      <c r="D310" s="8"/>
      <c r="E310" s="8"/>
      <c r="F310" s="8"/>
      <c r="G310" s="8"/>
      <c r="H310" s="8"/>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row>
    <row r="311" spans="1:39" ht="12.75" customHeight="1" x14ac:dyDescent="0.2">
      <c r="A311" s="8"/>
      <c r="B311" s="8"/>
      <c r="C311" s="8"/>
      <c r="D311" s="8"/>
      <c r="E311" s="8"/>
      <c r="F311" s="8"/>
      <c r="G311" s="8"/>
      <c r="H311" s="8"/>
      <c r="J311" s="8"/>
      <c r="K311" s="8"/>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row>
    <row r="312" spans="1:39" ht="12.75" customHeight="1" x14ac:dyDescent="0.2">
      <c r="A312" s="8"/>
      <c r="B312" s="8"/>
      <c r="C312" s="8"/>
      <c r="D312" s="8"/>
      <c r="E312" s="8"/>
      <c r="F312" s="8"/>
      <c r="G312" s="8"/>
      <c r="H312" s="8"/>
      <c r="J312" s="8"/>
      <c r="K312" s="8"/>
      <c r="L312" s="8"/>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row>
    <row r="313" spans="1:39" ht="12.75" customHeight="1" x14ac:dyDescent="0.2">
      <c r="A313" s="8"/>
      <c r="B313" s="8"/>
      <c r="C313" s="8"/>
      <c r="D313" s="8"/>
      <c r="E313" s="8"/>
      <c r="F313" s="8"/>
      <c r="G313" s="8"/>
      <c r="H313" s="8"/>
      <c r="J313" s="8"/>
      <c r="K313" s="8"/>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row>
    <row r="314" spans="1:39" ht="12.75" customHeight="1" x14ac:dyDescent="0.2">
      <c r="A314" s="8"/>
      <c r="B314" s="8"/>
      <c r="C314" s="8"/>
      <c r="D314" s="8"/>
      <c r="E314" s="8"/>
      <c r="F314" s="8"/>
      <c r="G314" s="8"/>
      <c r="H314" s="8"/>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row>
    <row r="315" spans="1:39" ht="12.75" customHeight="1" x14ac:dyDescent="0.2">
      <c r="A315" s="8"/>
      <c r="B315" s="8"/>
      <c r="C315" s="8"/>
      <c r="D315" s="8"/>
      <c r="E315" s="8"/>
      <c r="F315" s="8"/>
      <c r="G315" s="8"/>
      <c r="H315" s="8"/>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row>
    <row r="316" spans="1:39" ht="12.75" customHeight="1" x14ac:dyDescent="0.2">
      <c r="A316" s="8"/>
      <c r="B316" s="8"/>
      <c r="C316" s="8"/>
      <c r="D316" s="8"/>
      <c r="E316" s="8"/>
      <c r="F316" s="8"/>
      <c r="G316" s="8"/>
      <c r="H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row>
    <row r="317" spans="1:39" ht="12.75" customHeight="1" x14ac:dyDescent="0.2">
      <c r="A317" s="8"/>
      <c r="B317" s="8"/>
      <c r="C317" s="8"/>
      <c r="D317" s="8"/>
      <c r="E317" s="8"/>
      <c r="F317" s="8"/>
      <c r="G317" s="8"/>
      <c r="H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row>
    <row r="318" spans="1:39" ht="12.75" customHeight="1" x14ac:dyDescent="0.2">
      <c r="A318" s="8"/>
      <c r="B318" s="8"/>
      <c r="C318" s="8"/>
      <c r="D318" s="8"/>
      <c r="E318" s="8"/>
      <c r="F318" s="8"/>
      <c r="G318" s="8"/>
      <c r="H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row>
    <row r="319" spans="1:39" ht="12.75" customHeight="1" x14ac:dyDescent="0.2">
      <c r="A319" s="8"/>
      <c r="B319" s="8"/>
      <c r="C319" s="8"/>
      <c r="D319" s="8"/>
      <c r="E319" s="8"/>
      <c r="F319" s="8"/>
      <c r="G319" s="8"/>
      <c r="H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row>
    <row r="320" spans="1:39" ht="12.75" customHeight="1" x14ac:dyDescent="0.2">
      <c r="A320" s="8"/>
      <c r="B320" s="8"/>
      <c r="C320" s="8"/>
      <c r="D320" s="8"/>
      <c r="E320" s="8"/>
      <c r="F320" s="8"/>
      <c r="G320" s="8"/>
      <c r="H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row>
    <row r="321" spans="1:39" ht="12.75" customHeight="1" x14ac:dyDescent="0.2">
      <c r="A321" s="8"/>
      <c r="B321" s="8"/>
      <c r="C321" s="8"/>
      <c r="D321" s="8"/>
      <c r="E321" s="8"/>
      <c r="F321" s="8"/>
      <c r="G321" s="8"/>
      <c r="H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row>
    <row r="322" spans="1:39" ht="12.75" customHeight="1" x14ac:dyDescent="0.2">
      <c r="A322" s="8"/>
      <c r="B322" s="8"/>
      <c r="C322" s="8"/>
      <c r="D322" s="8"/>
      <c r="E322" s="8"/>
      <c r="F322" s="8"/>
      <c r="G322" s="8"/>
      <c r="H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row>
    <row r="323" spans="1:39" ht="12.75" customHeight="1" x14ac:dyDescent="0.2">
      <c r="A323" s="8"/>
      <c r="B323" s="8"/>
      <c r="C323" s="8"/>
      <c r="D323" s="8"/>
      <c r="E323" s="8"/>
      <c r="F323" s="8"/>
      <c r="G323" s="8"/>
      <c r="H323" s="8"/>
      <c r="J323" s="8"/>
      <c r="K323" s="8"/>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row>
    <row r="324" spans="1:39" ht="12.75" customHeight="1" x14ac:dyDescent="0.2">
      <c r="A324" s="8"/>
      <c r="B324" s="8"/>
      <c r="C324" s="8"/>
      <c r="D324" s="8"/>
      <c r="E324" s="8"/>
      <c r="F324" s="8"/>
      <c r="G324" s="8"/>
      <c r="H324" s="8"/>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8"/>
      <c r="AM324" s="8"/>
    </row>
    <row r="325" spans="1:39" ht="12.75" customHeight="1" x14ac:dyDescent="0.2">
      <c r="A325" s="8"/>
      <c r="B325" s="8"/>
      <c r="C325" s="8"/>
      <c r="D325" s="8"/>
      <c r="E325" s="8"/>
      <c r="F325" s="8"/>
      <c r="G325" s="8"/>
      <c r="H325" s="8"/>
      <c r="J325" s="8"/>
      <c r="K325" s="8"/>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row>
    <row r="326" spans="1:39" ht="12.75" customHeight="1" x14ac:dyDescent="0.2">
      <c r="A326" s="8"/>
      <c r="B326" s="8"/>
      <c r="C326" s="8"/>
      <c r="D326" s="8"/>
      <c r="E326" s="8"/>
      <c r="F326" s="8"/>
      <c r="G326" s="8"/>
      <c r="H326" s="8"/>
      <c r="J326" s="8"/>
      <c r="K326" s="8"/>
      <c r="L326" s="8"/>
      <c r="M326" s="8"/>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8"/>
      <c r="AM326" s="8"/>
    </row>
    <row r="327" spans="1:39" ht="12.75" customHeight="1" x14ac:dyDescent="0.2">
      <c r="A327" s="8"/>
      <c r="B327" s="8"/>
      <c r="C327" s="8"/>
      <c r="D327" s="8"/>
      <c r="E327" s="8"/>
      <c r="F327" s="8"/>
      <c r="G327" s="8"/>
      <c r="H327" s="8"/>
      <c r="J327" s="8"/>
      <c r="K327" s="8"/>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row>
    <row r="328" spans="1:39" ht="12.75" customHeight="1" x14ac:dyDescent="0.2">
      <c r="A328" s="8"/>
      <c r="B328" s="8"/>
      <c r="C328" s="8"/>
      <c r="D328" s="8"/>
      <c r="E328" s="8"/>
      <c r="F328" s="8"/>
      <c r="G328" s="8"/>
      <c r="H328" s="8"/>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8"/>
      <c r="AM328" s="8"/>
    </row>
    <row r="329" spans="1:39" ht="12.75" customHeight="1" x14ac:dyDescent="0.2">
      <c r="A329" s="8"/>
      <c r="B329" s="8"/>
      <c r="C329" s="8"/>
      <c r="D329" s="8"/>
      <c r="E329" s="8"/>
      <c r="F329" s="8"/>
      <c r="G329" s="8"/>
      <c r="H329" s="8"/>
      <c r="J329" s="8"/>
      <c r="K329" s="8"/>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row>
    <row r="330" spans="1:39" ht="12.75" customHeight="1" x14ac:dyDescent="0.2">
      <c r="A330" s="8"/>
      <c r="B330" s="8"/>
      <c r="C330" s="8"/>
      <c r="D330" s="8"/>
      <c r="E330" s="8"/>
      <c r="F330" s="8"/>
      <c r="G330" s="8"/>
      <c r="H330" s="8"/>
      <c r="J330" s="8"/>
      <c r="K330" s="8"/>
      <c r="L330" s="8"/>
      <c r="M330" s="8"/>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8"/>
      <c r="AM330" s="8"/>
    </row>
    <row r="331" spans="1:39" ht="12.75" customHeight="1" x14ac:dyDescent="0.2">
      <c r="A331" s="8"/>
      <c r="B331" s="8"/>
      <c r="C331" s="8"/>
      <c r="D331" s="8"/>
      <c r="E331" s="8"/>
      <c r="F331" s="8"/>
      <c r="G331" s="8"/>
      <c r="H331" s="8"/>
      <c r="J331" s="8"/>
      <c r="K331" s="8"/>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row>
    <row r="332" spans="1:39" ht="12.75" customHeight="1" x14ac:dyDescent="0.2">
      <c r="A332" s="8"/>
      <c r="B332" s="8"/>
      <c r="C332" s="8"/>
      <c r="D332" s="8"/>
      <c r="E332" s="8"/>
      <c r="F332" s="8"/>
      <c r="G332" s="8"/>
      <c r="H332" s="8"/>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8"/>
      <c r="AM332" s="8"/>
    </row>
    <row r="333" spans="1:39" ht="12.75" customHeight="1" x14ac:dyDescent="0.2">
      <c r="A333" s="8"/>
      <c r="B333" s="8"/>
      <c r="C333" s="8"/>
      <c r="D333" s="8"/>
      <c r="E333" s="8"/>
      <c r="F333" s="8"/>
      <c r="G333" s="8"/>
      <c r="H333" s="8"/>
      <c r="J333" s="8"/>
      <c r="K333" s="8"/>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row>
    <row r="334" spans="1:39" ht="12.75" customHeight="1" x14ac:dyDescent="0.2">
      <c r="A334" s="8"/>
      <c r="B334" s="8"/>
      <c r="C334" s="8"/>
      <c r="D334" s="8"/>
      <c r="E334" s="8"/>
      <c r="F334" s="8"/>
      <c r="G334" s="8"/>
      <c r="H334" s="8"/>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8"/>
      <c r="AM334" s="8"/>
    </row>
    <row r="335" spans="1:39" ht="12.75" customHeight="1" x14ac:dyDescent="0.2">
      <c r="A335" s="8"/>
      <c r="B335" s="8"/>
      <c r="C335" s="8"/>
      <c r="D335" s="8"/>
      <c r="E335" s="8"/>
      <c r="F335" s="8"/>
      <c r="G335" s="8"/>
      <c r="H335" s="8"/>
      <c r="J335" s="8"/>
      <c r="K335" s="8"/>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row>
    <row r="336" spans="1:39" ht="12.75" customHeight="1" x14ac:dyDescent="0.2">
      <c r="A336" s="8"/>
      <c r="B336" s="8"/>
      <c r="C336" s="8"/>
      <c r="D336" s="8"/>
      <c r="E336" s="8"/>
      <c r="F336" s="8"/>
      <c r="G336" s="8"/>
      <c r="H336" s="8"/>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8"/>
      <c r="AM336" s="8"/>
    </row>
    <row r="337" spans="1:39" ht="12.75" customHeight="1" x14ac:dyDescent="0.2">
      <c r="A337" s="8"/>
      <c r="B337" s="8"/>
      <c r="C337" s="8"/>
      <c r="D337" s="8"/>
      <c r="E337" s="8"/>
      <c r="F337" s="8"/>
      <c r="G337" s="8"/>
      <c r="H337" s="8"/>
      <c r="J337" s="8"/>
      <c r="K337" s="8"/>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row>
    <row r="338" spans="1:39" ht="12.75" customHeight="1" x14ac:dyDescent="0.2">
      <c r="A338" s="8"/>
      <c r="B338" s="8"/>
      <c r="C338" s="8"/>
      <c r="D338" s="8"/>
      <c r="E338" s="8"/>
      <c r="F338" s="8"/>
      <c r="G338" s="8"/>
      <c r="H338" s="8"/>
      <c r="J338" s="8"/>
      <c r="K338" s="8"/>
      <c r="L338" s="8"/>
      <c r="M338" s="8"/>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8"/>
      <c r="AM338" s="8"/>
    </row>
    <row r="339" spans="1:39" ht="12.75" customHeight="1" x14ac:dyDescent="0.2">
      <c r="A339" s="8"/>
      <c r="B339" s="8"/>
      <c r="C339" s="8"/>
      <c r="D339" s="8"/>
      <c r="E339" s="8"/>
      <c r="F339" s="8"/>
      <c r="G339" s="8"/>
      <c r="H339" s="8"/>
      <c r="J339" s="8"/>
      <c r="K339" s="8"/>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row>
    <row r="340" spans="1:39" ht="12.75" customHeight="1" x14ac:dyDescent="0.2">
      <c r="A340" s="8"/>
      <c r="B340" s="8"/>
      <c r="C340" s="8"/>
      <c r="D340" s="8"/>
      <c r="E340" s="8"/>
      <c r="F340" s="8"/>
      <c r="G340" s="8"/>
      <c r="H340" s="8"/>
      <c r="J340" s="8"/>
      <c r="K340" s="8"/>
      <c r="L340" s="8"/>
      <c r="M340" s="8"/>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8"/>
      <c r="AM340" s="8"/>
    </row>
    <row r="341" spans="1:39" ht="12.75" customHeight="1" x14ac:dyDescent="0.2">
      <c r="A341" s="8"/>
      <c r="B341" s="8"/>
      <c r="C341" s="8"/>
      <c r="D341" s="8"/>
      <c r="E341" s="8"/>
      <c r="F341" s="8"/>
      <c r="G341" s="8"/>
      <c r="H341" s="8"/>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row>
    <row r="342" spans="1:39" ht="12.75" customHeight="1" x14ac:dyDescent="0.2">
      <c r="A342" s="8"/>
      <c r="B342" s="8"/>
      <c r="C342" s="8"/>
      <c r="D342" s="8"/>
      <c r="E342" s="8"/>
      <c r="F342" s="8"/>
      <c r="G342" s="8"/>
      <c r="H342" s="8"/>
      <c r="J342" s="8"/>
      <c r="K342" s="8"/>
      <c r="L342" s="8"/>
      <c r="M342" s="8"/>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8"/>
      <c r="AM342" s="8"/>
    </row>
    <row r="343" spans="1:39" ht="12.75" customHeight="1" x14ac:dyDescent="0.2">
      <c r="A343" s="8"/>
      <c r="B343" s="8"/>
      <c r="C343" s="8"/>
      <c r="D343" s="8"/>
      <c r="E343" s="8"/>
      <c r="F343" s="8"/>
      <c r="G343" s="8"/>
      <c r="H343" s="8"/>
      <c r="J343" s="8"/>
      <c r="K343" s="8"/>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row>
    <row r="344" spans="1:39" ht="12.75" customHeight="1" x14ac:dyDescent="0.2">
      <c r="A344" s="8"/>
      <c r="B344" s="8"/>
      <c r="C344" s="8"/>
      <c r="D344" s="8"/>
      <c r="E344" s="8"/>
      <c r="F344" s="8"/>
      <c r="G344" s="8"/>
      <c r="H344" s="8"/>
      <c r="J344" s="8"/>
      <c r="K344" s="8"/>
      <c r="L344" s="8"/>
      <c r="M344" s="8"/>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8"/>
      <c r="AM344" s="8"/>
    </row>
    <row r="345" spans="1:39" ht="12.75" customHeight="1" x14ac:dyDescent="0.2">
      <c r="A345" s="8"/>
      <c r="B345" s="8"/>
      <c r="C345" s="8"/>
      <c r="D345" s="8"/>
      <c r="E345" s="8"/>
      <c r="F345" s="8"/>
      <c r="G345" s="8"/>
      <c r="H345" s="8"/>
      <c r="J345" s="8"/>
      <c r="K345" s="8"/>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row>
    <row r="346" spans="1:39" ht="12.75" customHeight="1" x14ac:dyDescent="0.2">
      <c r="A346" s="8"/>
      <c r="B346" s="8"/>
      <c r="C346" s="8"/>
      <c r="D346" s="8"/>
      <c r="E346" s="8"/>
      <c r="F346" s="8"/>
      <c r="G346" s="8"/>
      <c r="H346" s="8"/>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8"/>
      <c r="AM346" s="8"/>
    </row>
    <row r="347" spans="1:39" ht="12.75" customHeight="1" x14ac:dyDescent="0.2">
      <c r="A347" s="8"/>
      <c r="B347" s="8"/>
      <c r="C347" s="8"/>
      <c r="D347" s="8"/>
      <c r="E347" s="8"/>
      <c r="F347" s="8"/>
      <c r="G347" s="8"/>
      <c r="H347" s="8"/>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row>
    <row r="348" spans="1:39" ht="12.75" customHeight="1" x14ac:dyDescent="0.2">
      <c r="A348" s="8"/>
      <c r="B348" s="8"/>
      <c r="C348" s="8"/>
      <c r="D348" s="8"/>
      <c r="E348" s="8"/>
      <c r="F348" s="8"/>
      <c r="G348" s="8"/>
      <c r="H348" s="8"/>
      <c r="J348" s="8"/>
      <c r="K348" s="8"/>
      <c r="L348" s="8"/>
      <c r="M348" s="8"/>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8"/>
      <c r="AM348" s="8"/>
    </row>
    <row r="349" spans="1:39" ht="12.75" customHeight="1" x14ac:dyDescent="0.2">
      <c r="A349" s="8"/>
      <c r="B349" s="8"/>
      <c r="C349" s="8"/>
      <c r="D349" s="8"/>
      <c r="E349" s="8"/>
      <c r="F349" s="8"/>
      <c r="G349" s="8"/>
      <c r="H349" s="8"/>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row>
    <row r="350" spans="1:39" ht="12.75" customHeight="1" x14ac:dyDescent="0.2">
      <c r="A350" s="8"/>
      <c r="B350" s="8"/>
      <c r="C350" s="8"/>
      <c r="D350" s="8"/>
      <c r="E350" s="8"/>
      <c r="F350" s="8"/>
      <c r="G350" s="8"/>
      <c r="H350" s="8"/>
      <c r="J350" s="8"/>
      <c r="K350" s="8"/>
      <c r="L350" s="8"/>
      <c r="M350" s="8"/>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8"/>
      <c r="AM350" s="8"/>
    </row>
    <row r="351" spans="1:39" ht="12.75" customHeight="1" x14ac:dyDescent="0.2">
      <c r="A351" s="8"/>
      <c r="B351" s="8"/>
      <c r="C351" s="8"/>
      <c r="D351" s="8"/>
      <c r="E351" s="8"/>
      <c r="F351" s="8"/>
      <c r="G351" s="8"/>
      <c r="H351" s="8"/>
      <c r="J351" s="8"/>
      <c r="K351" s="8"/>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row>
    <row r="352" spans="1:39" ht="12.75" customHeight="1" x14ac:dyDescent="0.2">
      <c r="A352" s="8"/>
      <c r="B352" s="8"/>
      <c r="C352" s="8"/>
      <c r="D352" s="8"/>
      <c r="E352" s="8"/>
      <c r="F352" s="8"/>
      <c r="G352" s="8"/>
      <c r="H352" s="8"/>
      <c r="J352" s="8"/>
      <c r="K352" s="8"/>
      <c r="L352" s="8"/>
      <c r="M352" s="8"/>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8"/>
      <c r="AM352" s="8"/>
    </row>
    <row r="353" spans="1:39" ht="12.75" customHeight="1" x14ac:dyDescent="0.2">
      <c r="A353" s="8"/>
      <c r="B353" s="8"/>
      <c r="C353" s="8"/>
      <c r="D353" s="8"/>
      <c r="E353" s="8"/>
      <c r="F353" s="8"/>
      <c r="G353" s="8"/>
      <c r="H353" s="8"/>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row>
    <row r="354" spans="1:39" ht="12.75" customHeight="1" x14ac:dyDescent="0.2">
      <c r="A354" s="8"/>
      <c r="B354" s="8"/>
      <c r="C354" s="8"/>
      <c r="D354" s="8"/>
      <c r="E354" s="8"/>
      <c r="F354" s="8"/>
      <c r="G354" s="8"/>
      <c r="H354" s="8"/>
      <c r="J354" s="8"/>
      <c r="K354" s="8"/>
      <c r="L354" s="8"/>
      <c r="M354" s="8"/>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8"/>
      <c r="AM354" s="8"/>
    </row>
    <row r="355" spans="1:39" ht="12.75" customHeight="1" x14ac:dyDescent="0.2">
      <c r="A355" s="8"/>
      <c r="B355" s="8"/>
      <c r="C355" s="8"/>
      <c r="D355" s="8"/>
      <c r="E355" s="8"/>
      <c r="F355" s="8"/>
      <c r="G355" s="8"/>
      <c r="H355" s="8"/>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row>
    <row r="356" spans="1:39" ht="12.75" customHeight="1" x14ac:dyDescent="0.2">
      <c r="A356" s="8"/>
      <c r="B356" s="8"/>
      <c r="C356" s="8"/>
      <c r="D356" s="8"/>
      <c r="E356" s="8"/>
      <c r="F356" s="8"/>
      <c r="G356" s="8"/>
      <c r="H356" s="8"/>
      <c r="J356" s="8"/>
      <c r="K356" s="8"/>
      <c r="L356" s="8"/>
      <c r="M356" s="8"/>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8"/>
      <c r="AM356" s="8"/>
    </row>
    <row r="357" spans="1:39" ht="12.75" customHeight="1" x14ac:dyDescent="0.2">
      <c r="A357" s="8"/>
      <c r="B357" s="8"/>
      <c r="C357" s="8"/>
      <c r="D357" s="8"/>
      <c r="E357" s="8"/>
      <c r="F357" s="8"/>
      <c r="G357" s="8"/>
      <c r="H357" s="8"/>
      <c r="J357" s="8"/>
      <c r="K357" s="8"/>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row>
    <row r="358" spans="1:39" ht="12.75" customHeight="1" x14ac:dyDescent="0.2">
      <c r="A358" s="8"/>
      <c r="B358" s="8"/>
      <c r="C358" s="8"/>
      <c r="D358" s="8"/>
      <c r="E358" s="8"/>
      <c r="F358" s="8"/>
      <c r="G358" s="8"/>
      <c r="H358" s="8"/>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8"/>
      <c r="AM358" s="8"/>
    </row>
    <row r="359" spans="1:39" ht="12.75" customHeight="1" x14ac:dyDescent="0.2">
      <c r="A359" s="8"/>
      <c r="B359" s="8"/>
      <c r="C359" s="8"/>
      <c r="D359" s="8"/>
      <c r="E359" s="8"/>
      <c r="F359" s="8"/>
      <c r="G359" s="8"/>
      <c r="H359" s="8"/>
      <c r="J359" s="8"/>
      <c r="K359" s="8"/>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row>
    <row r="360" spans="1:39" ht="12.75" customHeight="1" x14ac:dyDescent="0.2">
      <c r="A360" s="8"/>
      <c r="B360" s="8"/>
      <c r="C360" s="8"/>
      <c r="D360" s="8"/>
      <c r="E360" s="8"/>
      <c r="F360" s="8"/>
      <c r="G360" s="8"/>
      <c r="H360" s="8"/>
      <c r="J360" s="8"/>
      <c r="K360" s="8"/>
      <c r="L360" s="8"/>
      <c r="M360" s="8"/>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8"/>
      <c r="AM360" s="8"/>
    </row>
    <row r="361" spans="1:39" ht="12.75" customHeight="1" x14ac:dyDescent="0.2">
      <c r="A361" s="8"/>
      <c r="B361" s="8"/>
      <c r="C361" s="8"/>
      <c r="D361" s="8"/>
      <c r="E361" s="8"/>
      <c r="F361" s="8"/>
      <c r="G361" s="8"/>
      <c r="H361" s="8"/>
      <c r="J361" s="8"/>
      <c r="K361" s="8"/>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row>
    <row r="362" spans="1:39" ht="12.75" customHeight="1" x14ac:dyDescent="0.2">
      <c r="A362" s="8"/>
      <c r="B362" s="8"/>
      <c r="C362" s="8"/>
      <c r="D362" s="8"/>
      <c r="E362" s="8"/>
      <c r="F362" s="8"/>
      <c r="G362" s="8"/>
      <c r="H362" s="8"/>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8"/>
      <c r="AM362" s="8"/>
    </row>
    <row r="363" spans="1:39" ht="12.75" customHeight="1" x14ac:dyDescent="0.2">
      <c r="A363" s="8"/>
      <c r="B363" s="8"/>
      <c r="C363" s="8"/>
      <c r="D363" s="8"/>
      <c r="E363" s="8"/>
      <c r="F363" s="8"/>
      <c r="G363" s="8"/>
      <c r="H363" s="8"/>
      <c r="J363" s="8"/>
      <c r="K363" s="8"/>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row>
    <row r="364" spans="1:39" ht="12.75" customHeight="1" x14ac:dyDescent="0.2">
      <c r="A364" s="8"/>
      <c r="B364" s="8"/>
      <c r="C364" s="8"/>
      <c r="D364" s="8"/>
      <c r="E364" s="8"/>
      <c r="F364" s="8"/>
      <c r="G364" s="8"/>
      <c r="H364" s="8"/>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8"/>
      <c r="AM364" s="8"/>
    </row>
    <row r="365" spans="1:39" ht="12.75" customHeight="1" x14ac:dyDescent="0.2">
      <c r="A365" s="8"/>
      <c r="B365" s="8"/>
      <c r="C365" s="8"/>
      <c r="D365" s="8"/>
      <c r="E365" s="8"/>
      <c r="F365" s="8"/>
      <c r="G365" s="8"/>
      <c r="H365" s="8"/>
      <c r="J365" s="8"/>
      <c r="K365" s="8"/>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row>
    <row r="366" spans="1:39" ht="12.75" customHeight="1" x14ac:dyDescent="0.2">
      <c r="A366" s="8"/>
      <c r="B366" s="8"/>
      <c r="C366" s="8"/>
      <c r="D366" s="8"/>
      <c r="E366" s="8"/>
      <c r="F366" s="8"/>
      <c r="G366" s="8"/>
      <c r="H366" s="8"/>
      <c r="J366" s="8"/>
      <c r="K366" s="8"/>
      <c r="L366" s="8"/>
      <c r="M366" s="8"/>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8"/>
      <c r="AM366" s="8"/>
    </row>
    <row r="367" spans="1:39" ht="12.75" customHeight="1" x14ac:dyDescent="0.2">
      <c r="A367" s="8"/>
      <c r="B367" s="8"/>
      <c r="C367" s="8"/>
      <c r="D367" s="8"/>
      <c r="E367" s="8"/>
      <c r="F367" s="8"/>
      <c r="G367" s="8"/>
      <c r="H367" s="8"/>
      <c r="J367" s="8"/>
      <c r="K367" s="8"/>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row>
    <row r="368" spans="1:39" ht="12.75" customHeight="1" x14ac:dyDescent="0.2">
      <c r="A368" s="8"/>
      <c r="B368" s="8"/>
      <c r="C368" s="8"/>
      <c r="D368" s="8"/>
      <c r="E368" s="8"/>
      <c r="F368" s="8"/>
      <c r="G368" s="8"/>
      <c r="H368" s="8"/>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8"/>
      <c r="AM368" s="8"/>
    </row>
    <row r="369" spans="1:39" ht="12.75" customHeight="1" x14ac:dyDescent="0.2">
      <c r="A369" s="8"/>
      <c r="B369" s="8"/>
      <c r="C369" s="8"/>
      <c r="D369" s="8"/>
      <c r="E369" s="8"/>
      <c r="F369" s="8"/>
      <c r="G369" s="8"/>
      <c r="H369" s="8"/>
      <c r="J369" s="8"/>
      <c r="K369" s="8"/>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row>
    <row r="370" spans="1:39" ht="12.75" customHeight="1" x14ac:dyDescent="0.2">
      <c r="A370" s="8"/>
      <c r="B370" s="8"/>
      <c r="C370" s="8"/>
      <c r="D370" s="8"/>
      <c r="E370" s="8"/>
      <c r="F370" s="8"/>
      <c r="G370" s="8"/>
      <c r="H370" s="8"/>
      <c r="J370" s="8"/>
      <c r="K370" s="8"/>
      <c r="L370" s="8"/>
      <c r="M370" s="8"/>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8"/>
      <c r="AM370" s="8"/>
    </row>
    <row r="371" spans="1:39" ht="12.75" customHeight="1" x14ac:dyDescent="0.2">
      <c r="A371" s="8"/>
      <c r="B371" s="8"/>
      <c r="C371" s="8"/>
      <c r="D371" s="8"/>
      <c r="E371" s="8"/>
      <c r="F371" s="8"/>
      <c r="G371" s="8"/>
      <c r="H371" s="8"/>
      <c r="J371" s="8"/>
      <c r="K371" s="8"/>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row>
    <row r="372" spans="1:39" ht="12.75" customHeight="1" x14ac:dyDescent="0.2">
      <c r="A372" s="8"/>
      <c r="B372" s="8"/>
      <c r="C372" s="8"/>
      <c r="D372" s="8"/>
      <c r="E372" s="8"/>
      <c r="F372" s="8"/>
      <c r="G372" s="8"/>
      <c r="H372" s="8"/>
      <c r="J372" s="8"/>
      <c r="K372" s="8"/>
      <c r="L372" s="8"/>
      <c r="M372" s="8"/>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8"/>
      <c r="AM372" s="8"/>
    </row>
    <row r="373" spans="1:39" ht="12.75" customHeight="1" x14ac:dyDescent="0.2">
      <c r="A373" s="8"/>
      <c r="B373" s="8"/>
      <c r="C373" s="8"/>
      <c r="D373" s="8"/>
      <c r="E373" s="8"/>
      <c r="F373" s="8"/>
      <c r="G373" s="8"/>
      <c r="H373" s="8"/>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row>
    <row r="374" spans="1:39" ht="12.75" customHeight="1" x14ac:dyDescent="0.2">
      <c r="A374" s="8"/>
      <c r="B374" s="8"/>
      <c r="C374" s="8"/>
      <c r="D374" s="8"/>
      <c r="E374" s="8"/>
      <c r="F374" s="8"/>
      <c r="G374" s="8"/>
      <c r="H374" s="8"/>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8"/>
      <c r="AM374" s="8"/>
    </row>
    <row r="375" spans="1:39" ht="12.75" customHeight="1" x14ac:dyDescent="0.2">
      <c r="A375" s="8"/>
      <c r="B375" s="8"/>
      <c r="C375" s="8"/>
      <c r="D375" s="8"/>
      <c r="E375" s="8"/>
      <c r="F375" s="8"/>
      <c r="G375" s="8"/>
      <c r="H375" s="8"/>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row>
    <row r="376" spans="1:39" ht="12.75" customHeight="1" x14ac:dyDescent="0.2">
      <c r="A376" s="8"/>
      <c r="B376" s="8"/>
      <c r="C376" s="8"/>
      <c r="D376" s="8"/>
      <c r="E376" s="8"/>
      <c r="F376" s="8"/>
      <c r="G376" s="8"/>
      <c r="H376" s="8"/>
      <c r="J376" s="8"/>
      <c r="K376" s="8"/>
      <c r="L376" s="8"/>
      <c r="M376" s="8"/>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8"/>
      <c r="AM376" s="8"/>
    </row>
    <row r="377" spans="1:39" ht="12.75" customHeight="1" x14ac:dyDescent="0.2">
      <c r="A377" s="8"/>
      <c r="B377" s="8"/>
      <c r="C377" s="8"/>
      <c r="D377" s="8"/>
      <c r="E377" s="8"/>
      <c r="F377" s="8"/>
      <c r="G377" s="8"/>
      <c r="H377" s="8"/>
      <c r="J377" s="8"/>
      <c r="K377" s="8"/>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row>
    <row r="378" spans="1:39" ht="12.75" customHeight="1" x14ac:dyDescent="0.2">
      <c r="A378" s="8"/>
      <c r="B378" s="8"/>
      <c r="C378" s="8"/>
      <c r="D378" s="8"/>
      <c r="E378" s="8"/>
      <c r="F378" s="8"/>
      <c r="G378" s="8"/>
      <c r="H378" s="8"/>
      <c r="J378" s="8"/>
      <c r="K378" s="8"/>
      <c r="L378" s="8"/>
      <c r="M378" s="8"/>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8"/>
      <c r="AM378" s="8"/>
    </row>
    <row r="379" spans="1:39" ht="12.75" customHeight="1" x14ac:dyDescent="0.2">
      <c r="A379" s="8"/>
      <c r="B379" s="8"/>
      <c r="C379" s="8"/>
      <c r="D379" s="8"/>
      <c r="E379" s="8"/>
      <c r="F379" s="8"/>
      <c r="G379" s="8"/>
      <c r="H379" s="8"/>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row>
    <row r="380" spans="1:39" ht="12.75" customHeight="1" x14ac:dyDescent="0.2">
      <c r="A380" s="8"/>
      <c r="B380" s="8"/>
      <c r="C380" s="8"/>
      <c r="D380" s="8"/>
      <c r="E380" s="8"/>
      <c r="F380" s="8"/>
      <c r="G380" s="8"/>
      <c r="H380" s="8"/>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8"/>
      <c r="AM380" s="8"/>
    </row>
    <row r="381" spans="1:39" ht="12.75" customHeight="1" x14ac:dyDescent="0.2">
      <c r="A381" s="8"/>
      <c r="B381" s="8"/>
      <c r="C381" s="8"/>
      <c r="D381" s="8"/>
      <c r="E381" s="8"/>
      <c r="F381" s="8"/>
      <c r="G381" s="8"/>
      <c r="H381" s="8"/>
      <c r="J381" s="8"/>
      <c r="K381" s="8"/>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row>
    <row r="382" spans="1:39" ht="12.75" customHeight="1" x14ac:dyDescent="0.2">
      <c r="A382" s="8"/>
      <c r="B382" s="8"/>
      <c r="C382" s="8"/>
      <c r="D382" s="8"/>
      <c r="E382" s="8"/>
      <c r="F382" s="8"/>
      <c r="G382" s="8"/>
      <c r="H382" s="8"/>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8"/>
      <c r="AM382" s="8"/>
    </row>
    <row r="383" spans="1:39" ht="12.75" customHeight="1" x14ac:dyDescent="0.2">
      <c r="A383" s="8"/>
      <c r="B383" s="8"/>
      <c r="C383" s="8"/>
      <c r="D383" s="8"/>
      <c r="E383" s="8"/>
      <c r="F383" s="8"/>
      <c r="G383" s="8"/>
      <c r="H383" s="8"/>
      <c r="J383" s="8"/>
      <c r="K383" s="8"/>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row>
    <row r="384" spans="1:39" ht="12.75" customHeight="1" x14ac:dyDescent="0.2">
      <c r="A384" s="8"/>
      <c r="B384" s="8"/>
      <c r="C384" s="8"/>
      <c r="D384" s="8"/>
      <c r="E384" s="8"/>
      <c r="F384" s="8"/>
      <c r="G384" s="8"/>
      <c r="H384" s="8"/>
      <c r="J384" s="8"/>
      <c r="K384" s="8"/>
      <c r="L384" s="8"/>
      <c r="M384" s="8"/>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8"/>
      <c r="AM384" s="8"/>
    </row>
    <row r="385" spans="1:39" ht="12.75" customHeight="1" x14ac:dyDescent="0.2">
      <c r="A385" s="8"/>
      <c r="B385" s="8"/>
      <c r="C385" s="8"/>
      <c r="D385" s="8"/>
      <c r="E385" s="8"/>
      <c r="F385" s="8"/>
      <c r="G385" s="8"/>
      <c r="H385" s="8"/>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row>
    <row r="386" spans="1:39" ht="12.75" customHeight="1" x14ac:dyDescent="0.2">
      <c r="A386" s="8"/>
      <c r="B386" s="8"/>
      <c r="C386" s="8"/>
      <c r="D386" s="8"/>
      <c r="E386" s="8"/>
      <c r="F386" s="8"/>
      <c r="G386" s="8"/>
      <c r="H386" s="8"/>
      <c r="J386" s="8"/>
      <c r="K386" s="8"/>
      <c r="L386" s="8"/>
      <c r="M386" s="8"/>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8"/>
      <c r="AM386" s="8"/>
    </row>
    <row r="387" spans="1:39" ht="12.75" customHeight="1" x14ac:dyDescent="0.2">
      <c r="A387" s="8"/>
      <c r="B387" s="8"/>
      <c r="C387" s="8"/>
      <c r="D387" s="8"/>
      <c r="E387" s="8"/>
      <c r="F387" s="8"/>
      <c r="G387" s="8"/>
      <c r="H387" s="8"/>
      <c r="J387" s="8"/>
      <c r="K387" s="8"/>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row>
    <row r="388" spans="1:39" ht="12.75" customHeight="1" x14ac:dyDescent="0.2">
      <c r="A388" s="8"/>
      <c r="B388" s="8"/>
      <c r="C388" s="8"/>
      <c r="D388" s="8"/>
      <c r="E388" s="8"/>
      <c r="F388" s="8"/>
      <c r="G388" s="8"/>
      <c r="H388" s="8"/>
      <c r="J388" s="8"/>
      <c r="K388" s="8"/>
      <c r="L388" s="8"/>
      <c r="M388" s="8"/>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8"/>
      <c r="AM388" s="8"/>
    </row>
    <row r="389" spans="1:39" ht="12.75" customHeight="1" x14ac:dyDescent="0.2">
      <c r="A389" s="8"/>
      <c r="B389" s="8"/>
      <c r="C389" s="8"/>
      <c r="D389" s="8"/>
      <c r="E389" s="8"/>
      <c r="F389" s="8"/>
      <c r="G389" s="8"/>
      <c r="H389" s="8"/>
      <c r="J389" s="8"/>
      <c r="K389" s="8"/>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row>
    <row r="390" spans="1:39" ht="12.75" customHeight="1" x14ac:dyDescent="0.2">
      <c r="A390" s="8"/>
      <c r="B390" s="8"/>
      <c r="C390" s="8"/>
      <c r="D390" s="8"/>
      <c r="E390" s="8"/>
      <c r="F390" s="8"/>
      <c r="G390" s="8"/>
      <c r="H390" s="8"/>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8"/>
      <c r="AM390" s="8"/>
    </row>
    <row r="391" spans="1:39" ht="12.75" customHeight="1" x14ac:dyDescent="0.2">
      <c r="A391" s="8"/>
      <c r="B391" s="8"/>
      <c r="C391" s="8"/>
      <c r="D391" s="8"/>
      <c r="E391" s="8"/>
      <c r="F391" s="8"/>
      <c r="G391" s="8"/>
      <c r="H391" s="8"/>
      <c r="J391" s="8"/>
      <c r="K391" s="8"/>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row>
    <row r="392" spans="1:39" ht="12.75" customHeight="1" x14ac:dyDescent="0.2">
      <c r="A392" s="8"/>
      <c r="B392" s="8"/>
      <c r="C392" s="8"/>
      <c r="D392" s="8"/>
      <c r="E392" s="8"/>
      <c r="F392" s="8"/>
      <c r="G392" s="8"/>
      <c r="H392" s="8"/>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8"/>
      <c r="AM392" s="8"/>
    </row>
    <row r="393" spans="1:39" ht="12.75" customHeight="1" x14ac:dyDescent="0.2">
      <c r="A393" s="8"/>
      <c r="B393" s="8"/>
      <c r="C393" s="8"/>
      <c r="D393" s="8"/>
      <c r="E393" s="8"/>
      <c r="F393" s="8"/>
      <c r="G393" s="8"/>
      <c r="H393" s="8"/>
      <c r="J393" s="8"/>
      <c r="K393" s="8"/>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row>
    <row r="394" spans="1:39" ht="12.75" customHeight="1" x14ac:dyDescent="0.2">
      <c r="A394" s="8"/>
      <c r="B394" s="8"/>
      <c r="C394" s="8"/>
      <c r="D394" s="8"/>
      <c r="E394" s="8"/>
      <c r="F394" s="8"/>
      <c r="G394" s="8"/>
      <c r="H394" s="8"/>
      <c r="J394" s="8"/>
      <c r="K394" s="8"/>
      <c r="L394" s="8"/>
      <c r="M394" s="8"/>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8"/>
      <c r="AM394" s="8"/>
    </row>
    <row r="395" spans="1:39" ht="12.75" customHeight="1" x14ac:dyDescent="0.2">
      <c r="A395" s="8"/>
      <c r="B395" s="8"/>
      <c r="C395" s="8"/>
      <c r="D395" s="8"/>
      <c r="E395" s="8"/>
      <c r="F395" s="8"/>
      <c r="G395" s="8"/>
      <c r="H395" s="8"/>
      <c r="J395" s="8"/>
      <c r="K395" s="8"/>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row>
    <row r="396" spans="1:39" ht="12.75" customHeight="1" x14ac:dyDescent="0.2">
      <c r="A396" s="8"/>
      <c r="B396" s="8"/>
      <c r="C396" s="8"/>
      <c r="D396" s="8"/>
      <c r="E396" s="8"/>
      <c r="F396" s="8"/>
      <c r="G396" s="8"/>
      <c r="H396" s="8"/>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8"/>
      <c r="AM396" s="8"/>
    </row>
    <row r="397" spans="1:39" ht="12.75" customHeight="1" x14ac:dyDescent="0.2">
      <c r="A397" s="8"/>
      <c r="B397" s="8"/>
      <c r="C397" s="8"/>
      <c r="D397" s="8"/>
      <c r="E397" s="8"/>
      <c r="F397" s="8"/>
      <c r="G397" s="8"/>
      <c r="H397" s="8"/>
      <c r="J397" s="8"/>
      <c r="K397" s="8"/>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row>
    <row r="398" spans="1:39" ht="12.75" customHeight="1" x14ac:dyDescent="0.2">
      <c r="A398" s="8"/>
      <c r="B398" s="8"/>
      <c r="C398" s="8"/>
      <c r="D398" s="8"/>
      <c r="E398" s="8"/>
      <c r="F398" s="8"/>
      <c r="G398" s="8"/>
      <c r="H398" s="8"/>
      <c r="J398" s="8"/>
      <c r="K398" s="8"/>
      <c r="L398" s="8"/>
      <c r="M398" s="8"/>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8"/>
      <c r="AM398" s="8"/>
    </row>
    <row r="399" spans="1:39" ht="12.75" customHeight="1" x14ac:dyDescent="0.2">
      <c r="A399" s="8"/>
      <c r="B399" s="8"/>
      <c r="C399" s="8"/>
      <c r="D399" s="8"/>
      <c r="E399" s="8"/>
      <c r="F399" s="8"/>
      <c r="G399" s="8"/>
      <c r="H399" s="8"/>
      <c r="J399" s="8"/>
      <c r="K399" s="8"/>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row>
    <row r="400" spans="1:39" ht="12.75" customHeight="1" x14ac:dyDescent="0.2">
      <c r="A400" s="8"/>
      <c r="B400" s="8"/>
      <c r="C400" s="8"/>
      <c r="D400" s="8"/>
      <c r="E400" s="8"/>
      <c r="F400" s="8"/>
      <c r="G400" s="8"/>
      <c r="H400" s="8"/>
      <c r="J400" s="8"/>
      <c r="K400" s="8"/>
      <c r="L400" s="8"/>
      <c r="M400" s="8"/>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8"/>
      <c r="AM400" s="8"/>
    </row>
    <row r="401" spans="1:39" ht="12.75" customHeight="1" x14ac:dyDescent="0.2">
      <c r="A401" s="8"/>
      <c r="B401" s="8"/>
      <c r="C401" s="8"/>
      <c r="D401" s="8"/>
      <c r="E401" s="8"/>
      <c r="F401" s="8"/>
      <c r="G401" s="8"/>
      <c r="H401" s="8"/>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row>
    <row r="402" spans="1:39" ht="12.75" customHeight="1" x14ac:dyDescent="0.2">
      <c r="A402" s="8"/>
      <c r="B402" s="8"/>
      <c r="C402" s="8"/>
      <c r="D402" s="8"/>
      <c r="E402" s="8"/>
      <c r="F402" s="8"/>
      <c r="G402" s="8"/>
      <c r="H402" s="8"/>
      <c r="J402" s="8"/>
      <c r="K402" s="8"/>
      <c r="L402" s="8"/>
      <c r="M402" s="8"/>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8"/>
      <c r="AM402" s="8"/>
    </row>
    <row r="403" spans="1:39" ht="12.75" customHeight="1" x14ac:dyDescent="0.2">
      <c r="A403" s="8"/>
      <c r="B403" s="8"/>
      <c r="C403" s="8"/>
      <c r="D403" s="8"/>
      <c r="E403" s="8"/>
      <c r="F403" s="8"/>
      <c r="G403" s="8"/>
      <c r="H403" s="8"/>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row>
    <row r="404" spans="1:39" ht="12.75" customHeight="1" x14ac:dyDescent="0.2">
      <c r="A404" s="8"/>
      <c r="B404" s="8"/>
      <c r="C404" s="8"/>
      <c r="D404" s="8"/>
      <c r="E404" s="8"/>
      <c r="F404" s="8"/>
      <c r="G404" s="8"/>
      <c r="H404" s="8"/>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8"/>
      <c r="AM404" s="8"/>
    </row>
    <row r="405" spans="1:39" ht="12.75" customHeight="1" x14ac:dyDescent="0.2">
      <c r="A405" s="8"/>
      <c r="B405" s="8"/>
      <c r="C405" s="8"/>
      <c r="D405" s="8"/>
      <c r="E405" s="8"/>
      <c r="F405" s="8"/>
      <c r="G405" s="8"/>
      <c r="H405" s="8"/>
      <c r="J405" s="8"/>
      <c r="K405" s="8"/>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row>
    <row r="406" spans="1:39" ht="12.75" customHeight="1" x14ac:dyDescent="0.2">
      <c r="A406" s="8"/>
      <c r="B406" s="8"/>
      <c r="C406" s="8"/>
      <c r="D406" s="8"/>
      <c r="E406" s="8"/>
      <c r="F406" s="8"/>
      <c r="G406" s="8"/>
      <c r="H406" s="8"/>
      <c r="J406" s="8"/>
      <c r="K406" s="8"/>
      <c r="L406" s="8"/>
      <c r="M406" s="8"/>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8"/>
      <c r="AM406" s="8"/>
    </row>
    <row r="407" spans="1:39" ht="12.75" customHeight="1" x14ac:dyDescent="0.2">
      <c r="A407" s="8"/>
      <c r="B407" s="8"/>
      <c r="C407" s="8"/>
      <c r="D407" s="8"/>
      <c r="E407" s="8"/>
      <c r="F407" s="8"/>
      <c r="G407" s="8"/>
      <c r="H407" s="8"/>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row>
    <row r="408" spans="1:39" ht="12.75" customHeight="1" x14ac:dyDescent="0.2">
      <c r="A408" s="8"/>
      <c r="B408" s="8"/>
      <c r="C408" s="8"/>
      <c r="D408" s="8"/>
      <c r="E408" s="8"/>
      <c r="F408" s="8"/>
      <c r="G408" s="8"/>
      <c r="H408" s="8"/>
      <c r="J408" s="8"/>
      <c r="K408" s="8"/>
      <c r="L408" s="8"/>
      <c r="M408" s="8"/>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8"/>
      <c r="AM408" s="8"/>
    </row>
    <row r="409" spans="1:39" ht="12.75" customHeight="1" x14ac:dyDescent="0.2">
      <c r="A409" s="8"/>
      <c r="B409" s="8"/>
      <c r="C409" s="8"/>
      <c r="D409" s="8"/>
      <c r="E409" s="8"/>
      <c r="F409" s="8"/>
      <c r="G409" s="8"/>
      <c r="H409" s="8"/>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row>
    <row r="410" spans="1:39" ht="12.75" customHeight="1" x14ac:dyDescent="0.2">
      <c r="A410" s="8"/>
      <c r="B410" s="8"/>
      <c r="C410" s="8"/>
      <c r="D410" s="8"/>
      <c r="E410" s="8"/>
      <c r="F410" s="8"/>
      <c r="G410" s="8"/>
      <c r="H410" s="8"/>
      <c r="J410" s="8"/>
      <c r="K410" s="8"/>
      <c r="L410" s="8"/>
      <c r="M410" s="8"/>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row>
    <row r="411" spans="1:39" ht="12.75" customHeight="1" x14ac:dyDescent="0.2">
      <c r="A411" s="8"/>
      <c r="B411" s="8"/>
      <c r="C411" s="8"/>
      <c r="D411" s="8"/>
      <c r="E411" s="8"/>
      <c r="F411" s="8"/>
      <c r="G411" s="8"/>
      <c r="H411" s="8"/>
      <c r="J411" s="8"/>
      <c r="K411" s="8"/>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row>
    <row r="412" spans="1:39" ht="12.75" customHeight="1" x14ac:dyDescent="0.2">
      <c r="A412" s="8"/>
      <c r="B412" s="8"/>
      <c r="C412" s="8"/>
      <c r="D412" s="8"/>
      <c r="E412" s="8"/>
      <c r="F412" s="8"/>
      <c r="G412" s="8"/>
      <c r="H412" s="8"/>
      <c r="J412" s="8"/>
      <c r="K412" s="8"/>
      <c r="L412" s="8"/>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row>
    <row r="413" spans="1:39" ht="12.75" customHeight="1" x14ac:dyDescent="0.2">
      <c r="A413" s="8"/>
      <c r="B413" s="8"/>
      <c r="C413" s="8"/>
      <c r="D413" s="8"/>
      <c r="E413" s="8"/>
      <c r="F413" s="8"/>
      <c r="G413" s="8"/>
      <c r="H413" s="8"/>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row>
    <row r="414" spans="1:39" ht="12.75" customHeight="1" x14ac:dyDescent="0.2">
      <c r="A414" s="8"/>
      <c r="B414" s="8"/>
      <c r="C414" s="8"/>
      <c r="D414" s="8"/>
      <c r="E414" s="8"/>
      <c r="F414" s="8"/>
      <c r="G414" s="8"/>
      <c r="H414" s="8"/>
      <c r="J414" s="8"/>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row>
    <row r="415" spans="1:39" ht="12.75" customHeight="1" x14ac:dyDescent="0.2">
      <c r="A415" s="8"/>
      <c r="B415" s="8"/>
      <c r="C415" s="8"/>
      <c r="D415" s="8"/>
      <c r="E415" s="8"/>
      <c r="F415" s="8"/>
      <c r="G415" s="8"/>
      <c r="H415" s="8"/>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row>
    <row r="416" spans="1:39" ht="12.75" customHeight="1" x14ac:dyDescent="0.2">
      <c r="A416" s="8"/>
      <c r="B416" s="8"/>
      <c r="C416" s="8"/>
      <c r="D416" s="8"/>
      <c r="E416" s="8"/>
      <c r="F416" s="8"/>
      <c r="G416" s="8"/>
      <c r="H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row>
    <row r="417" spans="1:39" ht="12.75" customHeight="1" x14ac:dyDescent="0.2">
      <c r="A417" s="8"/>
      <c r="B417" s="8"/>
      <c r="C417" s="8"/>
      <c r="D417" s="8"/>
      <c r="E417" s="8"/>
      <c r="F417" s="8"/>
      <c r="G417" s="8"/>
      <c r="H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row>
    <row r="418" spans="1:39" ht="12.75" customHeight="1" x14ac:dyDescent="0.2">
      <c r="A418" s="8"/>
      <c r="B418" s="8"/>
      <c r="C418" s="8"/>
      <c r="D418" s="8"/>
      <c r="E418" s="8"/>
      <c r="F418" s="8"/>
      <c r="G418" s="8"/>
      <c r="H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row>
    <row r="419" spans="1:39" ht="12.75" customHeight="1" x14ac:dyDescent="0.2">
      <c r="A419" s="8"/>
      <c r="B419" s="8"/>
      <c r="C419" s="8"/>
      <c r="D419" s="8"/>
      <c r="E419" s="8"/>
      <c r="F419" s="8"/>
      <c r="G419" s="8"/>
      <c r="H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row>
    <row r="420" spans="1:39" ht="12.75" customHeight="1" x14ac:dyDescent="0.2">
      <c r="A420" s="8"/>
      <c r="B420" s="8"/>
      <c r="C420" s="8"/>
      <c r="D420" s="8"/>
      <c r="E420" s="8"/>
      <c r="F420" s="8"/>
      <c r="G420" s="8"/>
      <c r="H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row>
    <row r="421" spans="1:39" ht="12.75" customHeight="1" x14ac:dyDescent="0.2">
      <c r="A421" s="8"/>
      <c r="B421" s="8"/>
      <c r="C421" s="8"/>
      <c r="D421" s="8"/>
      <c r="E421" s="8"/>
      <c r="F421" s="8"/>
      <c r="G421" s="8"/>
      <c r="H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row>
    <row r="422" spans="1:39" ht="12.75" customHeight="1" x14ac:dyDescent="0.2">
      <c r="A422" s="8"/>
      <c r="B422" s="8"/>
      <c r="C422" s="8"/>
      <c r="D422" s="8"/>
      <c r="E422" s="8"/>
      <c r="F422" s="8"/>
      <c r="G422" s="8"/>
      <c r="H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row>
    <row r="423" spans="1:39" ht="12.75" customHeight="1" x14ac:dyDescent="0.2">
      <c r="A423" s="8"/>
      <c r="B423" s="8"/>
      <c r="C423" s="8"/>
      <c r="D423" s="8"/>
      <c r="E423" s="8"/>
      <c r="F423" s="8"/>
      <c r="G423" s="8"/>
      <c r="H423" s="8"/>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row>
    <row r="424" spans="1:39" ht="12.75" customHeight="1" x14ac:dyDescent="0.2">
      <c r="A424" s="8"/>
      <c r="B424" s="8"/>
      <c r="C424" s="8"/>
      <c r="D424" s="8"/>
      <c r="E424" s="8"/>
      <c r="F424" s="8"/>
      <c r="G424" s="8"/>
      <c r="H424" s="8"/>
      <c r="J424" s="8"/>
      <c r="K424" s="8"/>
      <c r="L424" s="8"/>
      <c r="M424" s="8"/>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8"/>
      <c r="AM424" s="8"/>
    </row>
    <row r="425" spans="1:39" ht="12.75" customHeight="1" x14ac:dyDescent="0.2">
      <c r="A425" s="8"/>
      <c r="B425" s="8"/>
      <c r="C425" s="8"/>
      <c r="D425" s="8"/>
      <c r="E425" s="8"/>
      <c r="F425" s="8"/>
      <c r="G425" s="8"/>
      <c r="H425" s="8"/>
      <c r="J425" s="8"/>
      <c r="K425" s="8"/>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row>
    <row r="426" spans="1:39" ht="12.75" customHeight="1" x14ac:dyDescent="0.2">
      <c r="A426" s="8"/>
      <c r="B426" s="8"/>
      <c r="C426" s="8"/>
      <c r="D426" s="8"/>
      <c r="E426" s="8"/>
      <c r="F426" s="8"/>
      <c r="G426" s="8"/>
      <c r="H426" s="8"/>
      <c r="J426" s="8"/>
      <c r="K426" s="8"/>
      <c r="L426" s="8"/>
      <c r="M426" s="8"/>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8"/>
      <c r="AM426" s="8"/>
    </row>
    <row r="427" spans="1:39" ht="12.75" customHeight="1" x14ac:dyDescent="0.2">
      <c r="A427" s="8"/>
      <c r="B427" s="8"/>
      <c r="C427" s="8"/>
      <c r="D427" s="8"/>
      <c r="E427" s="8"/>
      <c r="F427" s="8"/>
      <c r="G427" s="8"/>
      <c r="H427" s="8"/>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row>
    <row r="428" spans="1:39" ht="12.75" customHeight="1" x14ac:dyDescent="0.2">
      <c r="A428" s="8"/>
      <c r="B428" s="8"/>
      <c r="C428" s="8"/>
      <c r="D428" s="8"/>
      <c r="E428" s="8"/>
      <c r="F428" s="8"/>
      <c r="G428" s="8"/>
      <c r="H428" s="8"/>
      <c r="J428" s="8"/>
      <c r="K428" s="8"/>
      <c r="L428" s="8"/>
      <c r="M428" s="8"/>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8"/>
      <c r="AM428" s="8"/>
    </row>
    <row r="429" spans="1:39" ht="12.75" customHeight="1" x14ac:dyDescent="0.2">
      <c r="A429" s="8"/>
      <c r="B429" s="8"/>
      <c r="C429" s="8"/>
      <c r="D429" s="8"/>
      <c r="E429" s="8"/>
      <c r="F429" s="8"/>
      <c r="G429" s="8"/>
      <c r="H429" s="8"/>
      <c r="J429" s="8"/>
      <c r="K429" s="8"/>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row>
    <row r="430" spans="1:39" ht="12.75" customHeight="1" x14ac:dyDescent="0.2">
      <c r="A430" s="8"/>
      <c r="B430" s="8"/>
      <c r="C430" s="8"/>
      <c r="D430" s="8"/>
      <c r="E430" s="8"/>
      <c r="F430" s="8"/>
      <c r="G430" s="8"/>
      <c r="H430" s="8"/>
      <c r="J430" s="8"/>
      <c r="K430" s="8"/>
      <c r="L430" s="8"/>
      <c r="M430" s="8"/>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8"/>
      <c r="AM430" s="8"/>
    </row>
    <row r="431" spans="1:39" ht="12.75" customHeight="1" x14ac:dyDescent="0.2">
      <c r="A431" s="8"/>
      <c r="B431" s="8"/>
      <c r="C431" s="8"/>
      <c r="D431" s="8"/>
      <c r="E431" s="8"/>
      <c r="F431" s="8"/>
      <c r="G431" s="8"/>
      <c r="H431" s="8"/>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row>
    <row r="432" spans="1:39" ht="12.75" customHeight="1" x14ac:dyDescent="0.2">
      <c r="A432" s="8"/>
      <c r="B432" s="8"/>
      <c r="C432" s="8"/>
      <c r="D432" s="8"/>
      <c r="E432" s="8"/>
      <c r="F432" s="8"/>
      <c r="G432" s="8"/>
      <c r="H432" s="8"/>
      <c r="J432" s="8"/>
      <c r="K432" s="8"/>
      <c r="L432" s="8"/>
      <c r="M432" s="8"/>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8"/>
      <c r="AM432" s="8"/>
    </row>
    <row r="433" spans="1:39" ht="12.75" customHeight="1" x14ac:dyDescent="0.2">
      <c r="A433" s="8"/>
      <c r="B433" s="8"/>
      <c r="C433" s="8"/>
      <c r="D433" s="8"/>
      <c r="E433" s="8"/>
      <c r="F433" s="8"/>
      <c r="G433" s="8"/>
      <c r="H433" s="8"/>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row>
    <row r="434" spans="1:39" ht="12.75" customHeight="1" x14ac:dyDescent="0.2">
      <c r="A434" s="8"/>
      <c r="B434" s="8"/>
      <c r="C434" s="8"/>
      <c r="D434" s="8"/>
      <c r="E434" s="8"/>
      <c r="F434" s="8"/>
      <c r="G434" s="8"/>
      <c r="H434" s="8"/>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8"/>
      <c r="AM434" s="8"/>
    </row>
    <row r="435" spans="1:39" ht="12.75" customHeight="1" x14ac:dyDescent="0.2">
      <c r="A435" s="8"/>
      <c r="B435" s="8"/>
      <c r="C435" s="8"/>
      <c r="D435" s="8"/>
      <c r="E435" s="8"/>
      <c r="F435" s="8"/>
      <c r="G435" s="8"/>
      <c r="H435" s="8"/>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row>
    <row r="436" spans="1:39" ht="12.75" customHeight="1" x14ac:dyDescent="0.2">
      <c r="A436" s="8"/>
      <c r="B436" s="8"/>
      <c r="C436" s="8"/>
      <c r="D436" s="8"/>
      <c r="E436" s="8"/>
      <c r="F436" s="8"/>
      <c r="G436" s="8"/>
      <c r="H436" s="8"/>
      <c r="J436" s="8"/>
      <c r="K436" s="8"/>
      <c r="L436" s="8"/>
      <c r="M436" s="8"/>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8"/>
      <c r="AM436" s="8"/>
    </row>
    <row r="437" spans="1:39" ht="12.75" customHeight="1" x14ac:dyDescent="0.2">
      <c r="A437" s="8"/>
      <c r="B437" s="8"/>
      <c r="C437" s="8"/>
      <c r="D437" s="8"/>
      <c r="E437" s="8"/>
      <c r="F437" s="8"/>
      <c r="G437" s="8"/>
      <c r="H437" s="8"/>
      <c r="J437" s="8"/>
      <c r="K437" s="8"/>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row>
    <row r="438" spans="1:39" ht="12.75" customHeight="1" x14ac:dyDescent="0.2">
      <c r="A438" s="8"/>
      <c r="B438" s="8"/>
      <c r="C438" s="8"/>
      <c r="D438" s="8"/>
      <c r="E438" s="8"/>
      <c r="F438" s="8"/>
      <c r="G438" s="8"/>
      <c r="H438" s="8"/>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8"/>
      <c r="AM438" s="8"/>
    </row>
    <row r="439" spans="1:39" ht="12.75" customHeight="1" x14ac:dyDescent="0.2">
      <c r="A439" s="8"/>
      <c r="B439" s="8"/>
      <c r="C439" s="8"/>
      <c r="D439" s="8"/>
      <c r="E439" s="8"/>
      <c r="F439" s="8"/>
      <c r="G439" s="8"/>
      <c r="H439" s="8"/>
      <c r="J439" s="8"/>
      <c r="K439" s="8"/>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row>
    <row r="440" spans="1:39" ht="12.75" customHeight="1" x14ac:dyDescent="0.2">
      <c r="A440" s="8"/>
      <c r="B440" s="8"/>
      <c r="C440" s="8"/>
      <c r="D440" s="8"/>
      <c r="E440" s="8"/>
      <c r="F440" s="8"/>
      <c r="G440" s="8"/>
      <c r="H440" s="8"/>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8"/>
      <c r="AM440" s="8"/>
    </row>
    <row r="441" spans="1:39" ht="12.75" customHeight="1" x14ac:dyDescent="0.2">
      <c r="A441" s="8"/>
      <c r="B441" s="8"/>
      <c r="C441" s="8"/>
      <c r="D441" s="8"/>
      <c r="E441" s="8"/>
      <c r="F441" s="8"/>
      <c r="G441" s="8"/>
      <c r="H441" s="8"/>
      <c r="J441" s="8"/>
      <c r="K441" s="8"/>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row>
    <row r="442" spans="1:39" ht="12.75" customHeight="1" x14ac:dyDescent="0.2">
      <c r="A442" s="8"/>
      <c r="B442" s="8"/>
      <c r="C442" s="8"/>
      <c r="D442" s="8"/>
      <c r="E442" s="8"/>
      <c r="F442" s="8"/>
      <c r="G442" s="8"/>
      <c r="H442" s="8"/>
      <c r="J442" s="8"/>
      <c r="K442" s="8"/>
      <c r="L442" s="8"/>
      <c r="M442" s="8"/>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8"/>
      <c r="AM442" s="8"/>
    </row>
    <row r="443" spans="1:39" ht="12.75" customHeight="1" x14ac:dyDescent="0.2">
      <c r="A443" s="8"/>
      <c r="B443" s="8"/>
      <c r="C443" s="8"/>
      <c r="D443" s="8"/>
      <c r="E443" s="8"/>
      <c r="F443" s="8"/>
      <c r="G443" s="8"/>
      <c r="H443" s="8"/>
      <c r="J443" s="8"/>
      <c r="K443" s="8"/>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row>
    <row r="444" spans="1:39" ht="12.75" customHeight="1" x14ac:dyDescent="0.2">
      <c r="A444" s="8"/>
      <c r="B444" s="8"/>
      <c r="C444" s="8"/>
      <c r="D444" s="8"/>
      <c r="E444" s="8"/>
      <c r="F444" s="8"/>
      <c r="G444" s="8"/>
      <c r="H444" s="8"/>
      <c r="J444" s="8"/>
      <c r="K444" s="8"/>
      <c r="L444" s="8"/>
      <c r="M444" s="8"/>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8"/>
      <c r="AM444" s="8"/>
    </row>
    <row r="445" spans="1:39" ht="12.75" customHeight="1" x14ac:dyDescent="0.2">
      <c r="A445" s="8"/>
      <c r="B445" s="8"/>
      <c r="C445" s="8"/>
      <c r="D445" s="8"/>
      <c r="E445" s="8"/>
      <c r="F445" s="8"/>
      <c r="G445" s="8"/>
      <c r="H445" s="8"/>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row>
    <row r="446" spans="1:39" ht="12.75" customHeight="1" x14ac:dyDescent="0.2">
      <c r="A446" s="8"/>
      <c r="B446" s="8"/>
      <c r="C446" s="8"/>
      <c r="D446" s="8"/>
      <c r="E446" s="8"/>
      <c r="F446" s="8"/>
      <c r="G446" s="8"/>
      <c r="H446" s="8"/>
      <c r="J446" s="8"/>
      <c r="K446" s="8"/>
      <c r="L446" s="8"/>
      <c r="M446" s="8"/>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8"/>
      <c r="AM446" s="8"/>
    </row>
    <row r="447" spans="1:39" ht="12.75" customHeight="1" x14ac:dyDescent="0.2">
      <c r="A447" s="8"/>
      <c r="B447" s="8"/>
      <c r="C447" s="8"/>
      <c r="D447" s="8"/>
      <c r="E447" s="8"/>
      <c r="F447" s="8"/>
      <c r="G447" s="8"/>
      <c r="H447" s="8"/>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row>
    <row r="448" spans="1:39" ht="12.75" customHeight="1" x14ac:dyDescent="0.2">
      <c r="A448" s="8"/>
      <c r="B448" s="8"/>
      <c r="C448" s="8"/>
      <c r="D448" s="8"/>
      <c r="E448" s="8"/>
      <c r="F448" s="8"/>
      <c r="G448" s="8"/>
      <c r="H448" s="8"/>
      <c r="J448" s="8"/>
      <c r="K448" s="8"/>
      <c r="L448" s="8"/>
      <c r="M448" s="8"/>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8"/>
      <c r="AM448" s="8"/>
    </row>
    <row r="449" spans="1:39" ht="12.75" customHeight="1" x14ac:dyDescent="0.2">
      <c r="A449" s="8"/>
      <c r="B449" s="8"/>
      <c r="C449" s="8"/>
      <c r="D449" s="8"/>
      <c r="E449" s="8"/>
      <c r="F449" s="8"/>
      <c r="G449" s="8"/>
      <c r="H449" s="8"/>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row>
    <row r="450" spans="1:39" ht="12.75" customHeight="1" x14ac:dyDescent="0.2">
      <c r="A450" s="8"/>
      <c r="B450" s="8"/>
      <c r="C450" s="8"/>
      <c r="D450" s="8"/>
      <c r="E450" s="8"/>
      <c r="F450" s="8"/>
      <c r="G450" s="8"/>
      <c r="H450" s="8"/>
      <c r="J450" s="8"/>
      <c r="K450" s="8"/>
      <c r="L450" s="8"/>
      <c r="M450" s="8"/>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8"/>
      <c r="AM450" s="8"/>
    </row>
    <row r="451" spans="1:39" ht="12.75" customHeight="1" x14ac:dyDescent="0.2">
      <c r="A451" s="8"/>
      <c r="B451" s="8"/>
      <c r="C451" s="8"/>
      <c r="D451" s="8"/>
      <c r="E451" s="8"/>
      <c r="F451" s="8"/>
      <c r="G451" s="8"/>
      <c r="H451" s="8"/>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row>
    <row r="452" spans="1:39" ht="12.75" customHeight="1" x14ac:dyDescent="0.2">
      <c r="A452" s="8"/>
      <c r="B452" s="8"/>
      <c r="C452" s="8"/>
      <c r="D452" s="8"/>
      <c r="E452" s="8"/>
      <c r="F452" s="8"/>
      <c r="G452" s="8"/>
      <c r="H452" s="8"/>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8"/>
      <c r="AM452" s="8"/>
    </row>
    <row r="453" spans="1:39" ht="12.75" customHeight="1" x14ac:dyDescent="0.2">
      <c r="A453" s="8"/>
      <c r="B453" s="8"/>
      <c r="C453" s="8"/>
      <c r="D453" s="8"/>
      <c r="E453" s="8"/>
      <c r="F453" s="8"/>
      <c r="G453" s="8"/>
      <c r="H453" s="8"/>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row>
    <row r="454" spans="1:39" ht="12.75" customHeight="1" x14ac:dyDescent="0.2">
      <c r="A454" s="8"/>
      <c r="B454" s="8"/>
      <c r="C454" s="8"/>
      <c r="D454" s="8"/>
      <c r="E454" s="8"/>
      <c r="F454" s="8"/>
      <c r="G454" s="8"/>
      <c r="H454" s="8"/>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8"/>
      <c r="AM454" s="8"/>
    </row>
    <row r="455" spans="1:39" ht="12.75" customHeight="1" x14ac:dyDescent="0.2">
      <c r="A455" s="8"/>
      <c r="B455" s="8"/>
      <c r="C455" s="8"/>
      <c r="D455" s="8"/>
      <c r="E455" s="8"/>
      <c r="F455" s="8"/>
      <c r="G455" s="8"/>
      <c r="H455" s="8"/>
      <c r="J455" s="8"/>
      <c r="K455" s="8"/>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row>
    <row r="456" spans="1:39" ht="12.75" customHeight="1" x14ac:dyDescent="0.2">
      <c r="A456" s="8"/>
      <c r="B456" s="8"/>
      <c r="C456" s="8"/>
      <c r="D456" s="8"/>
      <c r="E456" s="8"/>
      <c r="F456" s="8"/>
      <c r="G456" s="8"/>
      <c r="H456" s="8"/>
      <c r="J456" s="8"/>
      <c r="K456" s="8"/>
      <c r="L456" s="8"/>
      <c r="M456" s="8"/>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8"/>
      <c r="AM456" s="8"/>
    </row>
    <row r="457" spans="1:39" ht="12.75" customHeight="1" x14ac:dyDescent="0.2">
      <c r="A457" s="8"/>
      <c r="B457" s="8"/>
      <c r="C457" s="8"/>
      <c r="D457" s="8"/>
      <c r="E457" s="8"/>
      <c r="F457" s="8"/>
      <c r="G457" s="8"/>
      <c r="H457" s="8"/>
      <c r="J457" s="8"/>
      <c r="K457" s="8"/>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row>
    <row r="458" spans="1:39" ht="12.75" customHeight="1" x14ac:dyDescent="0.2">
      <c r="A458" s="8"/>
      <c r="B458" s="8"/>
      <c r="C458" s="8"/>
      <c r="D458" s="8"/>
      <c r="E458" s="8"/>
      <c r="F458" s="8"/>
      <c r="G458" s="8"/>
      <c r="H458" s="8"/>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8"/>
      <c r="AM458" s="8"/>
    </row>
    <row r="459" spans="1:39" ht="12.75" customHeight="1" x14ac:dyDescent="0.2">
      <c r="A459" s="8"/>
      <c r="B459" s="8"/>
      <c r="C459" s="8"/>
      <c r="D459" s="8"/>
      <c r="E459" s="8"/>
      <c r="F459" s="8"/>
      <c r="G459" s="8"/>
      <c r="H459" s="8"/>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row>
    <row r="460" spans="1:39" ht="12.75" customHeight="1" x14ac:dyDescent="0.2">
      <c r="A460" s="8"/>
      <c r="B460" s="8"/>
      <c r="C460" s="8"/>
      <c r="D460" s="8"/>
      <c r="E460" s="8"/>
      <c r="F460" s="8"/>
      <c r="G460" s="8"/>
      <c r="H460" s="8"/>
      <c r="J460" s="8"/>
      <c r="K460" s="8"/>
      <c r="L460" s="8"/>
      <c r="M460" s="8"/>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8"/>
      <c r="AM460" s="8"/>
    </row>
    <row r="461" spans="1:39" ht="12.75" customHeight="1" x14ac:dyDescent="0.2">
      <c r="A461" s="8"/>
      <c r="B461" s="8"/>
      <c r="C461" s="8"/>
      <c r="D461" s="8"/>
      <c r="E461" s="8"/>
      <c r="F461" s="8"/>
      <c r="G461" s="8"/>
      <c r="H461" s="8"/>
      <c r="J461" s="8"/>
      <c r="K461" s="8"/>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row>
    <row r="462" spans="1:39" ht="12.75" customHeight="1" x14ac:dyDescent="0.2">
      <c r="A462" s="8"/>
      <c r="B462" s="8"/>
      <c r="C462" s="8"/>
      <c r="D462" s="8"/>
      <c r="E462" s="8"/>
      <c r="F462" s="8"/>
      <c r="G462" s="8"/>
      <c r="H462" s="8"/>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8"/>
      <c r="AM462" s="8"/>
    </row>
    <row r="463" spans="1:39" ht="12.75" customHeight="1" x14ac:dyDescent="0.2">
      <c r="A463" s="8"/>
      <c r="B463" s="8"/>
      <c r="C463" s="8"/>
      <c r="D463" s="8"/>
      <c r="E463" s="8"/>
      <c r="F463" s="8"/>
      <c r="G463" s="8"/>
      <c r="H463" s="8"/>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row>
    <row r="464" spans="1:39" ht="12.75" customHeight="1" x14ac:dyDescent="0.2">
      <c r="A464" s="8"/>
      <c r="B464" s="8"/>
      <c r="C464" s="8"/>
      <c r="D464" s="8"/>
      <c r="E464" s="8"/>
      <c r="F464" s="8"/>
      <c r="G464" s="8"/>
      <c r="H464" s="8"/>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8"/>
      <c r="AM464" s="8"/>
    </row>
    <row r="465" spans="1:39" ht="12.75" customHeight="1" x14ac:dyDescent="0.2">
      <c r="A465" s="8"/>
      <c r="B465" s="8"/>
      <c r="C465" s="8"/>
      <c r="D465" s="8"/>
      <c r="E465" s="8"/>
      <c r="F465" s="8"/>
      <c r="G465" s="8"/>
      <c r="H465" s="8"/>
      <c r="J465" s="8"/>
      <c r="K465" s="8"/>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row>
    <row r="466" spans="1:39" ht="12.75" customHeight="1" x14ac:dyDescent="0.2">
      <c r="A466" s="8"/>
      <c r="B466" s="8"/>
      <c r="C466" s="8"/>
      <c r="D466" s="8"/>
      <c r="E466" s="8"/>
      <c r="F466" s="8"/>
      <c r="G466" s="8"/>
      <c r="H466" s="8"/>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8"/>
      <c r="AM466" s="8"/>
    </row>
    <row r="467" spans="1:39" ht="12.75" customHeight="1" x14ac:dyDescent="0.2">
      <c r="A467" s="8"/>
      <c r="B467" s="8"/>
      <c r="C467" s="8"/>
      <c r="D467" s="8"/>
      <c r="E467" s="8"/>
      <c r="F467" s="8"/>
      <c r="G467" s="8"/>
      <c r="H467" s="8"/>
      <c r="J467" s="8"/>
      <c r="K467" s="8"/>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row>
    <row r="468" spans="1:39" ht="12.75" customHeight="1" x14ac:dyDescent="0.2">
      <c r="A468" s="8"/>
      <c r="B468" s="8"/>
      <c r="C468" s="8"/>
      <c r="D468" s="8"/>
      <c r="E468" s="8"/>
      <c r="F468" s="8"/>
      <c r="G468" s="8"/>
      <c r="H468" s="8"/>
      <c r="J468" s="8"/>
      <c r="K468" s="8"/>
      <c r="L468" s="8"/>
      <c r="M468" s="8"/>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8"/>
      <c r="AM468" s="8"/>
    </row>
    <row r="469" spans="1:39" ht="12.75" customHeight="1" x14ac:dyDescent="0.2">
      <c r="A469" s="8"/>
      <c r="B469" s="8"/>
      <c r="C469" s="8"/>
      <c r="D469" s="8"/>
      <c r="E469" s="8"/>
      <c r="F469" s="8"/>
      <c r="G469" s="8"/>
      <c r="H469" s="8"/>
      <c r="J469" s="8"/>
      <c r="K469" s="8"/>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row>
    <row r="470" spans="1:39" ht="12.75" customHeight="1" x14ac:dyDescent="0.2">
      <c r="A470" s="8"/>
      <c r="B470" s="8"/>
      <c r="C470" s="8"/>
      <c r="D470" s="8"/>
      <c r="E470" s="8"/>
      <c r="F470" s="8"/>
      <c r="G470" s="8"/>
      <c r="H470" s="8"/>
      <c r="J470" s="8"/>
      <c r="K470" s="8"/>
      <c r="L470" s="8"/>
      <c r="M470" s="8"/>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8"/>
      <c r="AM470" s="8"/>
    </row>
    <row r="471" spans="1:39" ht="12.75" customHeight="1" x14ac:dyDescent="0.2">
      <c r="A471" s="8"/>
      <c r="B471" s="8"/>
      <c r="C471" s="8"/>
      <c r="D471" s="8"/>
      <c r="E471" s="8"/>
      <c r="F471" s="8"/>
      <c r="G471" s="8"/>
      <c r="H471" s="8"/>
      <c r="J471" s="8"/>
      <c r="K471" s="8"/>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row>
    <row r="472" spans="1:39" ht="12.75" customHeight="1" x14ac:dyDescent="0.2">
      <c r="A472" s="8"/>
      <c r="B472" s="8"/>
      <c r="C472" s="8"/>
      <c r="D472" s="8"/>
      <c r="E472" s="8"/>
      <c r="F472" s="8"/>
      <c r="G472" s="8"/>
      <c r="H472" s="8"/>
      <c r="J472" s="8"/>
      <c r="K472" s="8"/>
      <c r="L472" s="8"/>
      <c r="M472" s="8"/>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8"/>
      <c r="AM472" s="8"/>
    </row>
    <row r="473" spans="1:39" ht="12.75" customHeight="1" x14ac:dyDescent="0.2">
      <c r="A473" s="8"/>
      <c r="B473" s="8"/>
      <c r="C473" s="8"/>
      <c r="D473" s="8"/>
      <c r="E473" s="8"/>
      <c r="F473" s="8"/>
      <c r="G473" s="8"/>
      <c r="H473" s="8"/>
      <c r="J473" s="8"/>
      <c r="K473" s="8"/>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row>
    <row r="474" spans="1:39" ht="12.75" customHeight="1" x14ac:dyDescent="0.2">
      <c r="A474" s="8"/>
      <c r="B474" s="8"/>
      <c r="C474" s="8"/>
      <c r="D474" s="8"/>
      <c r="E474" s="8"/>
      <c r="F474" s="8"/>
      <c r="G474" s="8"/>
      <c r="H474" s="8"/>
      <c r="J474" s="8"/>
      <c r="K474" s="8"/>
      <c r="L474" s="8"/>
      <c r="M474" s="8"/>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8"/>
      <c r="AM474" s="8"/>
    </row>
    <row r="475" spans="1:39" ht="12.75" customHeight="1" x14ac:dyDescent="0.2">
      <c r="A475" s="8"/>
      <c r="B475" s="8"/>
      <c r="C475" s="8"/>
      <c r="D475" s="8"/>
      <c r="E475" s="8"/>
      <c r="F475" s="8"/>
      <c r="G475" s="8"/>
      <c r="H475" s="8"/>
      <c r="J475" s="8"/>
      <c r="K475" s="8"/>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row>
    <row r="476" spans="1:39" ht="12.75" customHeight="1" x14ac:dyDescent="0.2">
      <c r="A476" s="8"/>
      <c r="B476" s="8"/>
      <c r="C476" s="8"/>
      <c r="D476" s="8"/>
      <c r="E476" s="8"/>
      <c r="F476" s="8"/>
      <c r="G476" s="8"/>
      <c r="H476" s="8"/>
      <c r="J476" s="8"/>
      <c r="K476" s="8"/>
      <c r="L476" s="8"/>
      <c r="M476" s="8"/>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8"/>
      <c r="AM476" s="8"/>
    </row>
    <row r="477" spans="1:39" ht="12.75" customHeight="1" x14ac:dyDescent="0.2">
      <c r="A477" s="8"/>
      <c r="B477" s="8"/>
      <c r="C477" s="8"/>
      <c r="D477" s="8"/>
      <c r="E477" s="8"/>
      <c r="F477" s="8"/>
      <c r="G477" s="8"/>
      <c r="H477" s="8"/>
      <c r="J477" s="8"/>
      <c r="K477" s="8"/>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row>
    <row r="478" spans="1:39" ht="12.75" customHeight="1" x14ac:dyDescent="0.2">
      <c r="A478" s="8"/>
      <c r="B478" s="8"/>
      <c r="C478" s="8"/>
      <c r="D478" s="8"/>
      <c r="E478" s="8"/>
      <c r="F478" s="8"/>
      <c r="G478" s="8"/>
      <c r="H478" s="8"/>
      <c r="J478" s="8"/>
      <c r="K478" s="8"/>
      <c r="L478" s="8"/>
      <c r="M478" s="8"/>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8"/>
      <c r="AM478" s="8"/>
    </row>
    <row r="479" spans="1:39" ht="12.75" customHeight="1" x14ac:dyDescent="0.2">
      <c r="A479" s="8"/>
      <c r="B479" s="8"/>
      <c r="C479" s="8"/>
      <c r="D479" s="8"/>
      <c r="E479" s="8"/>
      <c r="F479" s="8"/>
      <c r="G479" s="8"/>
      <c r="H479" s="8"/>
      <c r="J479" s="8"/>
      <c r="K479" s="8"/>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row>
    <row r="480" spans="1:39" ht="12.75" customHeight="1" x14ac:dyDescent="0.2">
      <c r="A480" s="8"/>
      <c r="B480" s="8"/>
      <c r="C480" s="8"/>
      <c r="D480" s="8"/>
      <c r="E480" s="8"/>
      <c r="F480" s="8"/>
      <c r="G480" s="8"/>
      <c r="H480" s="8"/>
      <c r="J480" s="8"/>
      <c r="K480" s="8"/>
      <c r="L480" s="8"/>
      <c r="M480" s="8"/>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8"/>
      <c r="AM480" s="8"/>
    </row>
    <row r="481" spans="1:39" ht="12.75" customHeight="1" x14ac:dyDescent="0.2">
      <c r="A481" s="8"/>
      <c r="B481" s="8"/>
      <c r="C481" s="8"/>
      <c r="D481" s="8"/>
      <c r="E481" s="8"/>
      <c r="F481" s="8"/>
      <c r="G481" s="8"/>
      <c r="H481" s="8"/>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row>
    <row r="482" spans="1:39" ht="12.75" customHeight="1" x14ac:dyDescent="0.2">
      <c r="A482" s="8"/>
      <c r="B482" s="8"/>
      <c r="C482" s="8"/>
      <c r="D482" s="8"/>
      <c r="E482" s="8"/>
      <c r="F482" s="8"/>
      <c r="G482" s="8"/>
      <c r="H482" s="8"/>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8"/>
      <c r="AM482" s="8"/>
    </row>
    <row r="483" spans="1:39" ht="12.75" customHeight="1" x14ac:dyDescent="0.2">
      <c r="A483" s="8"/>
      <c r="B483" s="8"/>
      <c r="C483" s="8"/>
      <c r="D483" s="8"/>
      <c r="E483" s="8"/>
      <c r="F483" s="8"/>
      <c r="G483" s="8"/>
      <c r="H483" s="8"/>
      <c r="J483" s="8"/>
      <c r="K483" s="8"/>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row>
    <row r="484" spans="1:39" ht="12.75" customHeight="1" x14ac:dyDescent="0.2">
      <c r="A484" s="8"/>
      <c r="B484" s="8"/>
      <c r="C484" s="8"/>
      <c r="D484" s="8"/>
      <c r="E484" s="8"/>
      <c r="F484" s="8"/>
      <c r="G484" s="8"/>
      <c r="H484" s="8"/>
      <c r="J484" s="8"/>
      <c r="K484" s="8"/>
      <c r="L484" s="8"/>
      <c r="M484" s="8"/>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8"/>
      <c r="AM484" s="8"/>
    </row>
    <row r="485" spans="1:39" ht="12.75" customHeight="1" x14ac:dyDescent="0.2">
      <c r="A485" s="8"/>
      <c r="B485" s="8"/>
      <c r="C485" s="8"/>
      <c r="D485" s="8"/>
      <c r="E485" s="8"/>
      <c r="F485" s="8"/>
      <c r="G485" s="8"/>
      <c r="H485" s="8"/>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row>
    <row r="486" spans="1:39" ht="12.75" customHeight="1" x14ac:dyDescent="0.2">
      <c r="A486" s="8"/>
      <c r="B486" s="8"/>
      <c r="C486" s="8"/>
      <c r="D486" s="8"/>
      <c r="E486" s="8"/>
      <c r="F486" s="8"/>
      <c r="G486" s="8"/>
      <c r="H486" s="8"/>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8"/>
      <c r="AM486" s="8"/>
    </row>
    <row r="487" spans="1:39" ht="12.75" customHeight="1" x14ac:dyDescent="0.2">
      <c r="A487" s="8"/>
      <c r="B487" s="8"/>
      <c r="C487" s="8"/>
      <c r="D487" s="8"/>
      <c r="E487" s="8"/>
      <c r="F487" s="8"/>
      <c r="G487" s="8"/>
      <c r="H487" s="8"/>
      <c r="J487" s="8"/>
      <c r="K487" s="8"/>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row>
    <row r="488" spans="1:39" ht="12.75" customHeight="1" x14ac:dyDescent="0.2">
      <c r="A488" s="8"/>
      <c r="B488" s="8"/>
      <c r="C488" s="8"/>
      <c r="D488" s="8"/>
      <c r="E488" s="8"/>
      <c r="F488" s="8"/>
      <c r="G488" s="8"/>
      <c r="H488" s="8"/>
      <c r="J488" s="8"/>
      <c r="K488" s="8"/>
      <c r="L488" s="8"/>
      <c r="M488" s="8"/>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8"/>
      <c r="AM488" s="8"/>
    </row>
    <row r="489" spans="1:39" ht="12.75" customHeight="1" x14ac:dyDescent="0.2">
      <c r="A489" s="8"/>
      <c r="B489" s="8"/>
      <c r="C489" s="8"/>
      <c r="D489" s="8"/>
      <c r="E489" s="8"/>
      <c r="F489" s="8"/>
      <c r="G489" s="8"/>
      <c r="H489" s="8"/>
      <c r="J489" s="8"/>
      <c r="K489" s="8"/>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row>
    <row r="490" spans="1:39" ht="12.75" customHeight="1" x14ac:dyDescent="0.2">
      <c r="A490" s="8"/>
      <c r="B490" s="8"/>
      <c r="C490" s="8"/>
      <c r="D490" s="8"/>
      <c r="E490" s="8"/>
      <c r="F490" s="8"/>
      <c r="G490" s="8"/>
      <c r="H490" s="8"/>
      <c r="J490" s="8"/>
      <c r="K490" s="8"/>
      <c r="L490" s="8"/>
      <c r="M490" s="8"/>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8"/>
      <c r="AM490" s="8"/>
    </row>
    <row r="491" spans="1:39" ht="12.75" customHeight="1" x14ac:dyDescent="0.2">
      <c r="A491" s="8"/>
      <c r="B491" s="8"/>
      <c r="C491" s="8"/>
      <c r="D491" s="8"/>
      <c r="E491" s="8"/>
      <c r="F491" s="8"/>
      <c r="G491" s="8"/>
      <c r="H491" s="8"/>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row>
    <row r="492" spans="1:39" ht="12.75" customHeight="1" x14ac:dyDescent="0.2">
      <c r="A492" s="8"/>
      <c r="B492" s="8"/>
      <c r="C492" s="8"/>
      <c r="D492" s="8"/>
      <c r="E492" s="8"/>
      <c r="F492" s="8"/>
      <c r="G492" s="8"/>
      <c r="H492" s="8"/>
      <c r="J492" s="8"/>
      <c r="K492" s="8"/>
      <c r="L492" s="8"/>
      <c r="M492" s="8"/>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8"/>
      <c r="AM492" s="8"/>
    </row>
    <row r="493" spans="1:39" ht="12.75" customHeight="1" x14ac:dyDescent="0.2">
      <c r="A493" s="8"/>
      <c r="B493" s="8"/>
      <c r="C493" s="8"/>
      <c r="D493" s="8"/>
      <c r="E493" s="8"/>
      <c r="F493" s="8"/>
      <c r="G493" s="8"/>
      <c r="H493" s="8"/>
      <c r="J493" s="8"/>
      <c r="K493" s="8"/>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row>
    <row r="494" spans="1:39" ht="12.75" customHeight="1" x14ac:dyDescent="0.2">
      <c r="A494" s="8"/>
      <c r="B494" s="8"/>
      <c r="C494" s="8"/>
      <c r="D494" s="8"/>
      <c r="E494" s="8"/>
      <c r="F494" s="8"/>
      <c r="G494" s="8"/>
      <c r="H494" s="8"/>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8"/>
      <c r="AM494" s="8"/>
    </row>
    <row r="495" spans="1:39" ht="12.75" customHeight="1" x14ac:dyDescent="0.2">
      <c r="A495" s="8"/>
      <c r="B495" s="8"/>
      <c r="C495" s="8"/>
      <c r="D495" s="8"/>
      <c r="E495" s="8"/>
      <c r="F495" s="8"/>
      <c r="G495" s="8"/>
      <c r="H495" s="8"/>
      <c r="J495" s="8"/>
      <c r="K495" s="8"/>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row>
    <row r="496" spans="1:39" ht="12.75" customHeight="1" x14ac:dyDescent="0.2">
      <c r="A496" s="8"/>
      <c r="B496" s="8"/>
      <c r="C496" s="8"/>
      <c r="D496" s="8"/>
      <c r="E496" s="8"/>
      <c r="F496" s="8"/>
      <c r="G496" s="8"/>
      <c r="H496" s="8"/>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8"/>
      <c r="AM496" s="8"/>
    </row>
    <row r="497" spans="1:39" ht="12.75" customHeight="1" x14ac:dyDescent="0.2">
      <c r="A497" s="8"/>
      <c r="B497" s="8"/>
      <c r="C497" s="8"/>
      <c r="D497" s="8"/>
      <c r="E497" s="8"/>
      <c r="F497" s="8"/>
      <c r="G497" s="8"/>
      <c r="H497" s="8"/>
      <c r="J497" s="8"/>
      <c r="K497" s="8"/>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row>
    <row r="498" spans="1:39" ht="12.75" customHeight="1" x14ac:dyDescent="0.2">
      <c r="A498" s="8"/>
      <c r="B498" s="8"/>
      <c r="C498" s="8"/>
      <c r="D498" s="8"/>
      <c r="E498" s="8"/>
      <c r="F498" s="8"/>
      <c r="G498" s="8"/>
      <c r="H498" s="8"/>
      <c r="J498" s="8"/>
      <c r="K498" s="8"/>
      <c r="L498" s="8"/>
      <c r="M498" s="8"/>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row>
    <row r="499" spans="1:39" ht="12.75" customHeight="1" x14ac:dyDescent="0.2">
      <c r="A499" s="8"/>
      <c r="B499" s="8"/>
      <c r="C499" s="8"/>
      <c r="D499" s="8"/>
      <c r="E499" s="8"/>
      <c r="F499" s="8"/>
      <c r="G499" s="8"/>
      <c r="H499" s="8"/>
      <c r="J499" s="8"/>
      <c r="K499" s="8"/>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row>
    <row r="500" spans="1:39" ht="12.75" customHeight="1" x14ac:dyDescent="0.2">
      <c r="A500" s="8"/>
      <c r="B500" s="8"/>
      <c r="C500" s="8"/>
      <c r="D500" s="8"/>
      <c r="E500" s="8"/>
      <c r="F500" s="8"/>
      <c r="G500" s="8"/>
      <c r="H500" s="8"/>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row>
    <row r="501" spans="1:39" ht="12.75" customHeight="1" x14ac:dyDescent="0.2">
      <c r="A501" s="8"/>
      <c r="B501" s="8"/>
      <c r="C501" s="8"/>
      <c r="D501" s="8"/>
      <c r="E501" s="8"/>
      <c r="F501" s="8"/>
      <c r="G501" s="8"/>
      <c r="H501" s="8"/>
      <c r="J501" s="8"/>
      <c r="K501" s="8"/>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row>
    <row r="502" spans="1:39" ht="12.75" customHeight="1" x14ac:dyDescent="0.2">
      <c r="A502" s="8"/>
      <c r="B502" s="8"/>
      <c r="C502" s="8"/>
      <c r="D502" s="8"/>
      <c r="E502" s="8"/>
      <c r="F502" s="8"/>
      <c r="G502" s="8"/>
      <c r="H502" s="8"/>
      <c r="J502" s="8"/>
      <c r="K502" s="8"/>
      <c r="L502" s="8"/>
      <c r="M502" s="8"/>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row>
    <row r="503" spans="1:39" ht="12.75" customHeight="1" x14ac:dyDescent="0.2">
      <c r="A503" s="8"/>
      <c r="B503" s="8"/>
      <c r="C503" s="8"/>
      <c r="D503" s="8"/>
      <c r="E503" s="8"/>
      <c r="F503" s="8"/>
      <c r="G503" s="8"/>
      <c r="H503" s="8"/>
      <c r="J503" s="8"/>
      <c r="K503" s="8"/>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row>
    <row r="504" spans="1:39" ht="12.75" customHeight="1" x14ac:dyDescent="0.2">
      <c r="A504" s="8"/>
      <c r="B504" s="8"/>
      <c r="C504" s="8"/>
      <c r="D504" s="8"/>
      <c r="E504" s="8"/>
      <c r="F504" s="8"/>
      <c r="G504" s="8"/>
      <c r="H504" s="8"/>
      <c r="J504" s="8"/>
      <c r="K504" s="8"/>
      <c r="L504" s="8"/>
      <c r="M504" s="8"/>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row>
    <row r="505" spans="1:39" ht="12.75" customHeight="1" x14ac:dyDescent="0.2">
      <c r="A505" s="8"/>
      <c r="B505" s="8"/>
      <c r="C505" s="8"/>
      <c r="D505" s="8"/>
      <c r="E505" s="8"/>
      <c r="F505" s="8"/>
      <c r="G505" s="8"/>
      <c r="H505" s="8"/>
      <c r="J505" s="8"/>
      <c r="K505" s="8"/>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row>
    <row r="506" spans="1:39" ht="12.75" customHeight="1" x14ac:dyDescent="0.2">
      <c r="A506" s="8"/>
      <c r="B506" s="8"/>
      <c r="C506" s="8"/>
      <c r="D506" s="8"/>
      <c r="E506" s="8"/>
      <c r="F506" s="8"/>
      <c r="G506" s="8"/>
      <c r="H506" s="8"/>
      <c r="J506" s="8"/>
      <c r="K506" s="8"/>
      <c r="L506" s="8"/>
      <c r="M506" s="8"/>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row>
    <row r="507" spans="1:39" ht="12.75" customHeight="1" x14ac:dyDescent="0.2">
      <c r="A507" s="8"/>
      <c r="B507" s="8"/>
      <c r="C507" s="8"/>
      <c r="D507" s="8"/>
      <c r="E507" s="8"/>
      <c r="F507" s="8"/>
      <c r="G507" s="8"/>
      <c r="H507" s="8"/>
      <c r="J507" s="8"/>
      <c r="K507" s="8"/>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row>
    <row r="508" spans="1:39" ht="12.75" customHeight="1" x14ac:dyDescent="0.2">
      <c r="A508" s="8"/>
      <c r="B508" s="8"/>
      <c r="C508" s="8"/>
      <c r="D508" s="8"/>
      <c r="E508" s="8"/>
      <c r="F508" s="8"/>
      <c r="G508" s="8"/>
      <c r="H508" s="8"/>
      <c r="J508" s="8"/>
      <c r="K508" s="8"/>
      <c r="L508" s="8"/>
      <c r="M508" s="8"/>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row>
    <row r="509" spans="1:39" ht="12.75" customHeight="1" x14ac:dyDescent="0.2">
      <c r="A509" s="8"/>
      <c r="B509" s="8"/>
      <c r="C509" s="8"/>
      <c r="D509" s="8"/>
      <c r="E509" s="8"/>
      <c r="F509" s="8"/>
      <c r="G509" s="8"/>
      <c r="H509" s="8"/>
      <c r="J509" s="8"/>
      <c r="K509" s="8"/>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row>
    <row r="510" spans="1:39" ht="12.75" customHeight="1" x14ac:dyDescent="0.2">
      <c r="A510" s="8"/>
      <c r="B510" s="8"/>
      <c r="C510" s="8"/>
      <c r="D510" s="8"/>
      <c r="E510" s="8"/>
      <c r="F510" s="8"/>
      <c r="G510" s="8"/>
      <c r="H510" s="8"/>
      <c r="J510" s="8"/>
      <c r="K510" s="8"/>
      <c r="L510" s="8"/>
      <c r="M510" s="8"/>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row>
    <row r="511" spans="1:39" ht="12.75" customHeight="1" x14ac:dyDescent="0.2">
      <c r="A511" s="8"/>
      <c r="B511" s="8"/>
      <c r="C511" s="8"/>
      <c r="D511" s="8"/>
      <c r="E511" s="8"/>
      <c r="F511" s="8"/>
      <c r="G511" s="8"/>
      <c r="H511" s="8"/>
      <c r="J511" s="8"/>
      <c r="K511" s="8"/>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row>
    <row r="512" spans="1:39" ht="12.75" customHeight="1" x14ac:dyDescent="0.2">
      <c r="A512" s="8"/>
      <c r="B512" s="8"/>
      <c r="C512" s="8"/>
      <c r="D512" s="8"/>
      <c r="E512" s="8"/>
      <c r="F512" s="8"/>
      <c r="G512" s="8"/>
      <c r="H512" s="8"/>
      <c r="J512" s="8"/>
      <c r="K512" s="8"/>
      <c r="L512" s="8"/>
      <c r="M512" s="8"/>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8"/>
      <c r="AM512" s="8"/>
    </row>
    <row r="513" spans="1:39" ht="12.75" customHeight="1" x14ac:dyDescent="0.2">
      <c r="A513" s="8"/>
      <c r="B513" s="8"/>
      <c r="C513" s="8"/>
      <c r="D513" s="8"/>
      <c r="E513" s="8"/>
      <c r="F513" s="8"/>
      <c r="G513" s="8"/>
      <c r="H513" s="8"/>
      <c r="J513" s="8"/>
      <c r="K513" s="8"/>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row>
    <row r="514" spans="1:39" ht="12.75" customHeight="1" x14ac:dyDescent="0.2">
      <c r="A514" s="8"/>
      <c r="B514" s="8"/>
      <c r="C514" s="8"/>
      <c r="D514" s="8"/>
      <c r="E514" s="8"/>
      <c r="F514" s="8"/>
      <c r="G514" s="8"/>
      <c r="H514" s="8"/>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row>
    <row r="515" spans="1:39" ht="12.75" customHeight="1" x14ac:dyDescent="0.2">
      <c r="A515" s="8"/>
      <c r="B515" s="8"/>
      <c r="C515" s="8"/>
      <c r="D515" s="8"/>
      <c r="E515" s="8"/>
      <c r="F515" s="8"/>
      <c r="G515" s="8"/>
      <c r="H515" s="8"/>
      <c r="J515" s="8"/>
      <c r="K515" s="8"/>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row>
    <row r="516" spans="1:39" ht="12.75" customHeight="1" x14ac:dyDescent="0.2">
      <c r="A516" s="8"/>
      <c r="B516" s="8"/>
      <c r="C516" s="8"/>
      <c r="D516" s="8"/>
      <c r="E516" s="8"/>
      <c r="F516" s="8"/>
      <c r="G516" s="8"/>
      <c r="H516" s="8"/>
      <c r="J516" s="8"/>
      <c r="K516" s="8"/>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row>
    <row r="517" spans="1:39" ht="12.75" customHeight="1" x14ac:dyDescent="0.2">
      <c r="A517" s="8"/>
      <c r="B517" s="8"/>
      <c r="C517" s="8"/>
      <c r="D517" s="8"/>
      <c r="E517" s="8"/>
      <c r="F517" s="8"/>
      <c r="G517" s="8"/>
      <c r="H517" s="8"/>
      <c r="J517" s="8"/>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row>
    <row r="518" spans="1:39" ht="12.75" customHeight="1" x14ac:dyDescent="0.2">
      <c r="A518" s="8"/>
      <c r="B518" s="8"/>
      <c r="C518" s="8"/>
      <c r="D518" s="8"/>
      <c r="E518" s="8"/>
      <c r="F518" s="8"/>
      <c r="G518" s="8"/>
      <c r="H518" s="8"/>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row>
    <row r="519" spans="1:39" ht="12.75" customHeight="1" x14ac:dyDescent="0.2">
      <c r="A519" s="8"/>
      <c r="B519" s="8"/>
      <c r="C519" s="8"/>
      <c r="D519" s="8"/>
      <c r="E519" s="8"/>
      <c r="F519" s="8"/>
      <c r="G519" s="8"/>
      <c r="H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row>
    <row r="520" spans="1:39" ht="12.75" customHeight="1" x14ac:dyDescent="0.2">
      <c r="A520" s="8"/>
      <c r="B520" s="8"/>
      <c r="C520" s="8"/>
      <c r="D520" s="8"/>
      <c r="E520" s="8"/>
      <c r="F520" s="8"/>
      <c r="G520" s="8"/>
      <c r="H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row>
    <row r="521" spans="1:39" ht="12.75" customHeight="1" x14ac:dyDescent="0.2">
      <c r="A521" s="8"/>
      <c r="B521" s="8"/>
      <c r="C521" s="8"/>
      <c r="D521" s="8"/>
      <c r="E521" s="8"/>
      <c r="F521" s="8"/>
      <c r="G521" s="8"/>
      <c r="H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row>
    <row r="522" spans="1:39" ht="12.75" customHeight="1" x14ac:dyDescent="0.2">
      <c r="A522" s="8"/>
      <c r="B522" s="8"/>
      <c r="C522" s="8"/>
      <c r="D522" s="8"/>
      <c r="E522" s="8"/>
      <c r="F522" s="8"/>
      <c r="G522" s="8"/>
      <c r="H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row>
    <row r="523" spans="1:39" ht="12.75" customHeight="1" x14ac:dyDescent="0.2">
      <c r="A523" s="8"/>
      <c r="B523" s="8"/>
      <c r="C523" s="8"/>
      <c r="D523" s="8"/>
      <c r="E523" s="8"/>
      <c r="F523" s="8"/>
      <c r="G523" s="8"/>
      <c r="H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row>
    <row r="524" spans="1:39" ht="12.75" customHeight="1" x14ac:dyDescent="0.2">
      <c r="A524" s="8"/>
      <c r="B524" s="8"/>
      <c r="C524" s="8"/>
      <c r="D524" s="8"/>
      <c r="E524" s="8"/>
      <c r="F524" s="8"/>
      <c r="G524" s="8"/>
      <c r="H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row>
    <row r="525" spans="1:39" ht="12.75" customHeight="1" x14ac:dyDescent="0.2">
      <c r="A525" s="8"/>
      <c r="B525" s="8"/>
      <c r="C525" s="8"/>
      <c r="D525" s="8"/>
      <c r="E525" s="8"/>
      <c r="F525" s="8"/>
      <c r="G525" s="8"/>
      <c r="H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row>
    <row r="526" spans="1:39" ht="12.75" customHeight="1" x14ac:dyDescent="0.2">
      <c r="A526" s="8"/>
      <c r="B526" s="8"/>
      <c r="C526" s="8"/>
      <c r="D526" s="8"/>
      <c r="E526" s="8"/>
      <c r="F526" s="8"/>
      <c r="G526" s="8"/>
      <c r="H526" s="8"/>
      <c r="J526" s="8"/>
      <c r="K526" s="8"/>
      <c r="L526" s="8"/>
      <c r="M526" s="8"/>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8"/>
      <c r="AM526" s="8"/>
    </row>
    <row r="527" spans="1:39" ht="12.75" customHeight="1" x14ac:dyDescent="0.2">
      <c r="A527" s="8"/>
      <c r="B527" s="8"/>
      <c r="C527" s="8"/>
      <c r="D527" s="8"/>
      <c r="E527" s="8"/>
      <c r="F527" s="8"/>
      <c r="G527" s="8"/>
      <c r="H527" s="8"/>
      <c r="J527" s="8"/>
      <c r="K527" s="8"/>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row>
    <row r="528" spans="1:39" ht="12.75" customHeight="1" x14ac:dyDescent="0.2">
      <c r="A528" s="8"/>
      <c r="B528" s="8"/>
      <c r="C528" s="8"/>
      <c r="D528" s="8"/>
      <c r="E528" s="8"/>
      <c r="F528" s="8"/>
      <c r="G528" s="8"/>
      <c r="H528" s="8"/>
      <c r="J528" s="8"/>
      <c r="K528" s="8"/>
      <c r="L528" s="8"/>
      <c r="M528" s="8"/>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8"/>
      <c r="AM528" s="8"/>
    </row>
    <row r="529" spans="1:39" ht="12.75" customHeight="1" x14ac:dyDescent="0.2">
      <c r="A529" s="8"/>
      <c r="B529" s="8"/>
      <c r="C529" s="8"/>
      <c r="D529" s="8"/>
      <c r="E529" s="8"/>
      <c r="F529" s="8"/>
      <c r="G529" s="8"/>
      <c r="H529" s="8"/>
      <c r="J529" s="8"/>
      <c r="K529" s="8"/>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row>
    <row r="530" spans="1:39" ht="12.75" customHeight="1" x14ac:dyDescent="0.2">
      <c r="A530" s="8"/>
      <c r="B530" s="8"/>
      <c r="C530" s="8"/>
      <c r="D530" s="8"/>
      <c r="E530" s="8"/>
      <c r="F530" s="8"/>
      <c r="G530" s="8"/>
      <c r="H530" s="8"/>
      <c r="J530" s="8"/>
      <c r="K530" s="8"/>
      <c r="L530" s="8"/>
      <c r="M530" s="8"/>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8"/>
      <c r="AM530" s="8"/>
    </row>
    <row r="531" spans="1:39" ht="12.75" customHeight="1" x14ac:dyDescent="0.2">
      <c r="A531" s="8"/>
      <c r="B531" s="8"/>
      <c r="C531" s="8"/>
      <c r="D531" s="8"/>
      <c r="E531" s="8"/>
      <c r="F531" s="8"/>
      <c r="G531" s="8"/>
      <c r="H531" s="8"/>
      <c r="J531" s="8"/>
      <c r="K531" s="8"/>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row>
    <row r="532" spans="1:39" ht="12.75" customHeight="1" x14ac:dyDescent="0.2">
      <c r="A532" s="8"/>
      <c r="B532" s="8"/>
      <c r="C532" s="8"/>
      <c r="D532" s="8"/>
      <c r="E532" s="8"/>
      <c r="F532" s="8"/>
      <c r="G532" s="8"/>
      <c r="H532" s="8"/>
      <c r="J532" s="8"/>
      <c r="K532" s="8"/>
      <c r="L532" s="8"/>
      <c r="M532" s="8"/>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8"/>
      <c r="AM532" s="8"/>
    </row>
    <row r="533" spans="1:39" ht="12.75" customHeight="1" x14ac:dyDescent="0.2">
      <c r="A533" s="8"/>
      <c r="B533" s="8"/>
      <c r="C533" s="8"/>
      <c r="D533" s="8"/>
      <c r="E533" s="8"/>
      <c r="F533" s="8"/>
      <c r="G533" s="8"/>
      <c r="H533" s="8"/>
      <c r="J533" s="8"/>
      <c r="K533" s="8"/>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row>
    <row r="534" spans="1:39" ht="12.75" customHeight="1" x14ac:dyDescent="0.2">
      <c r="A534" s="8"/>
      <c r="B534" s="8"/>
      <c r="C534" s="8"/>
      <c r="D534" s="8"/>
      <c r="E534" s="8"/>
      <c r="F534" s="8"/>
      <c r="G534" s="8"/>
      <c r="H534" s="8"/>
      <c r="J534" s="8"/>
      <c r="K534" s="8"/>
      <c r="L534" s="8"/>
      <c r="M534" s="8"/>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8"/>
      <c r="AM534" s="8"/>
    </row>
    <row r="535" spans="1:39" ht="12.75" customHeight="1" x14ac:dyDescent="0.2">
      <c r="A535" s="8"/>
      <c r="B535" s="8"/>
      <c r="C535" s="8"/>
      <c r="D535" s="8"/>
      <c r="E535" s="8"/>
      <c r="F535" s="8"/>
      <c r="G535" s="8"/>
      <c r="H535" s="8"/>
      <c r="J535" s="8"/>
      <c r="K535" s="8"/>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row>
    <row r="536" spans="1:39" ht="12.75" customHeight="1" x14ac:dyDescent="0.2">
      <c r="A536" s="8"/>
      <c r="B536" s="8"/>
      <c r="C536" s="8"/>
      <c r="D536" s="8"/>
      <c r="E536" s="8"/>
      <c r="F536" s="8"/>
      <c r="G536" s="8"/>
      <c r="H536" s="8"/>
      <c r="J536" s="8"/>
      <c r="K536" s="8"/>
      <c r="L536" s="8"/>
      <c r="M536" s="8"/>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8"/>
      <c r="AM536" s="8"/>
    </row>
    <row r="537" spans="1:39" ht="12.75" customHeight="1" x14ac:dyDescent="0.2">
      <c r="A537" s="8"/>
      <c r="B537" s="8"/>
      <c r="C537" s="8"/>
      <c r="D537" s="8"/>
      <c r="E537" s="8"/>
      <c r="F537" s="8"/>
      <c r="G537" s="8"/>
      <c r="H537" s="8"/>
      <c r="J537" s="8"/>
      <c r="K537" s="8"/>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row>
    <row r="538" spans="1:39" ht="12.75" customHeight="1" x14ac:dyDescent="0.2">
      <c r="A538" s="8"/>
      <c r="B538" s="8"/>
      <c r="C538" s="8"/>
      <c r="D538" s="8"/>
      <c r="E538" s="8"/>
      <c r="F538" s="8"/>
      <c r="G538" s="8"/>
      <c r="H538" s="8"/>
      <c r="J538" s="8"/>
      <c r="K538" s="8"/>
      <c r="L538" s="8"/>
      <c r="M538" s="8"/>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8"/>
      <c r="AM538" s="8"/>
    </row>
    <row r="539" spans="1:39" ht="12.75" customHeight="1" x14ac:dyDescent="0.2">
      <c r="A539" s="8"/>
      <c r="B539" s="8"/>
      <c r="C539" s="8"/>
      <c r="D539" s="8"/>
      <c r="E539" s="8"/>
      <c r="F539" s="8"/>
      <c r="G539" s="8"/>
      <c r="H539" s="8"/>
      <c r="J539" s="8"/>
      <c r="K539" s="8"/>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row>
    <row r="540" spans="1:39" ht="12.75" customHeight="1" x14ac:dyDescent="0.2">
      <c r="A540" s="8"/>
      <c r="B540" s="8"/>
      <c r="C540" s="8"/>
      <c r="D540" s="8"/>
      <c r="E540" s="8"/>
      <c r="F540" s="8"/>
      <c r="G540" s="8"/>
      <c r="H540" s="8"/>
      <c r="J540" s="8"/>
      <c r="K540" s="8"/>
      <c r="L540" s="8"/>
      <c r="M540" s="8"/>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8"/>
      <c r="AM540" s="8"/>
    </row>
    <row r="541" spans="1:39" ht="12.75" customHeight="1" x14ac:dyDescent="0.2">
      <c r="A541" s="8"/>
      <c r="B541" s="8"/>
      <c r="C541" s="8"/>
      <c r="D541" s="8"/>
      <c r="E541" s="8"/>
      <c r="F541" s="8"/>
      <c r="G541" s="8"/>
      <c r="H541" s="8"/>
      <c r="J541" s="8"/>
      <c r="K541" s="8"/>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row>
    <row r="542" spans="1:39" ht="12.75" customHeight="1" x14ac:dyDescent="0.2">
      <c r="A542" s="8"/>
      <c r="B542" s="8"/>
      <c r="C542" s="8"/>
      <c r="D542" s="8"/>
      <c r="E542" s="8"/>
      <c r="F542" s="8"/>
      <c r="G542" s="8"/>
      <c r="H542" s="8"/>
      <c r="J542" s="8"/>
      <c r="K542" s="8"/>
      <c r="L542" s="8"/>
      <c r="M542" s="8"/>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8"/>
      <c r="AM542" s="8"/>
    </row>
    <row r="543" spans="1:39" ht="12.75" customHeight="1" x14ac:dyDescent="0.2">
      <c r="A543" s="8"/>
      <c r="B543" s="8"/>
      <c r="C543" s="8"/>
      <c r="D543" s="8"/>
      <c r="E543" s="8"/>
      <c r="F543" s="8"/>
      <c r="G543" s="8"/>
      <c r="H543" s="8"/>
      <c r="J543" s="8"/>
      <c r="K543" s="8"/>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row>
    <row r="544" spans="1:39" ht="12.75" customHeight="1" x14ac:dyDescent="0.2">
      <c r="A544" s="8"/>
      <c r="B544" s="8"/>
      <c r="C544" s="8"/>
      <c r="D544" s="8"/>
      <c r="E544" s="8"/>
      <c r="F544" s="8"/>
      <c r="G544" s="8"/>
      <c r="H544" s="8"/>
      <c r="J544" s="8"/>
      <c r="K544" s="8"/>
      <c r="L544" s="8"/>
      <c r="M544" s="8"/>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8"/>
      <c r="AM544" s="8"/>
    </row>
    <row r="545" spans="1:39" ht="12.75" customHeight="1" x14ac:dyDescent="0.2">
      <c r="A545" s="8"/>
      <c r="B545" s="8"/>
      <c r="C545" s="8"/>
      <c r="D545" s="8"/>
      <c r="E545" s="8"/>
      <c r="F545" s="8"/>
      <c r="G545" s="8"/>
      <c r="H545" s="8"/>
      <c r="J545" s="8"/>
      <c r="K545" s="8"/>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row>
    <row r="546" spans="1:39" ht="12.75" customHeight="1" x14ac:dyDescent="0.2">
      <c r="A546" s="8"/>
      <c r="B546" s="8"/>
      <c r="C546" s="8"/>
      <c r="D546" s="8"/>
      <c r="E546" s="8"/>
      <c r="F546" s="8"/>
      <c r="G546" s="8"/>
      <c r="H546" s="8"/>
      <c r="J546" s="8"/>
      <c r="K546" s="8"/>
      <c r="L546" s="8"/>
      <c r="M546" s="8"/>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8"/>
      <c r="AM546" s="8"/>
    </row>
    <row r="547" spans="1:39" ht="12.75" customHeight="1" x14ac:dyDescent="0.2">
      <c r="A547" s="8"/>
      <c r="B547" s="8"/>
      <c r="C547" s="8"/>
      <c r="D547" s="8"/>
      <c r="E547" s="8"/>
      <c r="F547" s="8"/>
      <c r="G547" s="8"/>
      <c r="H547" s="8"/>
      <c r="J547" s="8"/>
      <c r="K547" s="8"/>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row>
    <row r="548" spans="1:39" ht="12.75" customHeight="1" x14ac:dyDescent="0.2">
      <c r="A548" s="8"/>
      <c r="B548" s="8"/>
      <c r="C548" s="8"/>
      <c r="D548" s="8"/>
      <c r="E548" s="8"/>
      <c r="F548" s="8"/>
      <c r="G548" s="8"/>
      <c r="H548" s="8"/>
      <c r="J548" s="8"/>
      <c r="K548" s="8"/>
      <c r="L548" s="8"/>
      <c r="M548" s="8"/>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8"/>
      <c r="AM548" s="8"/>
    </row>
    <row r="549" spans="1:39" ht="12.75" customHeight="1" x14ac:dyDescent="0.2">
      <c r="A549" s="8"/>
      <c r="B549" s="8"/>
      <c r="C549" s="8"/>
      <c r="D549" s="8"/>
      <c r="E549" s="8"/>
      <c r="F549" s="8"/>
      <c r="G549" s="8"/>
      <c r="H549" s="8"/>
      <c r="J549" s="8"/>
      <c r="K549" s="8"/>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row>
    <row r="550" spans="1:39" ht="12.75" customHeight="1" x14ac:dyDescent="0.2">
      <c r="A550" s="8"/>
      <c r="B550" s="8"/>
      <c r="C550" s="8"/>
      <c r="D550" s="8"/>
      <c r="E550" s="8"/>
      <c r="F550" s="8"/>
      <c r="G550" s="8"/>
      <c r="H550" s="8"/>
      <c r="J550" s="8"/>
      <c r="K550" s="8"/>
      <c r="L550" s="8"/>
      <c r="M550" s="8"/>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8"/>
      <c r="AM550" s="8"/>
    </row>
    <row r="551" spans="1:39" ht="12.75" customHeight="1" x14ac:dyDescent="0.2">
      <c r="A551" s="8"/>
      <c r="B551" s="8"/>
      <c r="C551" s="8"/>
      <c r="D551" s="8"/>
      <c r="E551" s="8"/>
      <c r="F551" s="8"/>
      <c r="G551" s="8"/>
      <c r="H551" s="8"/>
      <c r="J551" s="8"/>
      <c r="K551" s="8"/>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row>
    <row r="552" spans="1:39" ht="12.75" customHeight="1" x14ac:dyDescent="0.2">
      <c r="A552" s="8"/>
      <c r="B552" s="8"/>
      <c r="C552" s="8"/>
      <c r="D552" s="8"/>
      <c r="E552" s="8"/>
      <c r="F552" s="8"/>
      <c r="G552" s="8"/>
      <c r="H552" s="8"/>
      <c r="J552" s="8"/>
      <c r="K552" s="8"/>
      <c r="L552" s="8"/>
      <c r="M552" s="8"/>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8"/>
      <c r="AM552" s="8"/>
    </row>
    <row r="553" spans="1:39" ht="12.75" customHeight="1" x14ac:dyDescent="0.2">
      <c r="A553" s="8"/>
      <c r="B553" s="8"/>
      <c r="C553" s="8"/>
      <c r="D553" s="8"/>
      <c r="E553" s="8"/>
      <c r="F553" s="8"/>
      <c r="G553" s="8"/>
      <c r="H553" s="8"/>
      <c r="J553" s="8"/>
      <c r="K553" s="8"/>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row>
    <row r="554" spans="1:39" ht="12.75" customHeight="1" x14ac:dyDescent="0.2">
      <c r="A554" s="8"/>
      <c r="B554" s="8"/>
      <c r="C554" s="8"/>
      <c r="D554" s="8"/>
      <c r="E554" s="8"/>
      <c r="F554" s="8"/>
      <c r="G554" s="8"/>
      <c r="H554" s="8"/>
      <c r="J554" s="8"/>
      <c r="K554" s="8"/>
      <c r="L554" s="8"/>
      <c r="M554" s="8"/>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8"/>
      <c r="AM554" s="8"/>
    </row>
    <row r="555" spans="1:39" ht="12.75" customHeight="1" x14ac:dyDescent="0.2">
      <c r="A555" s="8"/>
      <c r="B555" s="8"/>
      <c r="C555" s="8"/>
      <c r="D555" s="8"/>
      <c r="E555" s="8"/>
      <c r="F555" s="8"/>
      <c r="G555" s="8"/>
      <c r="H555" s="8"/>
      <c r="J555" s="8"/>
      <c r="K555" s="8"/>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row>
    <row r="556" spans="1:39" ht="12.75" customHeight="1" x14ac:dyDescent="0.2">
      <c r="A556" s="8"/>
      <c r="B556" s="8"/>
      <c r="C556" s="8"/>
      <c r="D556" s="8"/>
      <c r="E556" s="8"/>
      <c r="F556" s="8"/>
      <c r="G556" s="8"/>
      <c r="H556" s="8"/>
      <c r="J556" s="8"/>
      <c r="K556" s="8"/>
      <c r="L556" s="8"/>
      <c r="M556" s="8"/>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8"/>
      <c r="AM556" s="8"/>
    </row>
    <row r="557" spans="1:39" ht="12.75" customHeight="1" x14ac:dyDescent="0.2">
      <c r="A557" s="8"/>
      <c r="B557" s="8"/>
      <c r="C557" s="8"/>
      <c r="D557" s="8"/>
      <c r="E557" s="8"/>
      <c r="F557" s="8"/>
      <c r="G557" s="8"/>
      <c r="H557" s="8"/>
      <c r="J557" s="8"/>
      <c r="K557" s="8"/>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row>
    <row r="558" spans="1:39" ht="12.75" customHeight="1" x14ac:dyDescent="0.2">
      <c r="A558" s="8"/>
      <c r="B558" s="8"/>
      <c r="C558" s="8"/>
      <c r="D558" s="8"/>
      <c r="E558" s="8"/>
      <c r="F558" s="8"/>
      <c r="G558" s="8"/>
      <c r="H558" s="8"/>
      <c r="J558" s="8"/>
      <c r="K558" s="8"/>
      <c r="L558" s="8"/>
      <c r="M558" s="8"/>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8"/>
      <c r="AM558" s="8"/>
    </row>
    <row r="559" spans="1:39" ht="12.75" customHeight="1" x14ac:dyDescent="0.2">
      <c r="A559" s="8"/>
      <c r="B559" s="8"/>
      <c r="C559" s="8"/>
      <c r="D559" s="8"/>
      <c r="E559" s="8"/>
      <c r="F559" s="8"/>
      <c r="G559" s="8"/>
      <c r="H559" s="8"/>
      <c r="J559" s="8"/>
      <c r="K559" s="8"/>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row>
    <row r="560" spans="1:39" ht="12.75" customHeight="1" x14ac:dyDescent="0.2">
      <c r="A560" s="8"/>
      <c r="B560" s="8"/>
      <c r="C560" s="8"/>
      <c r="D560" s="8"/>
      <c r="E560" s="8"/>
      <c r="F560" s="8"/>
      <c r="G560" s="8"/>
      <c r="H560" s="8"/>
      <c r="J560" s="8"/>
      <c r="K560" s="8"/>
      <c r="L560" s="8"/>
      <c r="M560" s="8"/>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8"/>
      <c r="AM560" s="8"/>
    </row>
    <row r="561" spans="1:39" ht="12.75" customHeight="1" x14ac:dyDescent="0.2">
      <c r="A561" s="8"/>
      <c r="B561" s="8"/>
      <c r="C561" s="8"/>
      <c r="D561" s="8"/>
      <c r="E561" s="8"/>
      <c r="F561" s="8"/>
      <c r="G561" s="8"/>
      <c r="H561" s="8"/>
      <c r="J561" s="8"/>
      <c r="K561" s="8"/>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row>
    <row r="562" spans="1:39" ht="12.75" customHeight="1" x14ac:dyDescent="0.2">
      <c r="A562" s="8"/>
      <c r="B562" s="8"/>
      <c r="C562" s="8"/>
      <c r="D562" s="8"/>
      <c r="E562" s="8"/>
      <c r="F562" s="8"/>
      <c r="G562" s="8"/>
      <c r="H562" s="8"/>
      <c r="J562" s="8"/>
      <c r="K562" s="8"/>
      <c r="L562" s="8"/>
      <c r="M562" s="8"/>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8"/>
      <c r="AM562" s="8"/>
    </row>
    <row r="563" spans="1:39" ht="12.75" customHeight="1" x14ac:dyDescent="0.2">
      <c r="A563" s="8"/>
      <c r="B563" s="8"/>
      <c r="C563" s="8"/>
      <c r="D563" s="8"/>
      <c r="E563" s="8"/>
      <c r="F563" s="8"/>
      <c r="G563" s="8"/>
      <c r="H563" s="8"/>
      <c r="J563" s="8"/>
      <c r="K563" s="8"/>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row>
    <row r="564" spans="1:39" ht="12.75" customHeight="1" x14ac:dyDescent="0.2">
      <c r="A564" s="8"/>
      <c r="B564" s="8"/>
      <c r="C564" s="8"/>
      <c r="D564" s="8"/>
      <c r="E564" s="8"/>
      <c r="F564" s="8"/>
      <c r="G564" s="8"/>
      <c r="H564" s="8"/>
      <c r="J564" s="8"/>
      <c r="K564" s="8"/>
      <c r="L564" s="8"/>
      <c r="M564" s="8"/>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8"/>
      <c r="AM564" s="8"/>
    </row>
    <row r="565" spans="1:39" ht="12.75" customHeight="1" x14ac:dyDescent="0.2">
      <c r="A565" s="8"/>
      <c r="B565" s="8"/>
      <c r="C565" s="8"/>
      <c r="D565" s="8"/>
      <c r="E565" s="8"/>
      <c r="F565" s="8"/>
      <c r="G565" s="8"/>
      <c r="H565" s="8"/>
      <c r="J565" s="8"/>
      <c r="K565" s="8"/>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row>
    <row r="566" spans="1:39" ht="12.75" customHeight="1" x14ac:dyDescent="0.2">
      <c r="A566" s="8"/>
      <c r="B566" s="8"/>
      <c r="C566" s="8"/>
      <c r="D566" s="8"/>
      <c r="E566" s="8"/>
      <c r="F566" s="8"/>
      <c r="G566" s="8"/>
      <c r="H566" s="8"/>
      <c r="J566" s="8"/>
      <c r="K566" s="8"/>
      <c r="L566" s="8"/>
      <c r="M566" s="8"/>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8"/>
      <c r="AM566" s="8"/>
    </row>
    <row r="567" spans="1:39" ht="12.75" customHeight="1" x14ac:dyDescent="0.2">
      <c r="A567" s="8"/>
      <c r="B567" s="8"/>
      <c r="C567" s="8"/>
      <c r="D567" s="8"/>
      <c r="E567" s="8"/>
      <c r="F567" s="8"/>
      <c r="G567" s="8"/>
      <c r="H567" s="8"/>
      <c r="J567" s="8"/>
      <c r="K567" s="8"/>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row>
    <row r="568" spans="1:39" ht="12.75" customHeight="1" x14ac:dyDescent="0.2">
      <c r="A568" s="8"/>
      <c r="B568" s="8"/>
      <c r="C568" s="8"/>
      <c r="D568" s="8"/>
      <c r="E568" s="8"/>
      <c r="F568" s="8"/>
      <c r="G568" s="8"/>
      <c r="H568" s="8"/>
      <c r="J568" s="8"/>
      <c r="K568" s="8"/>
      <c r="L568" s="8"/>
      <c r="M568" s="8"/>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8"/>
      <c r="AM568" s="8"/>
    </row>
    <row r="569" spans="1:39" ht="12.75" customHeight="1" x14ac:dyDescent="0.2">
      <c r="A569" s="8"/>
      <c r="B569" s="8"/>
      <c r="C569" s="8"/>
      <c r="D569" s="8"/>
      <c r="E569" s="8"/>
      <c r="F569" s="8"/>
      <c r="G569" s="8"/>
      <c r="H569" s="8"/>
      <c r="J569" s="8"/>
      <c r="K569" s="8"/>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row>
    <row r="570" spans="1:39" ht="12.75" customHeight="1" x14ac:dyDescent="0.2">
      <c r="A570" s="8"/>
      <c r="B570" s="8"/>
      <c r="C570" s="8"/>
      <c r="D570" s="8"/>
      <c r="E570" s="8"/>
      <c r="F570" s="8"/>
      <c r="G570" s="8"/>
      <c r="H570" s="8"/>
      <c r="J570" s="8"/>
      <c r="K570" s="8"/>
      <c r="L570" s="8"/>
      <c r="M570" s="8"/>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8"/>
      <c r="AM570" s="8"/>
    </row>
    <row r="571" spans="1:39" ht="12.75" customHeight="1" x14ac:dyDescent="0.2">
      <c r="A571" s="8"/>
      <c r="B571" s="8"/>
      <c r="C571" s="8"/>
      <c r="D571" s="8"/>
      <c r="E571" s="8"/>
      <c r="F571" s="8"/>
      <c r="G571" s="8"/>
      <c r="H571" s="8"/>
      <c r="J571" s="8"/>
      <c r="K571" s="8"/>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row>
    <row r="572" spans="1:39" ht="12.75" customHeight="1" x14ac:dyDescent="0.2">
      <c r="A572" s="8"/>
      <c r="B572" s="8"/>
      <c r="C572" s="8"/>
      <c r="D572" s="8"/>
      <c r="E572" s="8"/>
      <c r="F572" s="8"/>
      <c r="G572" s="8"/>
      <c r="H572" s="8"/>
      <c r="J572" s="8"/>
      <c r="K572" s="8"/>
      <c r="L572" s="8"/>
      <c r="M572" s="8"/>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8"/>
      <c r="AM572" s="8"/>
    </row>
    <row r="573" spans="1:39" ht="12.75" customHeight="1" x14ac:dyDescent="0.2">
      <c r="A573" s="8"/>
      <c r="B573" s="8"/>
      <c r="C573" s="8"/>
      <c r="D573" s="8"/>
      <c r="E573" s="8"/>
      <c r="F573" s="8"/>
      <c r="G573" s="8"/>
      <c r="H573" s="8"/>
      <c r="J573" s="8"/>
      <c r="K573" s="8"/>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row>
    <row r="574" spans="1:39" ht="12.75" customHeight="1" x14ac:dyDescent="0.2">
      <c r="A574" s="8"/>
      <c r="B574" s="8"/>
      <c r="C574" s="8"/>
      <c r="D574" s="8"/>
      <c r="E574" s="8"/>
      <c r="F574" s="8"/>
      <c r="G574" s="8"/>
      <c r="H574" s="8"/>
      <c r="J574" s="8"/>
      <c r="K574" s="8"/>
      <c r="L574" s="8"/>
      <c r="M574" s="8"/>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8"/>
      <c r="AM574" s="8"/>
    </row>
    <row r="575" spans="1:39" ht="12.75" customHeight="1" x14ac:dyDescent="0.2">
      <c r="A575" s="8"/>
      <c r="B575" s="8"/>
      <c r="C575" s="8"/>
      <c r="D575" s="8"/>
      <c r="E575" s="8"/>
      <c r="F575" s="8"/>
      <c r="G575" s="8"/>
      <c r="H575" s="8"/>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row>
    <row r="576" spans="1:39" ht="12.75" customHeight="1" x14ac:dyDescent="0.2">
      <c r="A576" s="8"/>
      <c r="B576" s="8"/>
      <c r="C576" s="8"/>
      <c r="D576" s="8"/>
      <c r="E576" s="8"/>
      <c r="F576" s="8"/>
      <c r="G576" s="8"/>
      <c r="H576" s="8"/>
      <c r="J576" s="8"/>
      <c r="K576" s="8"/>
      <c r="L576" s="8"/>
      <c r="M576" s="8"/>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8"/>
      <c r="AM576" s="8"/>
    </row>
    <row r="577" spans="1:39" ht="12.75" customHeight="1" x14ac:dyDescent="0.2">
      <c r="A577" s="8"/>
      <c r="B577" s="8"/>
      <c r="C577" s="8"/>
      <c r="D577" s="8"/>
      <c r="E577" s="8"/>
      <c r="F577" s="8"/>
      <c r="G577" s="8"/>
      <c r="H577" s="8"/>
      <c r="J577" s="8"/>
      <c r="K577" s="8"/>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row>
    <row r="578" spans="1:39" ht="12.75" customHeight="1" x14ac:dyDescent="0.2">
      <c r="A578" s="8"/>
      <c r="B578" s="8"/>
      <c r="C578" s="8"/>
      <c r="D578" s="8"/>
      <c r="E578" s="8"/>
      <c r="F578" s="8"/>
      <c r="G578" s="8"/>
      <c r="H578" s="8"/>
      <c r="J578" s="8"/>
      <c r="K578" s="8"/>
      <c r="L578" s="8"/>
      <c r="M578" s="8"/>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8"/>
      <c r="AM578" s="8"/>
    </row>
    <row r="579" spans="1:39" ht="12.75" customHeight="1" x14ac:dyDescent="0.2">
      <c r="A579" s="8"/>
      <c r="B579" s="8"/>
      <c r="C579" s="8"/>
      <c r="D579" s="8"/>
      <c r="E579" s="8"/>
      <c r="F579" s="8"/>
      <c r="G579" s="8"/>
      <c r="H579" s="8"/>
      <c r="J579" s="8"/>
      <c r="K579" s="8"/>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row>
    <row r="580" spans="1:39" ht="12.75" customHeight="1" x14ac:dyDescent="0.2">
      <c r="A580" s="8"/>
      <c r="B580" s="8"/>
      <c r="C580" s="8"/>
      <c r="D580" s="8"/>
      <c r="E580" s="8"/>
      <c r="F580" s="8"/>
      <c r="G580" s="8"/>
      <c r="H580" s="8"/>
      <c r="J580" s="8"/>
      <c r="K580" s="8"/>
      <c r="L580" s="8"/>
      <c r="M580" s="8"/>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8"/>
      <c r="AM580" s="8"/>
    </row>
    <row r="581" spans="1:39" ht="12.75" customHeight="1" x14ac:dyDescent="0.2">
      <c r="A581" s="8"/>
      <c r="B581" s="8"/>
      <c r="C581" s="8"/>
      <c r="D581" s="8"/>
      <c r="E581" s="8"/>
      <c r="F581" s="8"/>
      <c r="G581" s="8"/>
      <c r="H581" s="8"/>
      <c r="J581" s="8"/>
      <c r="K581" s="8"/>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row>
    <row r="582" spans="1:39" ht="12.75" customHeight="1" x14ac:dyDescent="0.2">
      <c r="A582" s="8"/>
      <c r="B582" s="8"/>
      <c r="C582" s="8"/>
      <c r="D582" s="8"/>
      <c r="E582" s="8"/>
      <c r="F582" s="8"/>
      <c r="G582" s="8"/>
      <c r="H582" s="8"/>
      <c r="J582" s="8"/>
      <c r="K582" s="8"/>
      <c r="L582" s="8"/>
      <c r="M582" s="8"/>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8"/>
      <c r="AM582" s="8"/>
    </row>
    <row r="583" spans="1:39" ht="12.75" customHeight="1" x14ac:dyDescent="0.2">
      <c r="A583" s="8"/>
      <c r="B583" s="8"/>
      <c r="C583" s="8"/>
      <c r="D583" s="8"/>
      <c r="E583" s="8"/>
      <c r="F583" s="8"/>
      <c r="G583" s="8"/>
      <c r="H583" s="8"/>
      <c r="J583" s="8"/>
      <c r="K583" s="8"/>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row>
    <row r="584" spans="1:39" ht="12.75" customHeight="1" x14ac:dyDescent="0.2">
      <c r="A584" s="8"/>
      <c r="B584" s="8"/>
      <c r="C584" s="8"/>
      <c r="D584" s="8"/>
      <c r="E584" s="8"/>
      <c r="F584" s="8"/>
      <c r="G584" s="8"/>
      <c r="H584" s="8"/>
      <c r="J584" s="8"/>
      <c r="K584" s="8"/>
      <c r="L584" s="8"/>
      <c r="M584" s="8"/>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8"/>
      <c r="AM584" s="8"/>
    </row>
    <row r="585" spans="1:39" ht="12.75" customHeight="1" x14ac:dyDescent="0.2">
      <c r="A585" s="8"/>
      <c r="B585" s="8"/>
      <c r="C585" s="8"/>
      <c r="D585" s="8"/>
      <c r="E585" s="8"/>
      <c r="F585" s="8"/>
      <c r="G585" s="8"/>
      <c r="H585" s="8"/>
      <c r="J585" s="8"/>
      <c r="K585" s="8"/>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row>
    <row r="586" spans="1:39" ht="12.75" customHeight="1" x14ac:dyDescent="0.2">
      <c r="A586" s="8"/>
      <c r="B586" s="8"/>
      <c r="C586" s="8"/>
      <c r="D586" s="8"/>
      <c r="E586" s="8"/>
      <c r="F586" s="8"/>
      <c r="G586" s="8"/>
      <c r="H586" s="8"/>
      <c r="J586" s="8"/>
      <c r="K586" s="8"/>
      <c r="L586" s="8"/>
      <c r="M586" s="8"/>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8"/>
      <c r="AM586" s="8"/>
    </row>
    <row r="587" spans="1:39" ht="12.75" customHeight="1" x14ac:dyDescent="0.2">
      <c r="A587" s="8"/>
      <c r="B587" s="8"/>
      <c r="C587" s="8"/>
      <c r="D587" s="8"/>
      <c r="E587" s="8"/>
      <c r="F587" s="8"/>
      <c r="G587" s="8"/>
      <c r="H587" s="8"/>
      <c r="J587" s="8"/>
      <c r="K587" s="8"/>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row>
    <row r="588" spans="1:39" ht="12.75" customHeight="1" x14ac:dyDescent="0.2">
      <c r="A588" s="8"/>
      <c r="B588" s="8"/>
      <c r="C588" s="8"/>
      <c r="D588" s="8"/>
      <c r="E588" s="8"/>
      <c r="F588" s="8"/>
      <c r="G588" s="8"/>
      <c r="H588" s="8"/>
      <c r="J588" s="8"/>
      <c r="K588" s="8"/>
      <c r="L588" s="8"/>
      <c r="M588" s="8"/>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8"/>
      <c r="AM588" s="8"/>
    </row>
    <row r="589" spans="1:39" ht="12.75" customHeight="1" x14ac:dyDescent="0.2">
      <c r="A589" s="8"/>
      <c r="B589" s="8"/>
      <c r="C589" s="8"/>
      <c r="D589" s="8"/>
      <c r="E589" s="8"/>
      <c r="F589" s="8"/>
      <c r="G589" s="8"/>
      <c r="H589" s="8"/>
      <c r="J589" s="8"/>
      <c r="K589" s="8"/>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row>
    <row r="590" spans="1:39" ht="12.75" customHeight="1" x14ac:dyDescent="0.2">
      <c r="A590" s="8"/>
      <c r="B590" s="8"/>
      <c r="C590" s="8"/>
      <c r="D590" s="8"/>
      <c r="E590" s="8"/>
      <c r="F590" s="8"/>
      <c r="G590" s="8"/>
      <c r="H590" s="8"/>
      <c r="J590" s="8"/>
      <c r="K590" s="8"/>
      <c r="L590" s="8"/>
      <c r="M590" s="8"/>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8"/>
      <c r="AM590" s="8"/>
    </row>
    <row r="591" spans="1:39" ht="12.75" customHeight="1" x14ac:dyDescent="0.2">
      <c r="A591" s="8"/>
      <c r="B591" s="8"/>
      <c r="C591" s="8"/>
      <c r="D591" s="8"/>
      <c r="E591" s="8"/>
      <c r="F591" s="8"/>
      <c r="G591" s="8"/>
      <c r="H591" s="8"/>
      <c r="J591" s="8"/>
      <c r="K591" s="8"/>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row>
    <row r="592" spans="1:39" ht="12.75" customHeight="1" x14ac:dyDescent="0.2">
      <c r="A592" s="8"/>
      <c r="B592" s="8"/>
      <c r="C592" s="8"/>
      <c r="D592" s="8"/>
      <c r="E592" s="8"/>
      <c r="F592" s="8"/>
      <c r="G592" s="8"/>
      <c r="H592" s="8"/>
      <c r="J592" s="8"/>
      <c r="K592" s="8"/>
      <c r="L592" s="8"/>
      <c r="M592" s="8"/>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8"/>
      <c r="AM592" s="8"/>
    </row>
    <row r="593" spans="1:39" ht="12.75" customHeight="1" x14ac:dyDescent="0.2">
      <c r="A593" s="8"/>
      <c r="B593" s="8"/>
      <c r="C593" s="8"/>
      <c r="D593" s="8"/>
      <c r="E593" s="8"/>
      <c r="F593" s="8"/>
      <c r="G593" s="8"/>
      <c r="H593" s="8"/>
      <c r="J593" s="8"/>
      <c r="K593" s="8"/>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row>
    <row r="594" spans="1:39" ht="12.75" customHeight="1" x14ac:dyDescent="0.2">
      <c r="A594" s="8"/>
      <c r="B594" s="8"/>
      <c r="C594" s="8"/>
      <c r="D594" s="8"/>
      <c r="E594" s="8"/>
      <c r="F594" s="8"/>
      <c r="G594" s="8"/>
      <c r="H594" s="8"/>
      <c r="J594" s="8"/>
      <c r="K594" s="8"/>
      <c r="L594" s="8"/>
      <c r="M594" s="8"/>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8"/>
      <c r="AM594" s="8"/>
    </row>
    <row r="595" spans="1:39" ht="12.75" customHeight="1" x14ac:dyDescent="0.2">
      <c r="A595" s="8"/>
      <c r="B595" s="8"/>
      <c r="C595" s="8"/>
      <c r="D595" s="8"/>
      <c r="E595" s="8"/>
      <c r="F595" s="8"/>
      <c r="G595" s="8"/>
      <c r="H595" s="8"/>
      <c r="J595" s="8"/>
      <c r="K595" s="8"/>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row>
    <row r="596" spans="1:39" ht="12.75" customHeight="1" x14ac:dyDescent="0.2">
      <c r="A596" s="8"/>
      <c r="B596" s="8"/>
      <c r="C596" s="8"/>
      <c r="D596" s="8"/>
      <c r="E596" s="8"/>
      <c r="F596" s="8"/>
      <c r="G596" s="8"/>
      <c r="H596" s="8"/>
      <c r="J596" s="8"/>
      <c r="K596" s="8"/>
      <c r="L596" s="8"/>
      <c r="M596" s="8"/>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8"/>
      <c r="AM596" s="8"/>
    </row>
    <row r="597" spans="1:39" ht="12.75" customHeight="1" x14ac:dyDescent="0.2">
      <c r="A597" s="8"/>
      <c r="B597" s="8"/>
      <c r="C597" s="8"/>
      <c r="D597" s="8"/>
      <c r="E597" s="8"/>
      <c r="F597" s="8"/>
      <c r="G597" s="8"/>
      <c r="H597" s="8"/>
      <c r="J597" s="8"/>
      <c r="K597" s="8"/>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row>
    <row r="598" spans="1:39" ht="12.75" customHeight="1" x14ac:dyDescent="0.2">
      <c r="A598" s="8"/>
      <c r="B598" s="8"/>
      <c r="C598" s="8"/>
      <c r="D598" s="8"/>
      <c r="E598" s="8"/>
      <c r="F598" s="8"/>
      <c r="G598" s="8"/>
      <c r="H598" s="8"/>
      <c r="J598" s="8"/>
      <c r="K598" s="8"/>
      <c r="L598" s="8"/>
      <c r="M598" s="8"/>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8"/>
      <c r="AM598" s="8"/>
    </row>
    <row r="599" spans="1:39" ht="12.75" customHeight="1" x14ac:dyDescent="0.2">
      <c r="A599" s="8"/>
      <c r="B599" s="8"/>
      <c r="C599" s="8"/>
      <c r="D599" s="8"/>
      <c r="E599" s="8"/>
      <c r="F599" s="8"/>
      <c r="G599" s="8"/>
      <c r="H599" s="8"/>
      <c r="J599" s="8"/>
      <c r="K599" s="8"/>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row>
    <row r="600" spans="1:39" ht="12.75" customHeight="1" x14ac:dyDescent="0.2">
      <c r="A600" s="8"/>
      <c r="B600" s="8"/>
      <c r="C600" s="8"/>
      <c r="D600" s="8"/>
      <c r="E600" s="8"/>
      <c r="F600" s="8"/>
      <c r="G600" s="8"/>
      <c r="H600" s="8"/>
      <c r="J600" s="8"/>
      <c r="K600" s="8"/>
      <c r="L600" s="8"/>
      <c r="M600" s="8"/>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8"/>
      <c r="AM600" s="8"/>
    </row>
    <row r="601" spans="1:39" ht="12.75" customHeight="1" x14ac:dyDescent="0.2">
      <c r="A601" s="8"/>
      <c r="B601" s="8"/>
      <c r="C601" s="8"/>
      <c r="D601" s="8"/>
      <c r="E601" s="8"/>
      <c r="F601" s="8"/>
      <c r="G601" s="8"/>
      <c r="H601" s="8"/>
      <c r="J601" s="8"/>
      <c r="K601" s="8"/>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row>
    <row r="602" spans="1:39" ht="12.75" customHeight="1" x14ac:dyDescent="0.2">
      <c r="A602" s="8"/>
      <c r="B602" s="8"/>
      <c r="C602" s="8"/>
      <c r="D602" s="8"/>
      <c r="E602" s="8"/>
      <c r="F602" s="8"/>
      <c r="G602" s="8"/>
      <c r="H602" s="8"/>
      <c r="J602" s="8"/>
      <c r="K602" s="8"/>
      <c r="L602" s="8"/>
      <c r="M602" s="8"/>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8"/>
      <c r="AM602" s="8"/>
    </row>
    <row r="603" spans="1:39" ht="12.75" customHeight="1" x14ac:dyDescent="0.2">
      <c r="A603" s="8"/>
      <c r="B603" s="8"/>
      <c r="C603" s="8"/>
      <c r="D603" s="8"/>
      <c r="E603" s="8"/>
      <c r="F603" s="8"/>
      <c r="G603" s="8"/>
      <c r="H603" s="8"/>
      <c r="J603" s="8"/>
      <c r="K603" s="8"/>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row>
    <row r="604" spans="1:39" ht="12.75" customHeight="1" x14ac:dyDescent="0.2">
      <c r="A604" s="8"/>
      <c r="B604" s="8"/>
      <c r="C604" s="8"/>
      <c r="D604" s="8"/>
      <c r="E604" s="8"/>
      <c r="F604" s="8"/>
      <c r="G604" s="8"/>
      <c r="H604" s="8"/>
      <c r="J604" s="8"/>
      <c r="K604" s="8"/>
      <c r="L604" s="8"/>
      <c r="M604" s="8"/>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8"/>
      <c r="AM604" s="8"/>
    </row>
    <row r="605" spans="1:39" ht="12.75" customHeight="1" x14ac:dyDescent="0.2">
      <c r="A605" s="8"/>
      <c r="B605" s="8"/>
      <c r="C605" s="8"/>
      <c r="D605" s="8"/>
      <c r="E605" s="8"/>
      <c r="F605" s="8"/>
      <c r="G605" s="8"/>
      <c r="H605" s="8"/>
      <c r="J605" s="8"/>
      <c r="K605" s="8"/>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row>
    <row r="606" spans="1:39" ht="12.75" customHeight="1" x14ac:dyDescent="0.2">
      <c r="A606" s="8"/>
      <c r="B606" s="8"/>
      <c r="C606" s="8"/>
      <c r="D606" s="8"/>
      <c r="E606" s="8"/>
      <c r="F606" s="8"/>
      <c r="G606" s="8"/>
      <c r="H606" s="8"/>
      <c r="J606" s="8"/>
      <c r="K606" s="8"/>
      <c r="L606" s="8"/>
      <c r="M606" s="8"/>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8"/>
      <c r="AM606" s="8"/>
    </row>
    <row r="607" spans="1:39" ht="12.75" customHeight="1" x14ac:dyDescent="0.2">
      <c r="A607" s="8"/>
      <c r="B607" s="8"/>
      <c r="C607" s="8"/>
      <c r="D607" s="8"/>
      <c r="E607" s="8"/>
      <c r="F607" s="8"/>
      <c r="G607" s="8"/>
      <c r="H607" s="8"/>
      <c r="J607" s="8"/>
      <c r="K607" s="8"/>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row>
    <row r="608" spans="1:39" ht="12.75" customHeight="1" x14ac:dyDescent="0.2">
      <c r="A608" s="8"/>
      <c r="B608" s="8"/>
      <c r="C608" s="8"/>
      <c r="D608" s="8"/>
      <c r="E608" s="8"/>
      <c r="F608" s="8"/>
      <c r="G608" s="8"/>
      <c r="H608" s="8"/>
      <c r="J608" s="8"/>
      <c r="K608" s="8"/>
      <c r="L608" s="8"/>
      <c r="M608" s="8"/>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8"/>
      <c r="AM608" s="8"/>
    </row>
    <row r="609" spans="1:39" ht="12.75" customHeight="1" x14ac:dyDescent="0.2">
      <c r="A609" s="8"/>
      <c r="B609" s="8"/>
      <c r="C609" s="8"/>
      <c r="D609" s="8"/>
      <c r="E609" s="8"/>
      <c r="F609" s="8"/>
      <c r="G609" s="8"/>
      <c r="H609" s="8"/>
      <c r="J609" s="8"/>
      <c r="K609" s="8"/>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row>
    <row r="610" spans="1:39" ht="12.75" customHeight="1" x14ac:dyDescent="0.2">
      <c r="A610" s="8"/>
      <c r="B610" s="8"/>
      <c r="C610" s="8"/>
      <c r="D610" s="8"/>
      <c r="E610" s="8"/>
      <c r="F610" s="8"/>
      <c r="G610" s="8"/>
      <c r="H610" s="8"/>
      <c r="J610" s="8"/>
      <c r="K610" s="8"/>
      <c r="L610" s="8"/>
      <c r="M610" s="8"/>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8"/>
      <c r="AM610" s="8"/>
    </row>
    <row r="611" spans="1:39" ht="12.75" customHeight="1" x14ac:dyDescent="0.2">
      <c r="A611" s="8"/>
      <c r="B611" s="8"/>
      <c r="C611" s="8"/>
      <c r="D611" s="8"/>
      <c r="E611" s="8"/>
      <c r="F611" s="8"/>
      <c r="G611" s="8"/>
      <c r="H611" s="8"/>
      <c r="J611" s="8"/>
      <c r="K611" s="8"/>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row>
    <row r="612" spans="1:39" ht="12.75" customHeight="1" x14ac:dyDescent="0.2">
      <c r="A612" s="8"/>
      <c r="B612" s="8"/>
      <c r="C612" s="8"/>
      <c r="D612" s="8"/>
      <c r="E612" s="8"/>
      <c r="F612" s="8"/>
      <c r="G612" s="8"/>
      <c r="H612" s="8"/>
      <c r="J612" s="8"/>
      <c r="K612" s="8"/>
      <c r="L612" s="8"/>
      <c r="M612" s="8"/>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8"/>
      <c r="AM612" s="8"/>
    </row>
    <row r="613" spans="1:39" ht="12.75" customHeight="1" x14ac:dyDescent="0.2">
      <c r="A613" s="8"/>
      <c r="B613" s="8"/>
      <c r="C613" s="8"/>
      <c r="D613" s="8"/>
      <c r="E613" s="8"/>
      <c r="F613" s="8"/>
      <c r="G613" s="8"/>
      <c r="H613" s="8"/>
      <c r="J613" s="8"/>
      <c r="K613" s="8"/>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row>
    <row r="614" spans="1:39" ht="12.75" customHeight="1" x14ac:dyDescent="0.2">
      <c r="A614" s="8"/>
      <c r="B614" s="8"/>
      <c r="C614" s="8"/>
      <c r="D614" s="8"/>
      <c r="E614" s="8"/>
      <c r="F614" s="8"/>
      <c r="G614" s="8"/>
      <c r="H614" s="8"/>
      <c r="J614" s="8"/>
      <c r="K614" s="8"/>
      <c r="L614" s="8"/>
      <c r="M614" s="8"/>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row>
    <row r="615" spans="1:39" ht="12.75" customHeight="1" x14ac:dyDescent="0.2">
      <c r="A615" s="8"/>
      <c r="B615" s="8"/>
      <c r="C615" s="8"/>
      <c r="D615" s="8"/>
      <c r="E615" s="8"/>
      <c r="F615" s="8"/>
      <c r="G615" s="8"/>
      <c r="H615" s="8"/>
      <c r="J615" s="8"/>
      <c r="K615" s="8"/>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row>
    <row r="616" spans="1:39" ht="12.75" customHeight="1" x14ac:dyDescent="0.2">
      <c r="A616" s="8"/>
      <c r="B616" s="8"/>
      <c r="C616" s="8"/>
      <c r="D616" s="8"/>
      <c r="E616" s="8"/>
      <c r="F616" s="8"/>
      <c r="G616" s="8"/>
      <c r="H616" s="8"/>
      <c r="J616" s="8"/>
      <c r="K616" s="8"/>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row>
    <row r="617" spans="1:39" ht="12.75" customHeight="1" x14ac:dyDescent="0.2">
      <c r="A617" s="8"/>
      <c r="B617" s="8"/>
      <c r="C617" s="8"/>
      <c r="D617" s="8"/>
      <c r="E617" s="8"/>
      <c r="F617" s="8"/>
      <c r="G617" s="8"/>
      <c r="H617" s="8"/>
      <c r="J617" s="8"/>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row>
    <row r="618" spans="1:39" ht="12.75" customHeight="1" x14ac:dyDescent="0.2">
      <c r="A618" s="8"/>
      <c r="B618" s="8"/>
      <c r="C618" s="8"/>
      <c r="D618" s="8"/>
      <c r="E618" s="8"/>
      <c r="F618" s="8"/>
      <c r="G618" s="8"/>
      <c r="H618" s="8"/>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row>
    <row r="619" spans="1:39" ht="12.75" customHeight="1" x14ac:dyDescent="0.2">
      <c r="A619" s="8"/>
      <c r="B619" s="8"/>
      <c r="C619" s="8"/>
      <c r="D619" s="8"/>
      <c r="E619" s="8"/>
      <c r="F619" s="8"/>
      <c r="G619" s="8"/>
      <c r="H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row>
    <row r="620" spans="1:39" ht="12.75" customHeight="1" x14ac:dyDescent="0.2">
      <c r="A620" s="8"/>
      <c r="B620" s="8"/>
      <c r="C620" s="8"/>
      <c r="D620" s="8"/>
      <c r="E620" s="8"/>
      <c r="F620" s="8"/>
      <c r="G620" s="8"/>
      <c r="H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row>
    <row r="621" spans="1:39" ht="12.75" customHeight="1" x14ac:dyDescent="0.2">
      <c r="A621" s="8"/>
      <c r="B621" s="8"/>
      <c r="C621" s="8"/>
      <c r="D621" s="8"/>
      <c r="E621" s="8"/>
      <c r="F621" s="8"/>
      <c r="G621" s="8"/>
      <c r="H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row>
    <row r="622" spans="1:39" ht="12.75" customHeight="1" x14ac:dyDescent="0.2">
      <c r="A622" s="8"/>
      <c r="B622" s="8"/>
      <c r="C622" s="8"/>
      <c r="D622" s="8"/>
      <c r="E622" s="8"/>
      <c r="F622" s="8"/>
      <c r="G622" s="8"/>
      <c r="H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row>
    <row r="623" spans="1:39" ht="12.75" customHeight="1" x14ac:dyDescent="0.2">
      <c r="A623" s="8"/>
      <c r="B623" s="8"/>
      <c r="C623" s="8"/>
      <c r="D623" s="8"/>
      <c r="E623" s="8"/>
      <c r="F623" s="8"/>
      <c r="G623" s="8"/>
      <c r="H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row>
    <row r="624" spans="1:39" ht="12.75" customHeight="1" x14ac:dyDescent="0.2">
      <c r="A624" s="8"/>
      <c r="B624" s="8"/>
      <c r="C624" s="8"/>
      <c r="D624" s="8"/>
      <c r="E624" s="8"/>
      <c r="F624" s="8"/>
      <c r="G624" s="8"/>
      <c r="H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row>
    <row r="625" spans="1:39" ht="12.75" customHeight="1" x14ac:dyDescent="0.2">
      <c r="A625" s="8"/>
      <c r="B625" s="8"/>
      <c r="C625" s="8"/>
      <c r="D625" s="8"/>
      <c r="E625" s="8"/>
      <c r="F625" s="8"/>
      <c r="G625" s="8"/>
      <c r="H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row>
    <row r="626" spans="1:39" ht="12.75" customHeight="1" x14ac:dyDescent="0.2">
      <c r="A626" s="8"/>
      <c r="B626" s="8"/>
      <c r="C626" s="8"/>
      <c r="D626" s="8"/>
      <c r="E626" s="8"/>
      <c r="F626" s="8"/>
      <c r="G626" s="8"/>
      <c r="H626" s="8"/>
      <c r="J626" s="8"/>
      <c r="K626" s="8"/>
      <c r="L626" s="8"/>
      <c r="M626" s="8"/>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8"/>
      <c r="AM626" s="8"/>
    </row>
    <row r="627" spans="1:39" ht="12.75" customHeight="1" x14ac:dyDescent="0.2">
      <c r="A627" s="8"/>
      <c r="B627" s="8"/>
      <c r="C627" s="8"/>
      <c r="D627" s="8"/>
      <c r="E627" s="8"/>
      <c r="F627" s="8"/>
      <c r="G627" s="8"/>
      <c r="H627" s="8"/>
      <c r="J627" s="8"/>
      <c r="K627" s="8"/>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row>
    <row r="628" spans="1:39" ht="12.75" customHeight="1" x14ac:dyDescent="0.2">
      <c r="A628" s="8"/>
      <c r="B628" s="8"/>
      <c r="C628" s="8"/>
      <c r="D628" s="8"/>
      <c r="E628" s="8"/>
      <c r="F628" s="8"/>
      <c r="G628" s="8"/>
      <c r="H628" s="8"/>
      <c r="J628" s="8"/>
      <c r="K628" s="8"/>
      <c r="L628" s="8"/>
      <c r="M628" s="8"/>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8"/>
      <c r="AM628" s="8"/>
    </row>
    <row r="629" spans="1:39" ht="12.75" customHeight="1" x14ac:dyDescent="0.2">
      <c r="A629" s="8"/>
      <c r="B629" s="8"/>
      <c r="C629" s="8"/>
      <c r="D629" s="8"/>
      <c r="E629" s="8"/>
      <c r="F629" s="8"/>
      <c r="G629" s="8"/>
      <c r="H629" s="8"/>
      <c r="J629" s="8"/>
      <c r="K629" s="8"/>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row>
    <row r="630" spans="1:39" ht="12.75" customHeight="1" x14ac:dyDescent="0.2">
      <c r="A630" s="8"/>
      <c r="B630" s="8"/>
      <c r="C630" s="8"/>
      <c r="D630" s="8"/>
      <c r="E630" s="8"/>
      <c r="F630" s="8"/>
      <c r="G630" s="8"/>
      <c r="H630" s="8"/>
      <c r="J630" s="8"/>
      <c r="K630" s="8"/>
      <c r="L630" s="8"/>
      <c r="M630" s="8"/>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8"/>
      <c r="AM630" s="8"/>
    </row>
    <row r="631" spans="1:39" ht="12.75" customHeight="1" x14ac:dyDescent="0.2">
      <c r="A631" s="8"/>
      <c r="B631" s="8"/>
      <c r="C631" s="8"/>
      <c r="D631" s="8"/>
      <c r="E631" s="8"/>
      <c r="F631" s="8"/>
      <c r="G631" s="8"/>
      <c r="H631" s="8"/>
      <c r="J631" s="8"/>
      <c r="K631" s="8"/>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row>
    <row r="632" spans="1:39" ht="12.75" customHeight="1" x14ac:dyDescent="0.2">
      <c r="A632" s="8"/>
      <c r="B632" s="8"/>
      <c r="C632" s="8"/>
      <c r="D632" s="8"/>
      <c r="E632" s="8"/>
      <c r="F632" s="8"/>
      <c r="G632" s="8"/>
      <c r="H632" s="8"/>
      <c r="J632" s="8"/>
      <c r="K632" s="8"/>
      <c r="L632" s="8"/>
      <c r="M632" s="8"/>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8"/>
      <c r="AM632" s="8"/>
    </row>
    <row r="633" spans="1:39" ht="12.75" customHeight="1" x14ac:dyDescent="0.2">
      <c r="A633" s="8"/>
      <c r="B633" s="8"/>
      <c r="C633" s="8"/>
      <c r="D633" s="8"/>
      <c r="E633" s="8"/>
      <c r="F633" s="8"/>
      <c r="G633" s="8"/>
      <c r="H633" s="8"/>
      <c r="J633" s="8"/>
      <c r="K633" s="8"/>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row>
    <row r="634" spans="1:39" ht="12.75" customHeight="1" x14ac:dyDescent="0.2">
      <c r="A634" s="8"/>
      <c r="B634" s="8"/>
      <c r="C634" s="8"/>
      <c r="D634" s="8"/>
      <c r="E634" s="8"/>
      <c r="F634" s="8"/>
      <c r="G634" s="8"/>
      <c r="H634" s="8"/>
      <c r="J634" s="8"/>
      <c r="K634" s="8"/>
      <c r="L634" s="8"/>
      <c r="M634" s="8"/>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8"/>
      <c r="AM634" s="8"/>
    </row>
    <row r="635" spans="1:39" ht="12.75" customHeight="1" x14ac:dyDescent="0.2">
      <c r="A635" s="8"/>
      <c r="B635" s="8"/>
      <c r="C635" s="8"/>
      <c r="D635" s="8"/>
      <c r="E635" s="8"/>
      <c r="F635" s="8"/>
      <c r="G635" s="8"/>
      <c r="H635" s="8"/>
      <c r="J635" s="8"/>
      <c r="K635" s="8"/>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row>
    <row r="636" spans="1:39" ht="12.75" customHeight="1" x14ac:dyDescent="0.2">
      <c r="A636" s="8"/>
      <c r="B636" s="8"/>
      <c r="C636" s="8"/>
      <c r="D636" s="8"/>
      <c r="E636" s="8"/>
      <c r="F636" s="8"/>
      <c r="G636" s="8"/>
      <c r="H636" s="8"/>
      <c r="J636" s="8"/>
      <c r="K636" s="8"/>
      <c r="L636" s="8"/>
      <c r="M636" s="8"/>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8"/>
      <c r="AM636" s="8"/>
    </row>
    <row r="637" spans="1:39" ht="12.75" customHeight="1" x14ac:dyDescent="0.2">
      <c r="A637" s="8"/>
      <c r="B637" s="8"/>
      <c r="C637" s="8"/>
      <c r="D637" s="8"/>
      <c r="E637" s="8"/>
      <c r="F637" s="8"/>
      <c r="G637" s="8"/>
      <c r="H637" s="8"/>
      <c r="J637" s="8"/>
      <c r="K637" s="8"/>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row>
    <row r="638" spans="1:39" ht="12.75" customHeight="1" x14ac:dyDescent="0.2">
      <c r="A638" s="8"/>
      <c r="B638" s="8"/>
      <c r="C638" s="8"/>
      <c r="D638" s="8"/>
      <c r="E638" s="8"/>
      <c r="F638" s="8"/>
      <c r="G638" s="8"/>
      <c r="H638" s="8"/>
      <c r="J638" s="8"/>
      <c r="K638" s="8"/>
      <c r="L638" s="8"/>
      <c r="M638" s="8"/>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8"/>
      <c r="AM638" s="8"/>
    </row>
    <row r="639" spans="1:39" ht="12.75" customHeight="1" x14ac:dyDescent="0.2">
      <c r="A639" s="8"/>
      <c r="B639" s="8"/>
      <c r="C639" s="8"/>
      <c r="D639" s="8"/>
      <c r="E639" s="8"/>
      <c r="F639" s="8"/>
      <c r="G639" s="8"/>
      <c r="H639" s="8"/>
      <c r="J639" s="8"/>
      <c r="K639" s="8"/>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row>
    <row r="640" spans="1:39" ht="12.75" customHeight="1" x14ac:dyDescent="0.2">
      <c r="A640" s="8"/>
      <c r="B640" s="8"/>
      <c r="C640" s="8"/>
      <c r="D640" s="8"/>
      <c r="E640" s="8"/>
      <c r="F640" s="8"/>
      <c r="G640" s="8"/>
      <c r="H640" s="8"/>
      <c r="J640" s="8"/>
      <c r="K640" s="8"/>
      <c r="L640" s="8"/>
      <c r="M640" s="8"/>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8"/>
      <c r="AM640" s="8"/>
    </row>
    <row r="641" spans="1:39" ht="12.75" customHeight="1" x14ac:dyDescent="0.2">
      <c r="A641" s="8"/>
      <c r="B641" s="8"/>
      <c r="C641" s="8"/>
      <c r="D641" s="8"/>
      <c r="E641" s="8"/>
      <c r="F641" s="8"/>
      <c r="G641" s="8"/>
      <c r="H641" s="8"/>
      <c r="J641" s="8"/>
      <c r="K641" s="8"/>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row>
    <row r="642" spans="1:39" ht="12.75" customHeight="1" x14ac:dyDescent="0.2">
      <c r="A642" s="8"/>
      <c r="B642" s="8"/>
      <c r="C642" s="8"/>
      <c r="D642" s="8"/>
      <c r="E642" s="8"/>
      <c r="F642" s="8"/>
      <c r="G642" s="8"/>
      <c r="H642" s="8"/>
      <c r="J642" s="8"/>
      <c r="K642" s="8"/>
      <c r="L642" s="8"/>
      <c r="M642" s="8"/>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8"/>
      <c r="AM642" s="8"/>
    </row>
    <row r="643" spans="1:39" ht="12.75" customHeight="1" x14ac:dyDescent="0.2">
      <c r="A643" s="8"/>
      <c r="B643" s="8"/>
      <c r="C643" s="8"/>
      <c r="D643" s="8"/>
      <c r="E643" s="8"/>
      <c r="F643" s="8"/>
      <c r="G643" s="8"/>
      <c r="H643" s="8"/>
      <c r="J643" s="8"/>
      <c r="K643" s="8"/>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row>
    <row r="644" spans="1:39" ht="12.75" customHeight="1" x14ac:dyDescent="0.2">
      <c r="A644" s="8"/>
      <c r="B644" s="8"/>
      <c r="C644" s="8"/>
      <c r="D644" s="8"/>
      <c r="E644" s="8"/>
      <c r="F644" s="8"/>
      <c r="G644" s="8"/>
      <c r="H644" s="8"/>
      <c r="J644" s="8"/>
      <c r="K644" s="8"/>
      <c r="L644" s="8"/>
      <c r="M644" s="8"/>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8"/>
      <c r="AM644" s="8"/>
    </row>
    <row r="645" spans="1:39" ht="12.75" customHeight="1" x14ac:dyDescent="0.2">
      <c r="A645" s="8"/>
      <c r="B645" s="8"/>
      <c r="C645" s="8"/>
      <c r="D645" s="8"/>
      <c r="E645" s="8"/>
      <c r="F645" s="8"/>
      <c r="G645" s="8"/>
      <c r="H645" s="8"/>
      <c r="J645" s="8"/>
      <c r="K645" s="8"/>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row>
    <row r="646" spans="1:39" ht="12.75" customHeight="1" x14ac:dyDescent="0.2">
      <c r="A646" s="8"/>
      <c r="B646" s="8"/>
      <c r="C646" s="8"/>
      <c r="D646" s="8"/>
      <c r="E646" s="8"/>
      <c r="F646" s="8"/>
      <c r="G646" s="8"/>
      <c r="H646" s="8"/>
      <c r="J646" s="8"/>
      <c r="K646" s="8"/>
      <c r="L646" s="8"/>
      <c r="M646" s="8"/>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8"/>
      <c r="AM646" s="8"/>
    </row>
    <row r="647" spans="1:39" ht="12.75" customHeight="1" x14ac:dyDescent="0.2">
      <c r="A647" s="8"/>
      <c r="B647" s="8"/>
      <c r="C647" s="8"/>
      <c r="D647" s="8"/>
      <c r="E647" s="8"/>
      <c r="F647" s="8"/>
      <c r="G647" s="8"/>
      <c r="H647" s="8"/>
      <c r="J647" s="8"/>
      <c r="K647" s="8"/>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row>
    <row r="648" spans="1:39" ht="12.75" customHeight="1" x14ac:dyDescent="0.2">
      <c r="A648" s="8"/>
      <c r="B648" s="8"/>
      <c r="C648" s="8"/>
      <c r="D648" s="8"/>
      <c r="E648" s="8"/>
      <c r="F648" s="8"/>
      <c r="G648" s="8"/>
      <c r="H648" s="8"/>
      <c r="J648" s="8"/>
      <c r="K648" s="8"/>
      <c r="L648" s="8"/>
      <c r="M648" s="8"/>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8"/>
      <c r="AM648" s="8"/>
    </row>
    <row r="649" spans="1:39" ht="12.75" customHeight="1" x14ac:dyDescent="0.2">
      <c r="A649" s="8"/>
      <c r="B649" s="8"/>
      <c r="C649" s="8"/>
      <c r="D649" s="8"/>
      <c r="E649" s="8"/>
      <c r="F649" s="8"/>
      <c r="G649" s="8"/>
      <c r="H649" s="8"/>
      <c r="J649" s="8"/>
      <c r="K649" s="8"/>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row>
    <row r="650" spans="1:39" ht="12.75" customHeight="1" x14ac:dyDescent="0.2">
      <c r="A650" s="8"/>
      <c r="B650" s="8"/>
      <c r="C650" s="8"/>
      <c r="D650" s="8"/>
      <c r="E650" s="8"/>
      <c r="F650" s="8"/>
      <c r="G650" s="8"/>
      <c r="H650" s="8"/>
      <c r="J650" s="8"/>
      <c r="K650" s="8"/>
      <c r="L650" s="8"/>
      <c r="M650" s="8"/>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8"/>
      <c r="AM650" s="8"/>
    </row>
    <row r="651" spans="1:39" ht="12.75" customHeight="1" x14ac:dyDescent="0.2">
      <c r="A651" s="8"/>
      <c r="B651" s="8"/>
      <c r="C651" s="8"/>
      <c r="D651" s="8"/>
      <c r="E651" s="8"/>
      <c r="F651" s="8"/>
      <c r="G651" s="8"/>
      <c r="H651" s="8"/>
      <c r="J651" s="8"/>
      <c r="K651" s="8"/>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row>
    <row r="652" spans="1:39" ht="12.75" customHeight="1" x14ac:dyDescent="0.2">
      <c r="A652" s="8"/>
      <c r="B652" s="8"/>
      <c r="C652" s="8"/>
      <c r="D652" s="8"/>
      <c r="E652" s="8"/>
      <c r="F652" s="8"/>
      <c r="G652" s="8"/>
      <c r="H652" s="8"/>
      <c r="J652" s="8"/>
      <c r="K652" s="8"/>
      <c r="L652" s="8"/>
      <c r="M652" s="8"/>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8"/>
      <c r="AM652" s="8"/>
    </row>
    <row r="653" spans="1:39" ht="12.75" customHeight="1" x14ac:dyDescent="0.2">
      <c r="A653" s="8"/>
      <c r="B653" s="8"/>
      <c r="C653" s="8"/>
      <c r="D653" s="8"/>
      <c r="E653" s="8"/>
      <c r="F653" s="8"/>
      <c r="G653" s="8"/>
      <c r="H653" s="8"/>
      <c r="J653" s="8"/>
      <c r="K653" s="8"/>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row>
    <row r="654" spans="1:39" ht="12.75" customHeight="1" x14ac:dyDescent="0.2">
      <c r="A654" s="8"/>
      <c r="B654" s="8"/>
      <c r="C654" s="8"/>
      <c r="D654" s="8"/>
      <c r="E654" s="8"/>
      <c r="F654" s="8"/>
      <c r="G654" s="8"/>
      <c r="H654" s="8"/>
      <c r="J654" s="8"/>
      <c r="K654" s="8"/>
      <c r="L654" s="8"/>
      <c r="M654" s="8"/>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8"/>
      <c r="AM654" s="8"/>
    </row>
    <row r="655" spans="1:39" ht="12.75" customHeight="1" x14ac:dyDescent="0.2">
      <c r="A655" s="8"/>
      <c r="B655" s="8"/>
      <c r="C655" s="8"/>
      <c r="D655" s="8"/>
      <c r="E655" s="8"/>
      <c r="F655" s="8"/>
      <c r="G655" s="8"/>
      <c r="H655" s="8"/>
      <c r="J655" s="8"/>
      <c r="K655" s="8"/>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row>
    <row r="656" spans="1:39" ht="12.75" customHeight="1" x14ac:dyDescent="0.2">
      <c r="A656" s="8"/>
      <c r="B656" s="8"/>
      <c r="C656" s="8"/>
      <c r="D656" s="8"/>
      <c r="E656" s="8"/>
      <c r="F656" s="8"/>
      <c r="G656" s="8"/>
      <c r="H656" s="8"/>
      <c r="J656" s="8"/>
      <c r="K656" s="8"/>
      <c r="L656" s="8"/>
      <c r="M656" s="8"/>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8"/>
      <c r="AM656" s="8"/>
    </row>
    <row r="657" spans="1:39" ht="12.75" customHeight="1" x14ac:dyDescent="0.2">
      <c r="A657" s="8"/>
      <c r="B657" s="8"/>
      <c r="C657" s="8"/>
      <c r="D657" s="8"/>
      <c r="E657" s="8"/>
      <c r="F657" s="8"/>
      <c r="G657" s="8"/>
      <c r="H657" s="8"/>
      <c r="J657" s="8"/>
      <c r="K657" s="8"/>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row>
    <row r="658" spans="1:39" ht="12.75" customHeight="1" x14ac:dyDescent="0.2">
      <c r="A658" s="8"/>
      <c r="B658" s="8"/>
      <c r="C658" s="8"/>
      <c r="D658" s="8"/>
      <c r="E658" s="8"/>
      <c r="F658" s="8"/>
      <c r="G658" s="8"/>
      <c r="H658" s="8"/>
      <c r="J658" s="8"/>
      <c r="K658" s="8"/>
      <c r="L658" s="8"/>
      <c r="M658" s="8"/>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8"/>
      <c r="AM658" s="8"/>
    </row>
    <row r="659" spans="1:39" ht="12.75" customHeight="1" x14ac:dyDescent="0.2">
      <c r="A659" s="8"/>
      <c r="B659" s="8"/>
      <c r="C659" s="8"/>
      <c r="D659" s="8"/>
      <c r="E659" s="8"/>
      <c r="F659" s="8"/>
      <c r="G659" s="8"/>
      <c r="H659" s="8"/>
      <c r="J659" s="8"/>
      <c r="K659" s="8"/>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row>
    <row r="660" spans="1:39" ht="12.75" customHeight="1" x14ac:dyDescent="0.2">
      <c r="A660" s="8"/>
      <c r="B660" s="8"/>
      <c r="C660" s="8"/>
      <c r="D660" s="8"/>
      <c r="E660" s="8"/>
      <c r="F660" s="8"/>
      <c r="G660" s="8"/>
      <c r="H660" s="8"/>
      <c r="J660" s="8"/>
      <c r="K660" s="8"/>
      <c r="L660" s="8"/>
      <c r="M660" s="8"/>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8"/>
      <c r="AM660" s="8"/>
    </row>
    <row r="661" spans="1:39" ht="12.75" customHeight="1" x14ac:dyDescent="0.2">
      <c r="A661" s="8"/>
      <c r="B661" s="8"/>
      <c r="C661" s="8"/>
      <c r="D661" s="8"/>
      <c r="E661" s="8"/>
      <c r="F661" s="8"/>
      <c r="G661" s="8"/>
      <c r="H661" s="8"/>
      <c r="J661" s="8"/>
      <c r="K661" s="8"/>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row>
    <row r="662" spans="1:39" ht="12.75" customHeight="1" x14ac:dyDescent="0.2">
      <c r="A662" s="8"/>
      <c r="B662" s="8"/>
      <c r="C662" s="8"/>
      <c r="D662" s="8"/>
      <c r="E662" s="8"/>
      <c r="F662" s="8"/>
      <c r="G662" s="8"/>
      <c r="H662" s="8"/>
      <c r="J662" s="8"/>
      <c r="K662" s="8"/>
      <c r="L662" s="8"/>
      <c r="M662" s="8"/>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8"/>
      <c r="AM662" s="8"/>
    </row>
    <row r="663" spans="1:39" ht="12.75" customHeight="1" x14ac:dyDescent="0.2">
      <c r="A663" s="8"/>
      <c r="B663" s="8"/>
      <c r="C663" s="8"/>
      <c r="D663" s="8"/>
      <c r="E663" s="8"/>
      <c r="F663" s="8"/>
      <c r="G663" s="8"/>
      <c r="H663" s="8"/>
      <c r="J663" s="8"/>
      <c r="K663" s="8"/>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row>
    <row r="664" spans="1:39" ht="12.75" customHeight="1" x14ac:dyDescent="0.2">
      <c r="A664" s="8"/>
      <c r="B664" s="8"/>
      <c r="C664" s="8"/>
      <c r="D664" s="8"/>
      <c r="E664" s="8"/>
      <c r="F664" s="8"/>
      <c r="G664" s="8"/>
      <c r="H664" s="8"/>
      <c r="J664" s="8"/>
      <c r="K664" s="8"/>
      <c r="L664" s="8"/>
      <c r="M664" s="8"/>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8"/>
      <c r="AM664" s="8"/>
    </row>
    <row r="665" spans="1:39" ht="12.75" customHeight="1" x14ac:dyDescent="0.2">
      <c r="A665" s="8"/>
      <c r="B665" s="8"/>
      <c r="C665" s="8"/>
      <c r="D665" s="8"/>
      <c r="E665" s="8"/>
      <c r="F665" s="8"/>
      <c r="G665" s="8"/>
      <c r="H665" s="8"/>
      <c r="J665" s="8"/>
      <c r="K665" s="8"/>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row>
    <row r="666" spans="1:39" ht="12.75" customHeight="1" x14ac:dyDescent="0.2">
      <c r="A666" s="8"/>
      <c r="B666" s="8"/>
      <c r="C666" s="8"/>
      <c r="D666" s="8"/>
      <c r="E666" s="8"/>
      <c r="F666" s="8"/>
      <c r="G666" s="8"/>
      <c r="H666" s="8"/>
      <c r="J666" s="8"/>
      <c r="K666" s="8"/>
      <c r="L666" s="8"/>
      <c r="M666" s="8"/>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8"/>
      <c r="AM666" s="8"/>
    </row>
    <row r="667" spans="1:39" ht="12.75" customHeight="1" x14ac:dyDescent="0.2">
      <c r="A667" s="8"/>
      <c r="B667" s="8"/>
      <c r="C667" s="8"/>
      <c r="D667" s="8"/>
      <c r="E667" s="8"/>
      <c r="F667" s="8"/>
      <c r="G667" s="8"/>
      <c r="H667" s="8"/>
      <c r="J667" s="8"/>
      <c r="K667" s="8"/>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row>
    <row r="668" spans="1:39" ht="12.75" customHeight="1" x14ac:dyDescent="0.2">
      <c r="A668" s="8"/>
      <c r="B668" s="8"/>
      <c r="C668" s="8"/>
      <c r="D668" s="8"/>
      <c r="E668" s="8"/>
      <c r="F668" s="8"/>
      <c r="G668" s="8"/>
      <c r="H668" s="8"/>
      <c r="J668" s="8"/>
      <c r="K668" s="8"/>
      <c r="L668" s="8"/>
      <c r="M668" s="8"/>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8"/>
      <c r="AM668" s="8"/>
    </row>
    <row r="669" spans="1:39" ht="12.75" customHeight="1" x14ac:dyDescent="0.2">
      <c r="A669" s="8"/>
      <c r="B669" s="8"/>
      <c r="C669" s="8"/>
      <c r="D669" s="8"/>
      <c r="E669" s="8"/>
      <c r="F669" s="8"/>
      <c r="G669" s="8"/>
      <c r="H669" s="8"/>
      <c r="J669" s="8"/>
      <c r="K669" s="8"/>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row>
    <row r="670" spans="1:39" ht="12.75" customHeight="1" x14ac:dyDescent="0.2">
      <c r="A670" s="8"/>
      <c r="B670" s="8"/>
      <c r="C670" s="8"/>
      <c r="D670" s="8"/>
      <c r="E670" s="8"/>
      <c r="F670" s="8"/>
      <c r="G670" s="8"/>
      <c r="H670" s="8"/>
      <c r="J670" s="8"/>
      <c r="K670" s="8"/>
      <c r="L670" s="8"/>
      <c r="M670" s="8"/>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8"/>
      <c r="AM670" s="8"/>
    </row>
    <row r="671" spans="1:39" ht="12.75" customHeight="1" x14ac:dyDescent="0.2">
      <c r="A671" s="8"/>
      <c r="B671" s="8"/>
      <c r="C671" s="8"/>
      <c r="D671" s="8"/>
      <c r="E671" s="8"/>
      <c r="F671" s="8"/>
      <c r="G671" s="8"/>
      <c r="H671" s="8"/>
      <c r="J671" s="8"/>
      <c r="K671" s="8"/>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row>
    <row r="672" spans="1:39" ht="12.75" customHeight="1" x14ac:dyDescent="0.2">
      <c r="A672" s="8"/>
      <c r="B672" s="8"/>
      <c r="C672" s="8"/>
      <c r="D672" s="8"/>
      <c r="E672" s="8"/>
      <c r="F672" s="8"/>
      <c r="G672" s="8"/>
      <c r="H672" s="8"/>
      <c r="J672" s="8"/>
      <c r="K672" s="8"/>
      <c r="L672" s="8"/>
      <c r="M672" s="8"/>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8"/>
      <c r="AM672" s="8"/>
    </row>
    <row r="673" spans="1:39" ht="12.75" customHeight="1" x14ac:dyDescent="0.2">
      <c r="A673" s="8"/>
      <c r="B673" s="8"/>
      <c r="C673" s="8"/>
      <c r="D673" s="8"/>
      <c r="E673" s="8"/>
      <c r="F673" s="8"/>
      <c r="G673" s="8"/>
      <c r="H673" s="8"/>
      <c r="J673" s="8"/>
      <c r="K673" s="8"/>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row>
    <row r="674" spans="1:39" ht="12.75" customHeight="1" x14ac:dyDescent="0.2">
      <c r="A674" s="8"/>
      <c r="B674" s="8"/>
      <c r="C674" s="8"/>
      <c r="D674" s="8"/>
      <c r="E674" s="8"/>
      <c r="F674" s="8"/>
      <c r="G674" s="8"/>
      <c r="H674" s="8"/>
      <c r="J674" s="8"/>
      <c r="K674" s="8"/>
      <c r="L674" s="8"/>
      <c r="M674" s="8"/>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8"/>
      <c r="AM674" s="8"/>
    </row>
    <row r="675" spans="1:39" ht="12.75" customHeight="1" x14ac:dyDescent="0.2">
      <c r="A675" s="8"/>
      <c r="B675" s="8"/>
      <c r="C675" s="8"/>
      <c r="D675" s="8"/>
      <c r="E675" s="8"/>
      <c r="F675" s="8"/>
      <c r="G675" s="8"/>
      <c r="H675" s="8"/>
      <c r="J675" s="8"/>
      <c r="K675" s="8"/>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row>
    <row r="676" spans="1:39" ht="12.75" customHeight="1" x14ac:dyDescent="0.2">
      <c r="A676" s="8"/>
      <c r="B676" s="8"/>
      <c r="C676" s="8"/>
      <c r="D676" s="8"/>
      <c r="E676" s="8"/>
      <c r="F676" s="8"/>
      <c r="G676" s="8"/>
      <c r="H676" s="8"/>
      <c r="J676" s="8"/>
      <c r="K676" s="8"/>
      <c r="L676" s="8"/>
      <c r="M676" s="8"/>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8"/>
      <c r="AM676" s="8"/>
    </row>
    <row r="677" spans="1:39" ht="12.75" customHeight="1" x14ac:dyDescent="0.2">
      <c r="A677" s="8"/>
      <c r="B677" s="8"/>
      <c r="C677" s="8"/>
      <c r="D677" s="8"/>
      <c r="E677" s="8"/>
      <c r="F677" s="8"/>
      <c r="G677" s="8"/>
      <c r="H677" s="8"/>
      <c r="J677" s="8"/>
      <c r="K677" s="8"/>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row>
    <row r="678" spans="1:39" ht="12.75" customHeight="1" x14ac:dyDescent="0.2">
      <c r="A678" s="8"/>
      <c r="B678" s="8"/>
      <c r="C678" s="8"/>
      <c r="D678" s="8"/>
      <c r="E678" s="8"/>
      <c r="F678" s="8"/>
      <c r="G678" s="8"/>
      <c r="H678" s="8"/>
      <c r="J678" s="8"/>
      <c r="K678" s="8"/>
      <c r="L678" s="8"/>
      <c r="M678" s="8"/>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8"/>
      <c r="AM678" s="8"/>
    </row>
    <row r="679" spans="1:39" ht="12.75" customHeight="1" x14ac:dyDescent="0.2">
      <c r="A679" s="8"/>
      <c r="B679" s="8"/>
      <c r="C679" s="8"/>
      <c r="D679" s="8"/>
      <c r="E679" s="8"/>
      <c r="F679" s="8"/>
      <c r="G679" s="8"/>
      <c r="H679" s="8"/>
      <c r="J679" s="8"/>
      <c r="K679" s="8"/>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row>
    <row r="680" spans="1:39" ht="12.75" customHeight="1" x14ac:dyDescent="0.2">
      <c r="A680" s="8"/>
      <c r="B680" s="8"/>
      <c r="C680" s="8"/>
      <c r="D680" s="8"/>
      <c r="E680" s="8"/>
      <c r="F680" s="8"/>
      <c r="G680" s="8"/>
      <c r="H680" s="8"/>
      <c r="J680" s="8"/>
      <c r="K680" s="8"/>
      <c r="L680" s="8"/>
      <c r="M680" s="8"/>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8"/>
      <c r="AM680" s="8"/>
    </row>
    <row r="681" spans="1:39" ht="12.75" customHeight="1" x14ac:dyDescent="0.2">
      <c r="A681" s="8"/>
      <c r="B681" s="8"/>
      <c r="C681" s="8"/>
      <c r="D681" s="8"/>
      <c r="E681" s="8"/>
      <c r="F681" s="8"/>
      <c r="G681" s="8"/>
      <c r="H681" s="8"/>
      <c r="J681" s="8"/>
      <c r="K681" s="8"/>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row>
    <row r="682" spans="1:39" ht="12.75" customHeight="1" x14ac:dyDescent="0.2">
      <c r="A682" s="8"/>
      <c r="B682" s="8"/>
      <c r="C682" s="8"/>
      <c r="D682" s="8"/>
      <c r="E682" s="8"/>
      <c r="F682" s="8"/>
      <c r="G682" s="8"/>
      <c r="H682" s="8"/>
      <c r="J682" s="8"/>
      <c r="K682" s="8"/>
      <c r="L682" s="8"/>
      <c r="M682" s="8"/>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8"/>
      <c r="AM682" s="8"/>
    </row>
    <row r="683" spans="1:39" ht="12.75" customHeight="1" x14ac:dyDescent="0.2">
      <c r="A683" s="8"/>
      <c r="B683" s="8"/>
      <c r="C683" s="8"/>
      <c r="D683" s="8"/>
      <c r="E683" s="8"/>
      <c r="F683" s="8"/>
      <c r="G683" s="8"/>
      <c r="H683" s="8"/>
      <c r="J683" s="8"/>
      <c r="K683" s="8"/>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row>
    <row r="684" spans="1:39" ht="12.75" customHeight="1" x14ac:dyDescent="0.2">
      <c r="A684" s="8"/>
      <c r="B684" s="8"/>
      <c r="C684" s="8"/>
      <c r="D684" s="8"/>
      <c r="E684" s="8"/>
      <c r="F684" s="8"/>
      <c r="G684" s="8"/>
      <c r="H684" s="8"/>
      <c r="J684" s="8"/>
      <c r="K684" s="8"/>
      <c r="L684" s="8"/>
      <c r="M684" s="8"/>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8"/>
      <c r="AM684" s="8"/>
    </row>
    <row r="685" spans="1:39" ht="12.75" customHeight="1" x14ac:dyDescent="0.2">
      <c r="A685" s="8"/>
      <c r="B685" s="8"/>
      <c r="C685" s="8"/>
      <c r="D685" s="8"/>
      <c r="E685" s="8"/>
      <c r="F685" s="8"/>
      <c r="G685" s="8"/>
      <c r="H685" s="8"/>
      <c r="J685" s="8"/>
      <c r="K685" s="8"/>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row>
    <row r="686" spans="1:39" ht="12.75" customHeight="1" x14ac:dyDescent="0.2">
      <c r="A686" s="8"/>
      <c r="B686" s="8"/>
      <c r="C686" s="8"/>
      <c r="D686" s="8"/>
      <c r="E686" s="8"/>
      <c r="F686" s="8"/>
      <c r="G686" s="8"/>
      <c r="H686" s="8"/>
      <c r="J686" s="8"/>
      <c r="K686" s="8"/>
      <c r="L686" s="8"/>
      <c r="M686" s="8"/>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8"/>
      <c r="AM686" s="8"/>
    </row>
    <row r="687" spans="1:39" ht="12.75" customHeight="1" x14ac:dyDescent="0.2">
      <c r="A687" s="8"/>
      <c r="B687" s="8"/>
      <c r="C687" s="8"/>
      <c r="D687" s="8"/>
      <c r="E687" s="8"/>
      <c r="F687" s="8"/>
      <c r="G687" s="8"/>
      <c r="H687" s="8"/>
      <c r="J687" s="8"/>
      <c r="K687" s="8"/>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row>
    <row r="688" spans="1:39" ht="12.75" customHeight="1" x14ac:dyDescent="0.2">
      <c r="A688" s="8"/>
      <c r="B688" s="8"/>
      <c r="C688" s="8"/>
      <c r="D688" s="8"/>
      <c r="E688" s="8"/>
      <c r="F688" s="8"/>
      <c r="G688" s="8"/>
      <c r="H688" s="8"/>
      <c r="J688" s="8"/>
      <c r="K688" s="8"/>
      <c r="L688" s="8"/>
      <c r="M688" s="8"/>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8"/>
      <c r="AM688" s="8"/>
    </row>
    <row r="689" spans="1:39" ht="12.75" customHeight="1" x14ac:dyDescent="0.2">
      <c r="A689" s="8"/>
      <c r="B689" s="8"/>
      <c r="C689" s="8"/>
      <c r="D689" s="8"/>
      <c r="E689" s="8"/>
      <c r="F689" s="8"/>
      <c r="G689" s="8"/>
      <c r="H689" s="8"/>
      <c r="J689" s="8"/>
      <c r="K689" s="8"/>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row>
    <row r="690" spans="1:39" ht="12.75" customHeight="1" x14ac:dyDescent="0.2">
      <c r="A690" s="8"/>
      <c r="B690" s="8"/>
      <c r="C690" s="8"/>
      <c r="D690" s="8"/>
      <c r="E690" s="8"/>
      <c r="F690" s="8"/>
      <c r="G690" s="8"/>
      <c r="H690" s="8"/>
      <c r="J690" s="8"/>
      <c r="K690" s="8"/>
      <c r="L690" s="8"/>
      <c r="M690" s="8"/>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8"/>
      <c r="AM690" s="8"/>
    </row>
    <row r="691" spans="1:39" ht="12.75" customHeight="1" x14ac:dyDescent="0.2">
      <c r="A691" s="8"/>
      <c r="B691" s="8"/>
      <c r="C691" s="8"/>
      <c r="D691" s="8"/>
      <c r="E691" s="8"/>
      <c r="F691" s="8"/>
      <c r="G691" s="8"/>
      <c r="H691" s="8"/>
      <c r="J691" s="8"/>
      <c r="K691" s="8"/>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row>
    <row r="692" spans="1:39" ht="12.75" customHeight="1" x14ac:dyDescent="0.2">
      <c r="A692" s="8"/>
      <c r="B692" s="8"/>
      <c r="C692" s="8"/>
      <c r="D692" s="8"/>
      <c r="E692" s="8"/>
      <c r="F692" s="8"/>
      <c r="G692" s="8"/>
      <c r="H692" s="8"/>
      <c r="J692" s="8"/>
      <c r="K692" s="8"/>
      <c r="L692" s="8"/>
      <c r="M692" s="8"/>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8"/>
      <c r="AM692" s="8"/>
    </row>
    <row r="693" spans="1:39" ht="12.75" customHeight="1" x14ac:dyDescent="0.2">
      <c r="A693" s="8"/>
      <c r="B693" s="8"/>
      <c r="C693" s="8"/>
      <c r="D693" s="8"/>
      <c r="E693" s="8"/>
      <c r="F693" s="8"/>
      <c r="G693" s="8"/>
      <c r="H693" s="8"/>
      <c r="J693" s="8"/>
      <c r="K693" s="8"/>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row>
    <row r="694" spans="1:39" ht="12.75" customHeight="1" x14ac:dyDescent="0.2">
      <c r="A694" s="8"/>
      <c r="B694" s="8"/>
      <c r="C694" s="8"/>
      <c r="D694" s="8"/>
      <c r="E694" s="8"/>
      <c r="F694" s="8"/>
      <c r="G694" s="8"/>
      <c r="H694" s="8"/>
      <c r="J694" s="8"/>
      <c r="K694" s="8"/>
      <c r="L694" s="8"/>
      <c r="M694" s="8"/>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8"/>
      <c r="AM694" s="8"/>
    </row>
    <row r="695" spans="1:39" ht="12.75" customHeight="1" x14ac:dyDescent="0.2">
      <c r="A695" s="8"/>
      <c r="B695" s="8"/>
      <c r="C695" s="8"/>
      <c r="D695" s="8"/>
      <c r="E695" s="8"/>
      <c r="F695" s="8"/>
      <c r="G695" s="8"/>
      <c r="H695" s="8"/>
      <c r="J695" s="8"/>
      <c r="K695" s="8"/>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row>
    <row r="696" spans="1:39" ht="12.75" customHeight="1" x14ac:dyDescent="0.2">
      <c r="A696" s="8"/>
      <c r="B696" s="8"/>
      <c r="C696" s="8"/>
      <c r="D696" s="8"/>
      <c r="E696" s="8"/>
      <c r="F696" s="8"/>
      <c r="G696" s="8"/>
      <c r="H696" s="8"/>
      <c r="J696" s="8"/>
      <c r="K696" s="8"/>
      <c r="L696" s="8"/>
      <c r="M696" s="8"/>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8"/>
      <c r="AM696" s="8"/>
    </row>
    <row r="697" spans="1:39" ht="12.75" customHeight="1" x14ac:dyDescent="0.2">
      <c r="A697" s="8"/>
      <c r="B697" s="8"/>
      <c r="C697" s="8"/>
      <c r="D697" s="8"/>
      <c r="E697" s="8"/>
      <c r="F697" s="8"/>
      <c r="G697" s="8"/>
      <c r="H697" s="8"/>
      <c r="J697" s="8"/>
      <c r="K697" s="8"/>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row>
    <row r="698" spans="1:39" ht="12.75" customHeight="1" x14ac:dyDescent="0.2">
      <c r="A698" s="8"/>
      <c r="B698" s="8"/>
      <c r="C698" s="8"/>
      <c r="D698" s="8"/>
      <c r="E698" s="8"/>
      <c r="F698" s="8"/>
      <c r="G698" s="8"/>
      <c r="H698" s="8"/>
      <c r="J698" s="8"/>
      <c r="K698" s="8"/>
      <c r="L698" s="8"/>
      <c r="M698" s="8"/>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8"/>
      <c r="AM698" s="8"/>
    </row>
    <row r="699" spans="1:39" ht="12.75" customHeight="1" x14ac:dyDescent="0.2">
      <c r="A699" s="8"/>
      <c r="B699" s="8"/>
      <c r="C699" s="8"/>
      <c r="D699" s="8"/>
      <c r="E699" s="8"/>
      <c r="F699" s="8"/>
      <c r="G699" s="8"/>
      <c r="H699" s="8"/>
      <c r="J699" s="8"/>
      <c r="K699" s="8"/>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row>
    <row r="700" spans="1:39" ht="12.75" customHeight="1" x14ac:dyDescent="0.2">
      <c r="A700" s="8"/>
      <c r="B700" s="8"/>
      <c r="C700" s="8"/>
      <c r="D700" s="8"/>
      <c r="E700" s="8"/>
      <c r="F700" s="8"/>
      <c r="G700" s="8"/>
      <c r="H700" s="8"/>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8"/>
      <c r="AM700" s="8"/>
    </row>
    <row r="701" spans="1:39" ht="12.75" customHeight="1" x14ac:dyDescent="0.2">
      <c r="A701" s="8"/>
      <c r="B701" s="8"/>
      <c r="C701" s="8"/>
      <c r="D701" s="8"/>
      <c r="E701" s="8"/>
      <c r="F701" s="8"/>
      <c r="G701" s="8"/>
      <c r="H701" s="8"/>
      <c r="J701" s="8"/>
      <c r="K701" s="8"/>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row>
    <row r="702" spans="1:39" ht="12.75" customHeight="1" x14ac:dyDescent="0.2">
      <c r="A702" s="8"/>
      <c r="B702" s="8"/>
      <c r="C702" s="8"/>
      <c r="D702" s="8"/>
      <c r="E702" s="8"/>
      <c r="F702" s="8"/>
      <c r="G702" s="8"/>
      <c r="H702" s="8"/>
      <c r="J702" s="8"/>
      <c r="K702" s="8"/>
      <c r="L702" s="8"/>
      <c r="M702" s="8"/>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8"/>
      <c r="AM702" s="8"/>
    </row>
    <row r="703" spans="1:39" ht="12.75" customHeight="1" x14ac:dyDescent="0.2">
      <c r="A703" s="8"/>
      <c r="B703" s="8"/>
      <c r="C703" s="8"/>
      <c r="D703" s="8"/>
      <c r="E703" s="8"/>
      <c r="F703" s="8"/>
      <c r="G703" s="8"/>
      <c r="H703" s="8"/>
      <c r="J703" s="8"/>
      <c r="K703" s="8"/>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row>
    <row r="704" spans="1:39" ht="12.75" customHeight="1" x14ac:dyDescent="0.2">
      <c r="A704" s="8"/>
      <c r="B704" s="8"/>
      <c r="C704" s="8"/>
      <c r="D704" s="8"/>
      <c r="E704" s="8"/>
      <c r="F704" s="8"/>
      <c r="G704" s="8"/>
      <c r="H704" s="8"/>
      <c r="J704" s="8"/>
      <c r="K704" s="8"/>
      <c r="L704" s="8"/>
      <c r="M704" s="8"/>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8"/>
      <c r="AM704" s="8"/>
    </row>
    <row r="705" spans="1:39" ht="12.75" customHeight="1" x14ac:dyDescent="0.2">
      <c r="A705" s="8"/>
      <c r="B705" s="8"/>
      <c r="C705" s="8"/>
      <c r="D705" s="8"/>
      <c r="E705" s="8"/>
      <c r="F705" s="8"/>
      <c r="G705" s="8"/>
      <c r="H705" s="8"/>
      <c r="J705" s="8"/>
      <c r="K705" s="8"/>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row>
    <row r="706" spans="1:39" ht="12.75" customHeight="1" x14ac:dyDescent="0.2">
      <c r="A706" s="8"/>
      <c r="B706" s="8"/>
      <c r="C706" s="8"/>
      <c r="D706" s="8"/>
      <c r="E706" s="8"/>
      <c r="F706" s="8"/>
      <c r="G706" s="8"/>
      <c r="H706" s="8"/>
      <c r="J706" s="8"/>
      <c r="K706" s="8"/>
      <c r="L706" s="8"/>
      <c r="M706" s="8"/>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8"/>
      <c r="AM706" s="8"/>
    </row>
    <row r="707" spans="1:39" ht="12.75" customHeight="1" x14ac:dyDescent="0.2">
      <c r="A707" s="8"/>
      <c r="B707" s="8"/>
      <c r="C707" s="8"/>
      <c r="D707" s="8"/>
      <c r="E707" s="8"/>
      <c r="F707" s="8"/>
      <c r="G707" s="8"/>
      <c r="H707" s="8"/>
      <c r="J707" s="8"/>
      <c r="K707" s="8"/>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row>
    <row r="708" spans="1:39" ht="12.75" customHeight="1" x14ac:dyDescent="0.2">
      <c r="A708" s="8"/>
      <c r="B708" s="8"/>
      <c r="C708" s="8"/>
      <c r="D708" s="8"/>
      <c r="E708" s="8"/>
      <c r="F708" s="8"/>
      <c r="G708" s="8"/>
      <c r="H708" s="8"/>
      <c r="J708" s="8"/>
      <c r="K708" s="8"/>
      <c r="L708" s="8"/>
      <c r="M708" s="8"/>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8"/>
      <c r="AM708" s="8"/>
    </row>
    <row r="709" spans="1:39" ht="12.75" customHeight="1" x14ac:dyDescent="0.2">
      <c r="A709" s="8"/>
      <c r="B709" s="8"/>
      <c r="C709" s="8"/>
      <c r="D709" s="8"/>
      <c r="E709" s="8"/>
      <c r="F709" s="8"/>
      <c r="G709" s="8"/>
      <c r="H709" s="8"/>
      <c r="J709" s="8"/>
      <c r="K709" s="8"/>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row>
    <row r="710" spans="1:39" ht="12.75" customHeight="1" x14ac:dyDescent="0.2">
      <c r="A710" s="8"/>
      <c r="B710" s="8"/>
      <c r="C710" s="8"/>
      <c r="D710" s="8"/>
      <c r="E710" s="8"/>
      <c r="F710" s="8"/>
      <c r="G710" s="8"/>
      <c r="H710" s="8"/>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8"/>
      <c r="AM710" s="8"/>
    </row>
    <row r="711" spans="1:39" ht="12.75" customHeight="1" x14ac:dyDescent="0.2">
      <c r="A711" s="8"/>
      <c r="B711" s="8"/>
      <c r="C711" s="8"/>
      <c r="D711" s="8"/>
      <c r="E711" s="8"/>
      <c r="F711" s="8"/>
      <c r="G711" s="8"/>
      <c r="H711" s="8"/>
      <c r="J711" s="8"/>
      <c r="K711" s="8"/>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row>
    <row r="712" spans="1:39" ht="12.75" customHeight="1" x14ac:dyDescent="0.2">
      <c r="A712" s="8"/>
      <c r="B712" s="8"/>
      <c r="C712" s="8"/>
      <c r="D712" s="8"/>
      <c r="E712" s="8"/>
      <c r="F712" s="8"/>
      <c r="G712" s="8"/>
      <c r="H712" s="8"/>
      <c r="J712" s="8"/>
      <c r="K712" s="8"/>
      <c r="L712" s="8"/>
      <c r="M712" s="8"/>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8"/>
      <c r="AM712" s="8"/>
    </row>
    <row r="713" spans="1:39" ht="12.75" customHeight="1" x14ac:dyDescent="0.2">
      <c r="A713" s="8"/>
      <c r="B713" s="8"/>
      <c r="C713" s="8"/>
      <c r="D713" s="8"/>
      <c r="E713" s="8"/>
      <c r="F713" s="8"/>
      <c r="G713" s="8"/>
      <c r="H713" s="8"/>
      <c r="J713" s="8"/>
      <c r="K713" s="8"/>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row>
    <row r="714" spans="1:39" ht="12.75" customHeight="1" x14ac:dyDescent="0.2">
      <c r="A714" s="8"/>
      <c r="B714" s="8"/>
      <c r="C714" s="8"/>
      <c r="D714" s="8"/>
      <c r="E714" s="8"/>
      <c r="F714" s="8"/>
      <c r="G714" s="8"/>
      <c r="H714" s="8"/>
      <c r="J714" s="8"/>
      <c r="K714" s="8"/>
      <c r="L714" s="8"/>
      <c r="M714" s="8"/>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row>
    <row r="715" spans="1:39" ht="12.75" customHeight="1" x14ac:dyDescent="0.2">
      <c r="A715" s="8"/>
      <c r="B715" s="8"/>
      <c r="C715" s="8"/>
      <c r="D715" s="8"/>
      <c r="E715" s="8"/>
      <c r="F715" s="8"/>
      <c r="G715" s="8"/>
      <c r="H715" s="8"/>
      <c r="J715" s="8"/>
      <c r="K715" s="8"/>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row>
    <row r="716" spans="1:39" ht="12.75" customHeight="1" x14ac:dyDescent="0.2">
      <c r="A716" s="8"/>
      <c r="B716" s="8"/>
      <c r="C716" s="8"/>
      <c r="D716" s="8"/>
      <c r="E716" s="8"/>
      <c r="F716" s="8"/>
      <c r="G716" s="8"/>
      <c r="H716" s="8"/>
      <c r="J716" s="8"/>
      <c r="K716" s="8"/>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row>
    <row r="717" spans="1:39" ht="12.75" customHeight="1" x14ac:dyDescent="0.2">
      <c r="A717" s="8"/>
      <c r="B717" s="8"/>
      <c r="C717" s="8"/>
      <c r="D717" s="8"/>
      <c r="E717" s="8"/>
      <c r="F717" s="8"/>
      <c r="G717" s="8"/>
      <c r="H717" s="8"/>
      <c r="J717" s="8"/>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row>
    <row r="718" spans="1:39" ht="12.75" customHeight="1" x14ac:dyDescent="0.2">
      <c r="A718" s="8"/>
      <c r="B718" s="8"/>
      <c r="C718" s="8"/>
      <c r="D718" s="8"/>
      <c r="E718" s="8"/>
      <c r="F718" s="8"/>
      <c r="G718" s="8"/>
      <c r="H718" s="8"/>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row>
    <row r="719" spans="1:39" ht="12.75" customHeight="1" x14ac:dyDescent="0.2">
      <c r="A719" s="8"/>
      <c r="B719" s="8"/>
      <c r="C719" s="8"/>
      <c r="D719" s="8"/>
      <c r="E719" s="8"/>
      <c r="F719" s="8"/>
      <c r="G719" s="8"/>
      <c r="H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row>
    <row r="720" spans="1:39" ht="12.75" customHeight="1" x14ac:dyDescent="0.2">
      <c r="A720" s="8"/>
      <c r="B720" s="8"/>
      <c r="C720" s="8"/>
      <c r="D720" s="8"/>
      <c r="E720" s="8"/>
      <c r="F720" s="8"/>
      <c r="G720" s="8"/>
      <c r="H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row>
    <row r="721" spans="1:39" ht="12.75" customHeight="1" x14ac:dyDescent="0.2">
      <c r="A721" s="8"/>
      <c r="B721" s="8"/>
      <c r="C721" s="8"/>
      <c r="D721" s="8"/>
      <c r="E721" s="8"/>
      <c r="F721" s="8"/>
      <c r="G721" s="8"/>
      <c r="H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row>
    <row r="722" spans="1:39" ht="12.75" customHeight="1" x14ac:dyDescent="0.2">
      <c r="A722" s="8"/>
      <c r="B722" s="8"/>
      <c r="C722" s="8"/>
      <c r="D722" s="8"/>
      <c r="E722" s="8"/>
      <c r="F722" s="8"/>
      <c r="G722" s="8"/>
      <c r="H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row>
    <row r="723" spans="1:39" ht="12.75" customHeight="1" x14ac:dyDescent="0.2">
      <c r="A723" s="8"/>
      <c r="B723" s="8"/>
      <c r="C723" s="8"/>
      <c r="D723" s="8"/>
      <c r="E723" s="8"/>
      <c r="F723" s="8"/>
      <c r="G723" s="8"/>
      <c r="H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row>
    <row r="724" spans="1:39" ht="12.75" customHeight="1" x14ac:dyDescent="0.2">
      <c r="A724" s="8"/>
      <c r="B724" s="8"/>
      <c r="C724" s="8"/>
      <c r="D724" s="8"/>
      <c r="E724" s="8"/>
      <c r="F724" s="8"/>
      <c r="G724" s="8"/>
      <c r="H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row>
    <row r="725" spans="1:39" ht="12.75" customHeight="1" x14ac:dyDescent="0.2">
      <c r="A725" s="8"/>
      <c r="B725" s="8"/>
      <c r="C725" s="8"/>
      <c r="D725" s="8"/>
      <c r="E725" s="8"/>
      <c r="F725" s="8"/>
      <c r="G725" s="8"/>
      <c r="H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row>
    <row r="726" spans="1:39" ht="12.75" customHeight="1" x14ac:dyDescent="0.2">
      <c r="A726" s="8"/>
      <c r="B726" s="8"/>
      <c r="C726" s="8"/>
      <c r="D726" s="8"/>
      <c r="E726" s="8"/>
      <c r="F726" s="8"/>
      <c r="G726" s="8"/>
      <c r="H726" s="8"/>
      <c r="J726" s="8"/>
      <c r="K726" s="8"/>
      <c r="L726" s="8"/>
      <c r="M726" s="8"/>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8"/>
      <c r="AM726" s="8"/>
    </row>
    <row r="727" spans="1:39" ht="12.75" customHeight="1" x14ac:dyDescent="0.2">
      <c r="A727" s="8"/>
      <c r="B727" s="8"/>
      <c r="C727" s="8"/>
      <c r="D727" s="8"/>
      <c r="E727" s="8"/>
      <c r="F727" s="8"/>
      <c r="G727" s="8"/>
      <c r="H727" s="8"/>
      <c r="J727" s="8"/>
      <c r="K727" s="8"/>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row>
    <row r="728" spans="1:39" ht="12.75" customHeight="1" x14ac:dyDescent="0.2">
      <c r="A728" s="8"/>
      <c r="B728" s="8"/>
      <c r="C728" s="8"/>
      <c r="D728" s="8"/>
      <c r="E728" s="8"/>
      <c r="F728" s="8"/>
      <c r="G728" s="8"/>
      <c r="H728" s="8"/>
      <c r="J728" s="8"/>
      <c r="K728" s="8"/>
      <c r="L728" s="8"/>
      <c r="M728" s="8"/>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8"/>
      <c r="AM728" s="8"/>
    </row>
    <row r="729" spans="1:39" ht="12.75" customHeight="1" x14ac:dyDescent="0.2">
      <c r="A729" s="8"/>
      <c r="B729" s="8"/>
      <c r="C729" s="8"/>
      <c r="D729" s="8"/>
      <c r="E729" s="8"/>
      <c r="F729" s="8"/>
      <c r="G729" s="8"/>
      <c r="H729" s="8"/>
      <c r="J729" s="8"/>
      <c r="K729" s="8"/>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row>
    <row r="730" spans="1:39" ht="12.75" customHeight="1" x14ac:dyDescent="0.2">
      <c r="A730" s="8"/>
      <c r="B730" s="8"/>
      <c r="C730" s="8"/>
      <c r="D730" s="8"/>
      <c r="E730" s="8"/>
      <c r="F730" s="8"/>
      <c r="G730" s="8"/>
      <c r="H730" s="8"/>
      <c r="J730" s="8"/>
      <c r="K730" s="8"/>
      <c r="L730" s="8"/>
      <c r="M730" s="8"/>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8"/>
      <c r="AM730" s="8"/>
    </row>
    <row r="731" spans="1:39" ht="12.75" customHeight="1" x14ac:dyDescent="0.2">
      <c r="A731" s="8"/>
      <c r="B731" s="8"/>
      <c r="C731" s="8"/>
      <c r="D731" s="8"/>
      <c r="E731" s="8"/>
      <c r="F731" s="8"/>
      <c r="G731" s="8"/>
      <c r="H731" s="8"/>
      <c r="J731" s="8"/>
      <c r="K731" s="8"/>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row>
    <row r="732" spans="1:39" ht="12.75" customHeight="1" x14ac:dyDescent="0.2">
      <c r="A732" s="8"/>
      <c r="B732" s="8"/>
      <c r="C732" s="8"/>
      <c r="D732" s="8"/>
      <c r="E732" s="8"/>
      <c r="F732" s="8"/>
      <c r="G732" s="8"/>
      <c r="H732" s="8"/>
      <c r="J732" s="8"/>
      <c r="K732" s="8"/>
      <c r="L732" s="8"/>
      <c r="M732" s="8"/>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8"/>
      <c r="AM732" s="8"/>
    </row>
    <row r="733" spans="1:39" ht="12.75" customHeight="1" x14ac:dyDescent="0.2">
      <c r="A733" s="8"/>
      <c r="B733" s="8"/>
      <c r="C733" s="8"/>
      <c r="D733" s="8"/>
      <c r="E733" s="8"/>
      <c r="F733" s="8"/>
      <c r="G733" s="8"/>
      <c r="H733" s="8"/>
      <c r="J733" s="8"/>
      <c r="K733" s="8"/>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row>
    <row r="734" spans="1:39" ht="12.75" customHeight="1" x14ac:dyDescent="0.2">
      <c r="A734" s="8"/>
      <c r="B734" s="8"/>
      <c r="C734" s="8"/>
      <c r="D734" s="8"/>
      <c r="E734" s="8"/>
      <c r="F734" s="8"/>
      <c r="G734" s="8"/>
      <c r="H734" s="8"/>
      <c r="J734" s="8"/>
      <c r="K734" s="8"/>
      <c r="L734" s="8"/>
      <c r="M734" s="8"/>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8"/>
      <c r="AM734" s="8"/>
    </row>
    <row r="735" spans="1:39" ht="12.75" customHeight="1" x14ac:dyDescent="0.2">
      <c r="A735" s="8"/>
      <c r="B735" s="8"/>
      <c r="C735" s="8"/>
      <c r="D735" s="8"/>
      <c r="E735" s="8"/>
      <c r="F735" s="8"/>
      <c r="G735" s="8"/>
      <c r="H735" s="8"/>
      <c r="J735" s="8"/>
      <c r="K735" s="8"/>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row>
    <row r="736" spans="1:39" ht="12.75" customHeight="1" x14ac:dyDescent="0.2">
      <c r="A736" s="8"/>
      <c r="B736" s="8"/>
      <c r="C736" s="8"/>
      <c r="D736" s="8"/>
      <c r="E736" s="8"/>
      <c r="F736" s="8"/>
      <c r="G736" s="8"/>
      <c r="H736" s="8"/>
      <c r="J736" s="8"/>
      <c r="K736" s="8"/>
      <c r="L736" s="8"/>
      <c r="M736" s="8"/>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8"/>
      <c r="AM736" s="8"/>
    </row>
    <row r="737" spans="1:39" ht="12.75" customHeight="1" x14ac:dyDescent="0.2">
      <c r="A737" s="8"/>
      <c r="B737" s="8"/>
      <c r="C737" s="8"/>
      <c r="D737" s="8"/>
      <c r="E737" s="8"/>
      <c r="F737" s="8"/>
      <c r="G737" s="8"/>
      <c r="H737" s="8"/>
      <c r="J737" s="8"/>
      <c r="K737" s="8"/>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row>
    <row r="738" spans="1:39" ht="12.75" customHeight="1" x14ac:dyDescent="0.2">
      <c r="A738" s="8"/>
      <c r="B738" s="8"/>
      <c r="C738" s="8"/>
      <c r="D738" s="8"/>
      <c r="E738" s="8"/>
      <c r="F738" s="8"/>
      <c r="G738" s="8"/>
      <c r="H738" s="8"/>
      <c r="J738" s="8"/>
      <c r="K738" s="8"/>
      <c r="L738" s="8"/>
      <c r="M738" s="8"/>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8"/>
      <c r="AM738" s="8"/>
    </row>
    <row r="739" spans="1:39" ht="12.75" customHeight="1" x14ac:dyDescent="0.2">
      <c r="A739" s="8"/>
      <c r="B739" s="8"/>
      <c r="C739" s="8"/>
      <c r="D739" s="8"/>
      <c r="E739" s="8"/>
      <c r="F739" s="8"/>
      <c r="G739" s="8"/>
      <c r="H739" s="8"/>
      <c r="J739" s="8"/>
      <c r="K739" s="8"/>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row>
    <row r="740" spans="1:39" ht="12.75" customHeight="1" x14ac:dyDescent="0.2">
      <c r="A740" s="8"/>
      <c r="B740" s="8"/>
      <c r="C740" s="8"/>
      <c r="D740" s="8"/>
      <c r="E740" s="8"/>
      <c r="F740" s="8"/>
      <c r="G740" s="8"/>
      <c r="H740" s="8"/>
      <c r="J740" s="8"/>
      <c r="K740" s="8"/>
      <c r="L740" s="8"/>
      <c r="M740" s="8"/>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8"/>
      <c r="AM740" s="8"/>
    </row>
    <row r="741" spans="1:39" ht="12.75" customHeight="1" x14ac:dyDescent="0.2">
      <c r="A741" s="8"/>
      <c r="B741" s="8"/>
      <c r="C741" s="8"/>
      <c r="D741" s="8"/>
      <c r="E741" s="8"/>
      <c r="F741" s="8"/>
      <c r="G741" s="8"/>
      <c r="H741" s="8"/>
      <c r="J741" s="8"/>
      <c r="K741" s="8"/>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row>
    <row r="742" spans="1:39" ht="12.75" customHeight="1" x14ac:dyDescent="0.2">
      <c r="A742" s="8"/>
      <c r="B742" s="8"/>
      <c r="C742" s="8"/>
      <c r="D742" s="8"/>
      <c r="E742" s="8"/>
      <c r="F742" s="8"/>
      <c r="G742" s="8"/>
      <c r="H742" s="8"/>
      <c r="J742" s="8"/>
      <c r="K742" s="8"/>
      <c r="L742" s="8"/>
      <c r="M742" s="8"/>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8"/>
      <c r="AM742" s="8"/>
    </row>
    <row r="743" spans="1:39" ht="12.75" customHeight="1" x14ac:dyDescent="0.2">
      <c r="A743" s="8"/>
      <c r="B743" s="8"/>
      <c r="C743" s="8"/>
      <c r="D743" s="8"/>
      <c r="E743" s="8"/>
      <c r="F743" s="8"/>
      <c r="G743" s="8"/>
      <c r="H743" s="8"/>
      <c r="J743" s="8"/>
      <c r="K743" s="8"/>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row>
    <row r="744" spans="1:39" ht="12.75" customHeight="1" x14ac:dyDescent="0.2">
      <c r="A744" s="8"/>
      <c r="B744" s="8"/>
      <c r="C744" s="8"/>
      <c r="D744" s="8"/>
      <c r="E744" s="8"/>
      <c r="F744" s="8"/>
      <c r="G744" s="8"/>
      <c r="H744" s="8"/>
      <c r="J744" s="8"/>
      <c r="K744" s="8"/>
      <c r="L744" s="8"/>
      <c r="M744" s="8"/>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8"/>
      <c r="AM744" s="8"/>
    </row>
    <row r="745" spans="1:39" ht="12.75" customHeight="1" x14ac:dyDescent="0.2">
      <c r="A745" s="8"/>
      <c r="B745" s="8"/>
      <c r="C745" s="8"/>
      <c r="D745" s="8"/>
      <c r="E745" s="8"/>
      <c r="F745" s="8"/>
      <c r="G745" s="8"/>
      <c r="H745" s="8"/>
      <c r="J745" s="8"/>
      <c r="K745" s="8"/>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row>
    <row r="746" spans="1:39" ht="12.75" customHeight="1" x14ac:dyDescent="0.2">
      <c r="A746" s="8"/>
      <c r="B746" s="8"/>
      <c r="C746" s="8"/>
      <c r="D746" s="8"/>
      <c r="E746" s="8"/>
      <c r="F746" s="8"/>
      <c r="G746" s="8"/>
      <c r="H746" s="8"/>
      <c r="J746" s="8"/>
      <c r="K746" s="8"/>
      <c r="L746" s="8"/>
      <c r="M746" s="8"/>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8"/>
      <c r="AM746" s="8"/>
    </row>
    <row r="747" spans="1:39" ht="12.75" customHeight="1" x14ac:dyDescent="0.2">
      <c r="A747" s="8"/>
      <c r="B747" s="8"/>
      <c r="C747" s="8"/>
      <c r="D747" s="8"/>
      <c r="E747" s="8"/>
      <c r="F747" s="8"/>
      <c r="G747" s="8"/>
      <c r="H747" s="8"/>
      <c r="J747" s="8"/>
      <c r="K747" s="8"/>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row>
    <row r="748" spans="1:39" ht="12.75" customHeight="1" x14ac:dyDescent="0.2">
      <c r="A748" s="8"/>
      <c r="B748" s="8"/>
      <c r="C748" s="8"/>
      <c r="D748" s="8"/>
      <c r="E748" s="8"/>
      <c r="F748" s="8"/>
      <c r="G748" s="8"/>
      <c r="H748" s="8"/>
      <c r="J748" s="8"/>
      <c r="K748" s="8"/>
      <c r="L748" s="8"/>
      <c r="M748" s="8"/>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8"/>
      <c r="AM748" s="8"/>
    </row>
    <row r="749" spans="1:39" ht="12.75" customHeight="1" x14ac:dyDescent="0.2">
      <c r="A749" s="8"/>
      <c r="B749" s="8"/>
      <c r="C749" s="8"/>
      <c r="D749" s="8"/>
      <c r="E749" s="8"/>
      <c r="F749" s="8"/>
      <c r="G749" s="8"/>
      <c r="H749" s="8"/>
      <c r="J749" s="8"/>
      <c r="K749" s="8"/>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row>
    <row r="750" spans="1:39" ht="12.75" customHeight="1" x14ac:dyDescent="0.2">
      <c r="A750" s="8"/>
      <c r="B750" s="8"/>
      <c r="C750" s="8"/>
      <c r="D750" s="8"/>
      <c r="E750" s="8"/>
      <c r="F750" s="8"/>
      <c r="G750" s="8"/>
      <c r="H750" s="8"/>
      <c r="J750" s="8"/>
      <c r="K750" s="8"/>
      <c r="L750" s="8"/>
      <c r="M750" s="8"/>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8"/>
      <c r="AM750" s="8"/>
    </row>
    <row r="751" spans="1:39" ht="12.75" customHeight="1" x14ac:dyDescent="0.2">
      <c r="A751" s="8"/>
      <c r="B751" s="8"/>
      <c r="C751" s="8"/>
      <c r="D751" s="8"/>
      <c r="E751" s="8"/>
      <c r="F751" s="8"/>
      <c r="G751" s="8"/>
      <c r="H751" s="8"/>
      <c r="J751" s="8"/>
      <c r="K751" s="8"/>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row>
    <row r="752" spans="1:39" ht="12.75" customHeight="1" x14ac:dyDescent="0.2">
      <c r="A752" s="8"/>
      <c r="B752" s="8"/>
      <c r="C752" s="8"/>
      <c r="D752" s="8"/>
      <c r="E752" s="8"/>
      <c r="F752" s="8"/>
      <c r="G752" s="8"/>
      <c r="H752" s="8"/>
      <c r="J752" s="8"/>
      <c r="K752" s="8"/>
      <c r="L752" s="8"/>
      <c r="M752" s="8"/>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8"/>
      <c r="AM752" s="8"/>
    </row>
    <row r="753" spans="1:39" ht="12.75" customHeight="1" x14ac:dyDescent="0.2">
      <c r="A753" s="8"/>
      <c r="B753" s="8"/>
      <c r="C753" s="8"/>
      <c r="D753" s="8"/>
      <c r="E753" s="8"/>
      <c r="F753" s="8"/>
      <c r="G753" s="8"/>
      <c r="H753" s="8"/>
      <c r="J753" s="8"/>
      <c r="K753" s="8"/>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row>
    <row r="754" spans="1:39" ht="12.75" customHeight="1" x14ac:dyDescent="0.2">
      <c r="A754" s="8"/>
      <c r="B754" s="8"/>
      <c r="C754" s="8"/>
      <c r="D754" s="8"/>
      <c r="E754" s="8"/>
      <c r="F754" s="8"/>
      <c r="G754" s="8"/>
      <c r="H754" s="8"/>
      <c r="J754" s="8"/>
      <c r="K754" s="8"/>
      <c r="L754" s="8"/>
      <c r="M754" s="8"/>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8"/>
      <c r="AM754" s="8"/>
    </row>
    <row r="755" spans="1:39" ht="12.75" customHeight="1" x14ac:dyDescent="0.2">
      <c r="A755" s="8"/>
      <c r="B755" s="8"/>
      <c r="C755" s="8"/>
      <c r="D755" s="8"/>
      <c r="E755" s="8"/>
      <c r="F755" s="8"/>
      <c r="G755" s="8"/>
      <c r="H755" s="8"/>
      <c r="J755" s="8"/>
      <c r="K755" s="8"/>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row>
    <row r="756" spans="1:39" ht="12.75" customHeight="1" x14ac:dyDescent="0.2">
      <c r="A756" s="8"/>
      <c r="B756" s="8"/>
      <c r="C756" s="8"/>
      <c r="D756" s="8"/>
      <c r="E756" s="8"/>
      <c r="F756" s="8"/>
      <c r="G756" s="8"/>
      <c r="H756" s="8"/>
      <c r="J756" s="8"/>
      <c r="K756" s="8"/>
      <c r="L756" s="8"/>
      <c r="M756" s="8"/>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8"/>
      <c r="AM756" s="8"/>
    </row>
    <row r="757" spans="1:39" ht="12.75" customHeight="1" x14ac:dyDescent="0.2">
      <c r="A757" s="8"/>
      <c r="B757" s="8"/>
      <c r="C757" s="8"/>
      <c r="D757" s="8"/>
      <c r="E757" s="8"/>
      <c r="F757" s="8"/>
      <c r="G757" s="8"/>
      <c r="H757" s="8"/>
      <c r="J757" s="8"/>
      <c r="K757" s="8"/>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row>
    <row r="758" spans="1:39" ht="12.75" customHeight="1" x14ac:dyDescent="0.2">
      <c r="A758" s="8"/>
      <c r="B758" s="8"/>
      <c r="C758" s="8"/>
      <c r="D758" s="8"/>
      <c r="E758" s="8"/>
      <c r="F758" s="8"/>
      <c r="G758" s="8"/>
      <c r="H758" s="8"/>
      <c r="J758" s="8"/>
      <c r="K758" s="8"/>
      <c r="L758" s="8"/>
      <c r="M758" s="8"/>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8"/>
      <c r="AM758" s="8"/>
    </row>
    <row r="759" spans="1:39" ht="12.75" customHeight="1" x14ac:dyDescent="0.2">
      <c r="A759" s="8"/>
      <c r="B759" s="8"/>
      <c r="C759" s="8"/>
      <c r="D759" s="8"/>
      <c r="E759" s="8"/>
      <c r="F759" s="8"/>
      <c r="G759" s="8"/>
      <c r="H759" s="8"/>
      <c r="J759" s="8"/>
      <c r="K759" s="8"/>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row>
    <row r="760" spans="1:39" ht="12.75" customHeight="1" x14ac:dyDescent="0.2">
      <c r="A760" s="8"/>
      <c r="B760" s="8"/>
      <c r="C760" s="8"/>
      <c r="D760" s="8"/>
      <c r="E760" s="8"/>
      <c r="F760" s="8"/>
      <c r="G760" s="8"/>
      <c r="H760" s="8"/>
      <c r="J760" s="8"/>
      <c r="K760" s="8"/>
      <c r="L760" s="8"/>
      <c r="M760" s="8"/>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8"/>
      <c r="AM760" s="8"/>
    </row>
    <row r="761" spans="1:39" ht="12.75" customHeight="1" x14ac:dyDescent="0.2">
      <c r="A761" s="8"/>
      <c r="B761" s="8"/>
      <c r="C761" s="8"/>
      <c r="D761" s="8"/>
      <c r="E761" s="8"/>
      <c r="F761" s="8"/>
      <c r="G761" s="8"/>
      <c r="H761" s="8"/>
      <c r="J761" s="8"/>
      <c r="K761" s="8"/>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row>
    <row r="762" spans="1:39" ht="12.75" customHeight="1" x14ac:dyDescent="0.2">
      <c r="A762" s="8"/>
      <c r="B762" s="8"/>
      <c r="C762" s="8"/>
      <c r="D762" s="8"/>
      <c r="E762" s="8"/>
      <c r="F762" s="8"/>
      <c r="G762" s="8"/>
      <c r="H762" s="8"/>
      <c r="J762" s="8"/>
      <c r="K762" s="8"/>
      <c r="L762" s="8"/>
      <c r="M762" s="8"/>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8"/>
      <c r="AM762" s="8"/>
    </row>
    <row r="763" spans="1:39" ht="12.75" customHeight="1" x14ac:dyDescent="0.2">
      <c r="A763" s="8"/>
      <c r="B763" s="8"/>
      <c r="C763" s="8"/>
      <c r="D763" s="8"/>
      <c r="E763" s="8"/>
      <c r="F763" s="8"/>
      <c r="G763" s="8"/>
      <c r="H763" s="8"/>
      <c r="J763" s="8"/>
      <c r="K763" s="8"/>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row>
    <row r="764" spans="1:39" ht="12.75" customHeight="1" x14ac:dyDescent="0.2">
      <c r="A764" s="8"/>
      <c r="B764" s="8"/>
      <c r="C764" s="8"/>
      <c r="D764" s="8"/>
      <c r="E764" s="8"/>
      <c r="F764" s="8"/>
      <c r="G764" s="8"/>
      <c r="H764" s="8"/>
      <c r="J764" s="8"/>
      <c r="K764" s="8"/>
      <c r="L764" s="8"/>
      <c r="M764" s="8"/>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8"/>
      <c r="AM764" s="8"/>
    </row>
    <row r="765" spans="1:39" ht="12.75" customHeight="1" x14ac:dyDescent="0.2">
      <c r="A765" s="8"/>
      <c r="B765" s="8"/>
      <c r="C765" s="8"/>
      <c r="D765" s="8"/>
      <c r="E765" s="8"/>
      <c r="F765" s="8"/>
      <c r="G765" s="8"/>
      <c r="H765" s="8"/>
      <c r="J765" s="8"/>
      <c r="K765" s="8"/>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row>
    <row r="766" spans="1:39" ht="12.75" customHeight="1" x14ac:dyDescent="0.2">
      <c r="A766" s="8"/>
      <c r="B766" s="8"/>
      <c r="C766" s="8"/>
      <c r="D766" s="8"/>
      <c r="E766" s="8"/>
      <c r="F766" s="8"/>
      <c r="G766" s="8"/>
      <c r="H766" s="8"/>
      <c r="J766" s="8"/>
      <c r="K766" s="8"/>
      <c r="L766" s="8"/>
      <c r="M766" s="8"/>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8"/>
      <c r="AM766" s="8"/>
    </row>
    <row r="767" spans="1:39" ht="12.75" customHeight="1" x14ac:dyDescent="0.2">
      <c r="A767" s="8"/>
      <c r="B767" s="8"/>
      <c r="C767" s="8"/>
      <c r="D767" s="8"/>
      <c r="E767" s="8"/>
      <c r="F767" s="8"/>
      <c r="G767" s="8"/>
      <c r="H767" s="8"/>
      <c r="J767" s="8"/>
      <c r="K767" s="8"/>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row>
    <row r="768" spans="1:39" ht="12.75" customHeight="1" x14ac:dyDescent="0.2">
      <c r="A768" s="8"/>
      <c r="B768" s="8"/>
      <c r="C768" s="8"/>
      <c r="D768" s="8"/>
      <c r="E768" s="8"/>
      <c r="F768" s="8"/>
      <c r="G768" s="8"/>
      <c r="H768" s="8"/>
      <c r="J768" s="8"/>
      <c r="K768" s="8"/>
      <c r="L768" s="8"/>
      <c r="M768" s="8"/>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8"/>
      <c r="AM768" s="8"/>
    </row>
    <row r="769" spans="1:39" ht="12.75" customHeight="1" x14ac:dyDescent="0.2">
      <c r="A769" s="8"/>
      <c r="B769" s="8"/>
      <c r="C769" s="8"/>
      <c r="D769" s="8"/>
      <c r="E769" s="8"/>
      <c r="F769" s="8"/>
      <c r="G769" s="8"/>
      <c r="H769" s="8"/>
      <c r="J769" s="8"/>
      <c r="K769" s="8"/>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row>
    <row r="770" spans="1:39" ht="12.75" customHeight="1" x14ac:dyDescent="0.2">
      <c r="A770" s="8"/>
      <c r="B770" s="8"/>
      <c r="C770" s="8"/>
      <c r="D770" s="8"/>
      <c r="E770" s="8"/>
      <c r="F770" s="8"/>
      <c r="G770" s="8"/>
      <c r="H770" s="8"/>
      <c r="J770" s="8"/>
      <c r="K770" s="8"/>
      <c r="L770" s="8"/>
      <c r="M770" s="8"/>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8"/>
      <c r="AM770" s="8"/>
    </row>
    <row r="771" spans="1:39" ht="12.75" customHeight="1" x14ac:dyDescent="0.2">
      <c r="A771" s="8"/>
      <c r="B771" s="8"/>
      <c r="C771" s="8"/>
      <c r="D771" s="8"/>
      <c r="E771" s="8"/>
      <c r="F771" s="8"/>
      <c r="G771" s="8"/>
      <c r="H771" s="8"/>
      <c r="J771" s="8"/>
      <c r="K771" s="8"/>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row>
    <row r="772" spans="1:39" ht="12.75" customHeight="1" x14ac:dyDescent="0.2">
      <c r="A772" s="8"/>
      <c r="B772" s="8"/>
      <c r="C772" s="8"/>
      <c r="D772" s="8"/>
      <c r="E772" s="8"/>
      <c r="F772" s="8"/>
      <c r="G772" s="8"/>
      <c r="H772" s="8"/>
      <c r="J772" s="8"/>
      <c r="K772" s="8"/>
      <c r="L772" s="8"/>
      <c r="M772" s="8"/>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8"/>
      <c r="AM772" s="8"/>
    </row>
    <row r="773" spans="1:39" ht="12.75" customHeight="1" x14ac:dyDescent="0.2">
      <c r="A773" s="8"/>
      <c r="B773" s="8"/>
      <c r="C773" s="8"/>
      <c r="D773" s="8"/>
      <c r="E773" s="8"/>
      <c r="F773" s="8"/>
      <c r="G773" s="8"/>
      <c r="H773" s="8"/>
      <c r="J773" s="8"/>
      <c r="K773" s="8"/>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row>
    <row r="774" spans="1:39" ht="12.75" customHeight="1" x14ac:dyDescent="0.2">
      <c r="A774" s="8"/>
      <c r="B774" s="8"/>
      <c r="C774" s="8"/>
      <c r="D774" s="8"/>
      <c r="E774" s="8"/>
      <c r="F774" s="8"/>
      <c r="G774" s="8"/>
      <c r="H774" s="8"/>
      <c r="J774" s="8"/>
      <c r="K774" s="8"/>
      <c r="L774" s="8"/>
      <c r="M774" s="8"/>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8"/>
      <c r="AM774" s="8"/>
    </row>
    <row r="775" spans="1:39" ht="12.75" customHeight="1" x14ac:dyDescent="0.2">
      <c r="A775" s="8"/>
      <c r="B775" s="8"/>
      <c r="C775" s="8"/>
      <c r="D775" s="8"/>
      <c r="E775" s="8"/>
      <c r="F775" s="8"/>
      <c r="G775" s="8"/>
      <c r="H775" s="8"/>
      <c r="J775" s="8"/>
      <c r="K775" s="8"/>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row>
    <row r="776" spans="1:39" ht="12.75" customHeight="1" x14ac:dyDescent="0.2">
      <c r="A776" s="8"/>
      <c r="B776" s="8"/>
      <c r="C776" s="8"/>
      <c r="D776" s="8"/>
      <c r="E776" s="8"/>
      <c r="F776" s="8"/>
      <c r="G776" s="8"/>
      <c r="H776" s="8"/>
      <c r="J776" s="8"/>
      <c r="K776" s="8"/>
      <c r="L776" s="8"/>
      <c r="M776" s="8"/>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8"/>
      <c r="AM776" s="8"/>
    </row>
    <row r="777" spans="1:39" ht="12.75" customHeight="1" x14ac:dyDescent="0.2">
      <c r="A777" s="8"/>
      <c r="B777" s="8"/>
      <c r="C777" s="8"/>
      <c r="D777" s="8"/>
      <c r="E777" s="8"/>
      <c r="F777" s="8"/>
      <c r="G777" s="8"/>
      <c r="H777" s="8"/>
      <c r="J777" s="8"/>
      <c r="K777" s="8"/>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row>
    <row r="778" spans="1:39" ht="12.75" customHeight="1" x14ac:dyDescent="0.2">
      <c r="A778" s="8"/>
      <c r="B778" s="8"/>
      <c r="C778" s="8"/>
      <c r="D778" s="8"/>
      <c r="E778" s="8"/>
      <c r="F778" s="8"/>
      <c r="G778" s="8"/>
      <c r="H778" s="8"/>
      <c r="J778" s="8"/>
      <c r="K778" s="8"/>
      <c r="L778" s="8"/>
      <c r="M778" s="8"/>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8"/>
      <c r="AM778" s="8"/>
    </row>
    <row r="779" spans="1:39" ht="12.75" customHeight="1" x14ac:dyDescent="0.2">
      <c r="A779" s="8"/>
      <c r="B779" s="8"/>
      <c r="C779" s="8"/>
      <c r="D779" s="8"/>
      <c r="E779" s="8"/>
      <c r="F779" s="8"/>
      <c r="G779" s="8"/>
      <c r="H779" s="8"/>
      <c r="J779" s="8"/>
      <c r="K779" s="8"/>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row>
    <row r="780" spans="1:39" ht="12.75" customHeight="1" x14ac:dyDescent="0.2">
      <c r="A780" s="8"/>
      <c r="B780" s="8"/>
      <c r="C780" s="8"/>
      <c r="D780" s="8"/>
      <c r="E780" s="8"/>
      <c r="F780" s="8"/>
      <c r="G780" s="8"/>
      <c r="H780" s="8"/>
      <c r="J780" s="8"/>
      <c r="K780" s="8"/>
      <c r="L780" s="8"/>
      <c r="M780" s="8"/>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8"/>
      <c r="AM780" s="8"/>
    </row>
    <row r="781" spans="1:39" ht="12.75" customHeight="1" x14ac:dyDescent="0.2">
      <c r="A781" s="8"/>
      <c r="B781" s="8"/>
      <c r="C781" s="8"/>
      <c r="D781" s="8"/>
      <c r="E781" s="8"/>
      <c r="F781" s="8"/>
      <c r="G781" s="8"/>
      <c r="H781" s="8"/>
      <c r="J781" s="8"/>
      <c r="K781" s="8"/>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row>
    <row r="782" spans="1:39" ht="12.75" customHeight="1" x14ac:dyDescent="0.2">
      <c r="A782" s="8"/>
      <c r="B782" s="8"/>
      <c r="C782" s="8"/>
      <c r="D782" s="8"/>
      <c r="E782" s="8"/>
      <c r="F782" s="8"/>
      <c r="G782" s="8"/>
      <c r="H782" s="8"/>
      <c r="J782" s="8"/>
      <c r="K782" s="8"/>
      <c r="L782" s="8"/>
      <c r="M782" s="8"/>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8"/>
      <c r="AM782" s="8"/>
    </row>
    <row r="783" spans="1:39" ht="12.75" customHeight="1" x14ac:dyDescent="0.2">
      <c r="A783" s="8"/>
      <c r="B783" s="8"/>
      <c r="C783" s="8"/>
      <c r="D783" s="8"/>
      <c r="E783" s="8"/>
      <c r="F783" s="8"/>
      <c r="G783" s="8"/>
      <c r="H783" s="8"/>
      <c r="J783" s="8"/>
      <c r="K783" s="8"/>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row>
    <row r="784" spans="1:39" ht="12.75" customHeight="1" x14ac:dyDescent="0.2">
      <c r="A784" s="8"/>
      <c r="B784" s="8"/>
      <c r="C784" s="8"/>
      <c r="D784" s="8"/>
      <c r="E784" s="8"/>
      <c r="F784" s="8"/>
      <c r="G784" s="8"/>
      <c r="H784" s="8"/>
      <c r="J784" s="8"/>
      <c r="K784" s="8"/>
      <c r="L784" s="8"/>
      <c r="M784" s="8"/>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8"/>
      <c r="AM784" s="8"/>
    </row>
    <row r="785" spans="1:39" ht="12.75" customHeight="1" x14ac:dyDescent="0.2">
      <c r="A785" s="8"/>
      <c r="B785" s="8"/>
      <c r="C785" s="8"/>
      <c r="D785" s="8"/>
      <c r="E785" s="8"/>
      <c r="F785" s="8"/>
      <c r="G785" s="8"/>
      <c r="H785" s="8"/>
      <c r="J785" s="8"/>
      <c r="K785" s="8"/>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row>
    <row r="786" spans="1:39" ht="12.75" customHeight="1" x14ac:dyDescent="0.2">
      <c r="A786" s="8"/>
      <c r="B786" s="8"/>
      <c r="C786" s="8"/>
      <c r="D786" s="8"/>
      <c r="E786" s="8"/>
      <c r="F786" s="8"/>
      <c r="G786" s="8"/>
      <c r="H786" s="8"/>
      <c r="J786" s="8"/>
      <c r="K786" s="8"/>
      <c r="L786" s="8"/>
      <c r="M786" s="8"/>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8"/>
      <c r="AM786" s="8"/>
    </row>
    <row r="787" spans="1:39" ht="12.75" customHeight="1" x14ac:dyDescent="0.2">
      <c r="A787" s="8"/>
      <c r="B787" s="8"/>
      <c r="C787" s="8"/>
      <c r="D787" s="8"/>
      <c r="E787" s="8"/>
      <c r="F787" s="8"/>
      <c r="G787" s="8"/>
      <c r="H787" s="8"/>
      <c r="J787" s="8"/>
      <c r="K787" s="8"/>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row>
    <row r="788" spans="1:39" ht="12.75" customHeight="1" x14ac:dyDescent="0.2">
      <c r="A788" s="8"/>
      <c r="B788" s="8"/>
      <c r="C788" s="8"/>
      <c r="D788" s="8"/>
      <c r="E788" s="8"/>
      <c r="F788" s="8"/>
      <c r="G788" s="8"/>
      <c r="H788" s="8"/>
      <c r="J788" s="8"/>
      <c r="K788" s="8"/>
      <c r="L788" s="8"/>
      <c r="M788" s="8"/>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8"/>
      <c r="AM788" s="8"/>
    </row>
    <row r="789" spans="1:39" ht="12.75" customHeight="1" x14ac:dyDescent="0.2">
      <c r="A789" s="8"/>
      <c r="B789" s="8"/>
      <c r="C789" s="8"/>
      <c r="D789" s="8"/>
      <c r="E789" s="8"/>
      <c r="F789" s="8"/>
      <c r="G789" s="8"/>
      <c r="H789" s="8"/>
      <c r="J789" s="8"/>
      <c r="K789" s="8"/>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row>
    <row r="790" spans="1:39" ht="12.75" customHeight="1" x14ac:dyDescent="0.2">
      <c r="A790" s="8"/>
      <c r="B790" s="8"/>
      <c r="C790" s="8"/>
      <c r="D790" s="8"/>
      <c r="E790" s="8"/>
      <c r="F790" s="8"/>
      <c r="G790" s="8"/>
      <c r="H790" s="8"/>
      <c r="J790" s="8"/>
      <c r="K790" s="8"/>
      <c r="L790" s="8"/>
      <c r="M790" s="8"/>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8"/>
      <c r="AM790" s="8"/>
    </row>
    <row r="791" spans="1:39" ht="12.75" customHeight="1" x14ac:dyDescent="0.2">
      <c r="A791" s="8"/>
      <c r="B791" s="8"/>
      <c r="C791" s="8"/>
      <c r="D791" s="8"/>
      <c r="E791" s="8"/>
      <c r="F791" s="8"/>
      <c r="G791" s="8"/>
      <c r="H791" s="8"/>
      <c r="J791" s="8"/>
      <c r="K791" s="8"/>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row>
    <row r="792" spans="1:39" ht="12.75" customHeight="1" x14ac:dyDescent="0.2">
      <c r="A792" s="8"/>
      <c r="B792" s="8"/>
      <c r="C792" s="8"/>
      <c r="D792" s="8"/>
      <c r="E792" s="8"/>
      <c r="F792" s="8"/>
      <c r="G792" s="8"/>
      <c r="H792" s="8"/>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8"/>
      <c r="AM792" s="8"/>
    </row>
    <row r="793" spans="1:39" ht="12.75" customHeight="1" x14ac:dyDescent="0.2">
      <c r="A793" s="8"/>
      <c r="B793" s="8"/>
      <c r="C793" s="8"/>
      <c r="D793" s="8"/>
      <c r="E793" s="8"/>
      <c r="F793" s="8"/>
      <c r="G793" s="8"/>
      <c r="H793" s="8"/>
      <c r="J793" s="8"/>
      <c r="K793" s="8"/>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row>
    <row r="794" spans="1:39" ht="12.75" customHeight="1" x14ac:dyDescent="0.2">
      <c r="A794" s="8"/>
      <c r="B794" s="8"/>
      <c r="C794" s="8"/>
      <c r="D794" s="8"/>
      <c r="E794" s="8"/>
      <c r="F794" s="8"/>
      <c r="G794" s="8"/>
      <c r="H794" s="8"/>
      <c r="J794" s="8"/>
      <c r="K794" s="8"/>
      <c r="L794" s="8"/>
      <c r="M794" s="8"/>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8"/>
      <c r="AM794" s="8"/>
    </row>
    <row r="795" spans="1:39" ht="12.75" customHeight="1" x14ac:dyDescent="0.2">
      <c r="A795" s="8"/>
      <c r="B795" s="8"/>
      <c r="C795" s="8"/>
      <c r="D795" s="8"/>
      <c r="E795" s="8"/>
      <c r="F795" s="8"/>
      <c r="G795" s="8"/>
      <c r="H795" s="8"/>
      <c r="J795" s="8"/>
      <c r="K795" s="8"/>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row>
    <row r="796" spans="1:39" ht="12.75" customHeight="1" x14ac:dyDescent="0.2">
      <c r="A796" s="8"/>
      <c r="B796" s="8"/>
      <c r="C796" s="8"/>
      <c r="D796" s="8"/>
      <c r="E796" s="8"/>
      <c r="F796" s="8"/>
      <c r="G796" s="8"/>
      <c r="H796" s="8"/>
      <c r="J796" s="8"/>
      <c r="K796" s="8"/>
      <c r="L796" s="8"/>
      <c r="M796" s="8"/>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8"/>
      <c r="AM796" s="8"/>
    </row>
    <row r="797" spans="1:39" ht="12.75" customHeight="1" x14ac:dyDescent="0.2">
      <c r="A797" s="8"/>
      <c r="B797" s="8"/>
      <c r="C797" s="8"/>
      <c r="D797" s="8"/>
      <c r="E797" s="8"/>
      <c r="F797" s="8"/>
      <c r="G797" s="8"/>
      <c r="H797" s="8"/>
      <c r="J797" s="8"/>
      <c r="K797" s="8"/>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row>
    <row r="798" spans="1:39" ht="12.75" customHeight="1" x14ac:dyDescent="0.2">
      <c r="A798" s="8"/>
      <c r="B798" s="8"/>
      <c r="C798" s="8"/>
      <c r="D798" s="8"/>
      <c r="E798" s="8"/>
      <c r="F798" s="8"/>
      <c r="G798" s="8"/>
      <c r="H798" s="8"/>
      <c r="J798" s="8"/>
      <c r="K798" s="8"/>
      <c r="L798" s="8"/>
      <c r="M798" s="8"/>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8"/>
      <c r="AM798" s="8"/>
    </row>
    <row r="799" spans="1:39" ht="12.75" customHeight="1" x14ac:dyDescent="0.2">
      <c r="A799" s="8"/>
      <c r="B799" s="8"/>
      <c r="C799" s="8"/>
      <c r="D799" s="8"/>
      <c r="E799" s="8"/>
      <c r="F799" s="8"/>
      <c r="G799" s="8"/>
      <c r="H799" s="8"/>
      <c r="J799" s="8"/>
      <c r="K799" s="8"/>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row>
    <row r="800" spans="1:39" ht="12.75" customHeight="1" x14ac:dyDescent="0.2">
      <c r="A800" s="8"/>
      <c r="B800" s="8"/>
      <c r="C800" s="8"/>
      <c r="D800" s="8"/>
      <c r="E800" s="8"/>
      <c r="F800" s="8"/>
      <c r="G800" s="8"/>
      <c r="H800" s="8"/>
      <c r="J800" s="8"/>
      <c r="K800" s="8"/>
      <c r="L800" s="8"/>
      <c r="M800" s="8"/>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8"/>
      <c r="AM800" s="8"/>
    </row>
    <row r="801" spans="1:39" ht="12.75" customHeight="1" x14ac:dyDescent="0.2">
      <c r="A801" s="8"/>
      <c r="B801" s="8"/>
      <c r="C801" s="8"/>
      <c r="D801" s="8"/>
      <c r="E801" s="8"/>
      <c r="F801" s="8"/>
      <c r="G801" s="8"/>
      <c r="H801" s="8"/>
      <c r="J801" s="8"/>
      <c r="K801" s="8"/>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row>
    <row r="802" spans="1:39" ht="12.75" customHeight="1" x14ac:dyDescent="0.2">
      <c r="A802" s="8"/>
      <c r="B802" s="8"/>
      <c r="C802" s="8"/>
      <c r="D802" s="8"/>
      <c r="E802" s="8"/>
      <c r="F802" s="8"/>
      <c r="G802" s="8"/>
      <c r="H802" s="8"/>
      <c r="J802" s="8"/>
      <c r="K802" s="8"/>
      <c r="L802" s="8"/>
      <c r="M802" s="8"/>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8"/>
      <c r="AM802" s="8"/>
    </row>
    <row r="803" spans="1:39" ht="12.75" customHeight="1" x14ac:dyDescent="0.2">
      <c r="A803" s="8"/>
      <c r="B803" s="8"/>
      <c r="C803" s="8"/>
      <c r="D803" s="8"/>
      <c r="E803" s="8"/>
      <c r="F803" s="8"/>
      <c r="G803" s="8"/>
      <c r="H803" s="8"/>
      <c r="J803" s="8"/>
      <c r="K803" s="8"/>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row>
    <row r="804" spans="1:39" ht="12.75" customHeight="1" x14ac:dyDescent="0.2">
      <c r="A804" s="8"/>
      <c r="B804" s="8"/>
      <c r="C804" s="8"/>
      <c r="D804" s="8"/>
      <c r="E804" s="8"/>
      <c r="F804" s="8"/>
      <c r="G804" s="8"/>
      <c r="H804" s="8"/>
      <c r="J804" s="8"/>
      <c r="K804" s="8"/>
      <c r="L804" s="8"/>
      <c r="M804" s="8"/>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8"/>
      <c r="AM804" s="8"/>
    </row>
    <row r="805" spans="1:39" ht="12.75" customHeight="1" x14ac:dyDescent="0.2">
      <c r="A805" s="8"/>
      <c r="B805" s="8"/>
      <c r="C805" s="8"/>
      <c r="D805" s="8"/>
      <c r="E805" s="8"/>
      <c r="F805" s="8"/>
      <c r="G805" s="8"/>
      <c r="H805" s="8"/>
      <c r="J805" s="8"/>
      <c r="K805" s="8"/>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row>
    <row r="806" spans="1:39" ht="12.75" customHeight="1" x14ac:dyDescent="0.2">
      <c r="A806" s="8"/>
      <c r="B806" s="8"/>
      <c r="C806" s="8"/>
      <c r="D806" s="8"/>
      <c r="E806" s="8"/>
      <c r="F806" s="8"/>
      <c r="G806" s="8"/>
      <c r="H806" s="8"/>
      <c r="J806" s="8"/>
      <c r="K806" s="8"/>
      <c r="L806" s="8"/>
      <c r="M806" s="8"/>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8"/>
      <c r="AM806" s="8"/>
    </row>
    <row r="807" spans="1:39" ht="12.75" customHeight="1" x14ac:dyDescent="0.2">
      <c r="A807" s="8"/>
      <c r="B807" s="8"/>
      <c r="C807" s="8"/>
      <c r="D807" s="8"/>
      <c r="E807" s="8"/>
      <c r="F807" s="8"/>
      <c r="G807" s="8"/>
      <c r="H807" s="8"/>
      <c r="J807" s="8"/>
      <c r="K807" s="8"/>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row>
    <row r="808" spans="1:39" ht="12.75" customHeight="1" x14ac:dyDescent="0.2">
      <c r="A808" s="8"/>
      <c r="B808" s="8"/>
      <c r="C808" s="8"/>
      <c r="D808" s="8"/>
      <c r="E808" s="8"/>
      <c r="F808" s="8"/>
      <c r="G808" s="8"/>
      <c r="H808" s="8"/>
      <c r="J808" s="8"/>
      <c r="K808" s="8"/>
      <c r="L808" s="8"/>
      <c r="M808" s="8"/>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8"/>
      <c r="AM808" s="8"/>
    </row>
    <row r="809" spans="1:39" ht="12.75" customHeight="1" x14ac:dyDescent="0.2">
      <c r="A809" s="8"/>
      <c r="B809" s="8"/>
      <c r="C809" s="8"/>
      <c r="D809" s="8"/>
      <c r="E809" s="8"/>
      <c r="F809" s="8"/>
      <c r="G809" s="8"/>
      <c r="H809" s="8"/>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row>
    <row r="810" spans="1:39" ht="12.75" customHeight="1" x14ac:dyDescent="0.2">
      <c r="A810" s="8"/>
      <c r="B810" s="8"/>
      <c r="C810" s="8"/>
      <c r="D810" s="8"/>
      <c r="E810" s="8"/>
      <c r="F810" s="8"/>
      <c r="G810" s="8"/>
      <c r="H810" s="8"/>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8"/>
      <c r="AM810" s="8"/>
    </row>
    <row r="811" spans="1:39" ht="12.75" customHeight="1" x14ac:dyDescent="0.2">
      <c r="A811" s="8"/>
      <c r="B811" s="8"/>
      <c r="C811" s="8"/>
      <c r="D811" s="8"/>
      <c r="E811" s="8"/>
      <c r="F811" s="8"/>
      <c r="G811" s="8"/>
      <c r="H811" s="8"/>
      <c r="J811" s="8"/>
      <c r="K811" s="8"/>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row>
    <row r="812" spans="1:39" ht="12.75" customHeight="1" x14ac:dyDescent="0.2">
      <c r="A812" s="8"/>
      <c r="B812" s="8"/>
      <c r="C812" s="8"/>
      <c r="D812" s="8"/>
      <c r="E812" s="8"/>
      <c r="F812" s="8"/>
      <c r="G812" s="8"/>
      <c r="H812" s="8"/>
      <c r="J812" s="8"/>
      <c r="K812" s="8"/>
      <c r="L812" s="8"/>
      <c r="M812" s="8"/>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8"/>
      <c r="AM812" s="8"/>
    </row>
    <row r="813" spans="1:39" ht="12.75" customHeight="1" x14ac:dyDescent="0.2">
      <c r="A813" s="8"/>
      <c r="B813" s="8"/>
      <c r="C813" s="8"/>
      <c r="D813" s="8"/>
      <c r="E813" s="8"/>
      <c r="F813" s="8"/>
      <c r="G813" s="8"/>
      <c r="H813" s="8"/>
      <c r="J813" s="8"/>
      <c r="K813" s="8"/>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row>
    <row r="814" spans="1:39" ht="12.75" customHeight="1" x14ac:dyDescent="0.2">
      <c r="A814" s="8"/>
      <c r="B814" s="8"/>
      <c r="C814" s="8"/>
      <c r="D814" s="8"/>
      <c r="E814" s="8"/>
      <c r="F814" s="8"/>
      <c r="G814" s="8"/>
      <c r="H814" s="8"/>
      <c r="J814" s="8"/>
      <c r="K814" s="8"/>
      <c r="L814" s="8"/>
      <c r="M814" s="8"/>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row>
    <row r="815" spans="1:39" ht="12.75" customHeight="1" x14ac:dyDescent="0.2">
      <c r="A815" s="8"/>
      <c r="B815" s="8"/>
      <c r="C815" s="8"/>
      <c r="D815" s="8"/>
      <c r="E815" s="8"/>
      <c r="F815" s="8"/>
      <c r="G815" s="8"/>
      <c r="H815" s="8"/>
      <c r="J815" s="8"/>
      <c r="K815" s="8"/>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row>
    <row r="816" spans="1:39" ht="12.75" customHeight="1" x14ac:dyDescent="0.2">
      <c r="A816" s="8"/>
      <c r="B816" s="8"/>
      <c r="C816" s="8"/>
      <c r="D816" s="8"/>
      <c r="E816" s="8"/>
      <c r="F816" s="8"/>
      <c r="G816" s="8"/>
      <c r="H816" s="8"/>
      <c r="J816" s="8"/>
      <c r="K816" s="8"/>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row>
    <row r="817" spans="1:39" ht="12.75" customHeight="1" x14ac:dyDescent="0.2">
      <c r="A817" s="8"/>
      <c r="B817" s="8"/>
      <c r="C817" s="8"/>
      <c r="D817" s="8"/>
      <c r="E817" s="8"/>
      <c r="F817" s="8"/>
      <c r="G817" s="8"/>
      <c r="H817" s="8"/>
      <c r="J817" s="8"/>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row>
    <row r="818" spans="1:39" ht="12.75" customHeight="1" x14ac:dyDescent="0.2">
      <c r="A818" s="8"/>
      <c r="B818" s="8"/>
      <c r="C818" s="8"/>
      <c r="D818" s="8"/>
      <c r="E818" s="8"/>
      <c r="F818" s="8"/>
      <c r="G818" s="8"/>
      <c r="H818" s="8"/>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row>
    <row r="819" spans="1:39" ht="12.75" customHeight="1" x14ac:dyDescent="0.2">
      <c r="A819" s="8"/>
      <c r="B819" s="8"/>
      <c r="C819" s="8"/>
      <c r="D819" s="8"/>
      <c r="E819" s="8"/>
      <c r="F819" s="8"/>
      <c r="G819" s="8"/>
      <c r="H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row>
    <row r="820" spans="1:39" ht="12.75" customHeight="1" x14ac:dyDescent="0.2">
      <c r="A820" s="8"/>
      <c r="B820" s="8"/>
      <c r="C820" s="8"/>
      <c r="D820" s="8"/>
      <c r="E820" s="8"/>
      <c r="F820" s="8"/>
      <c r="G820" s="8"/>
      <c r="H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row>
    <row r="821" spans="1:39" ht="12.75" customHeight="1" x14ac:dyDescent="0.2">
      <c r="A821" s="8"/>
      <c r="B821" s="8"/>
      <c r="C821" s="8"/>
      <c r="D821" s="8"/>
      <c r="E821" s="8"/>
      <c r="F821" s="8"/>
      <c r="G821" s="8"/>
      <c r="H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row>
    <row r="822" spans="1:39" ht="12.75" customHeight="1" x14ac:dyDescent="0.2">
      <c r="A822" s="8"/>
      <c r="B822" s="8"/>
      <c r="C822" s="8"/>
      <c r="D822" s="8"/>
      <c r="E822" s="8"/>
      <c r="F822" s="8"/>
      <c r="G822" s="8"/>
      <c r="H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row>
    <row r="823" spans="1:39" ht="12.75" customHeight="1" x14ac:dyDescent="0.2">
      <c r="A823" s="8"/>
      <c r="B823" s="8"/>
      <c r="C823" s="8"/>
      <c r="D823" s="8"/>
      <c r="E823" s="8"/>
      <c r="F823" s="8"/>
      <c r="G823" s="8"/>
      <c r="H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row>
    <row r="824" spans="1:39" ht="12.75" customHeight="1" x14ac:dyDescent="0.2">
      <c r="A824" s="8"/>
      <c r="B824" s="8"/>
      <c r="C824" s="8"/>
      <c r="D824" s="8"/>
      <c r="E824" s="8"/>
      <c r="F824" s="8"/>
      <c r="G824" s="8"/>
      <c r="H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row>
    <row r="825" spans="1:39" ht="12.75" customHeight="1" x14ac:dyDescent="0.2">
      <c r="A825" s="8"/>
      <c r="B825" s="8"/>
      <c r="C825" s="8"/>
      <c r="D825" s="8"/>
      <c r="E825" s="8"/>
      <c r="F825" s="8"/>
      <c r="G825" s="8"/>
      <c r="H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row>
    <row r="826" spans="1:39" ht="12.75" customHeight="1" x14ac:dyDescent="0.2">
      <c r="A826" s="8"/>
      <c r="B826" s="8"/>
      <c r="C826" s="8"/>
      <c r="D826" s="8"/>
      <c r="E826" s="8"/>
      <c r="F826" s="8"/>
      <c r="G826" s="8"/>
      <c r="H826" s="8"/>
      <c r="J826" s="8"/>
      <c r="K826" s="8"/>
      <c r="L826" s="8"/>
      <c r="M826" s="8"/>
      <c r="N826" s="8"/>
      <c r="O826" s="8"/>
      <c r="P826" s="8"/>
      <c r="Q826" s="8"/>
      <c r="R826" s="8"/>
      <c r="S826" s="8"/>
      <c r="T826" s="8"/>
      <c r="U826" s="8"/>
      <c r="V826" s="8"/>
      <c r="W826" s="8"/>
      <c r="X826" s="8"/>
      <c r="Y826" s="8"/>
      <c r="Z826" s="8"/>
      <c r="AA826" s="8"/>
      <c r="AB826" s="8"/>
      <c r="AC826" s="8"/>
      <c r="AD826" s="8"/>
      <c r="AE826" s="8"/>
      <c r="AF826" s="8"/>
      <c r="AG826" s="8"/>
      <c r="AH826" s="8"/>
      <c r="AI826" s="8"/>
      <c r="AJ826" s="8"/>
      <c r="AK826" s="8"/>
      <c r="AL826" s="8"/>
      <c r="AM826" s="8"/>
    </row>
    <row r="827" spans="1:39" ht="12.75" customHeight="1" x14ac:dyDescent="0.2">
      <c r="A827" s="8"/>
      <c r="B827" s="8"/>
      <c r="C827" s="8"/>
      <c r="D827" s="8"/>
      <c r="E827" s="8"/>
      <c r="F827" s="8"/>
      <c r="G827" s="8"/>
      <c r="H827" s="8"/>
      <c r="J827" s="8"/>
      <c r="K827" s="8"/>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row>
    <row r="828" spans="1:39" ht="12.75" customHeight="1" x14ac:dyDescent="0.2">
      <c r="A828" s="8"/>
      <c r="B828" s="8"/>
      <c r="C828" s="8"/>
      <c r="D828" s="8"/>
      <c r="E828" s="8"/>
      <c r="F828" s="8"/>
      <c r="G828" s="8"/>
      <c r="H828" s="8"/>
      <c r="J828" s="8"/>
      <c r="K828" s="8"/>
      <c r="L828" s="8"/>
      <c r="M828" s="8"/>
      <c r="N828" s="8"/>
      <c r="O828" s="8"/>
      <c r="P828" s="8"/>
      <c r="Q828" s="8"/>
      <c r="R828" s="8"/>
      <c r="S828" s="8"/>
      <c r="T828" s="8"/>
      <c r="U828" s="8"/>
      <c r="V828" s="8"/>
      <c r="W828" s="8"/>
      <c r="X828" s="8"/>
      <c r="Y828" s="8"/>
      <c r="Z828" s="8"/>
      <c r="AA828" s="8"/>
      <c r="AB828" s="8"/>
      <c r="AC828" s="8"/>
      <c r="AD828" s="8"/>
      <c r="AE828" s="8"/>
      <c r="AF828" s="8"/>
      <c r="AG828" s="8"/>
      <c r="AH828" s="8"/>
      <c r="AI828" s="8"/>
      <c r="AJ828" s="8"/>
      <c r="AK828" s="8"/>
      <c r="AL828" s="8"/>
      <c r="AM828" s="8"/>
    </row>
    <row r="829" spans="1:39" ht="12.75" customHeight="1" x14ac:dyDescent="0.2">
      <c r="A829" s="8"/>
      <c r="B829" s="8"/>
      <c r="C829" s="8"/>
      <c r="D829" s="8"/>
      <c r="E829" s="8"/>
      <c r="F829" s="8"/>
      <c r="G829" s="8"/>
      <c r="H829" s="8"/>
      <c r="J829" s="8"/>
      <c r="K829" s="8"/>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row>
    <row r="830" spans="1:39" ht="12.75" customHeight="1" x14ac:dyDescent="0.2">
      <c r="A830" s="8"/>
      <c r="B830" s="8"/>
      <c r="C830" s="8"/>
      <c r="D830" s="8"/>
      <c r="E830" s="8"/>
      <c r="F830" s="8"/>
      <c r="G830" s="8"/>
      <c r="H830" s="8"/>
      <c r="J830" s="8"/>
      <c r="K830" s="8"/>
      <c r="L830" s="8"/>
      <c r="M830" s="8"/>
      <c r="N830" s="8"/>
      <c r="O830" s="8"/>
      <c r="P830" s="8"/>
      <c r="Q830" s="8"/>
      <c r="R830" s="8"/>
      <c r="S830" s="8"/>
      <c r="T830" s="8"/>
      <c r="U830" s="8"/>
      <c r="V830" s="8"/>
      <c r="W830" s="8"/>
      <c r="X830" s="8"/>
      <c r="Y830" s="8"/>
      <c r="Z830" s="8"/>
      <c r="AA830" s="8"/>
      <c r="AB830" s="8"/>
      <c r="AC830" s="8"/>
      <c r="AD830" s="8"/>
      <c r="AE830" s="8"/>
      <c r="AF830" s="8"/>
      <c r="AG830" s="8"/>
      <c r="AH830" s="8"/>
      <c r="AI830" s="8"/>
      <c r="AJ830" s="8"/>
      <c r="AK830" s="8"/>
      <c r="AL830" s="8"/>
      <c r="AM830" s="8"/>
    </row>
    <row r="831" spans="1:39" ht="12.75" customHeight="1" x14ac:dyDescent="0.2">
      <c r="A831" s="8"/>
      <c r="B831" s="8"/>
      <c r="C831" s="8"/>
      <c r="D831" s="8"/>
      <c r="E831" s="8"/>
      <c r="F831" s="8"/>
      <c r="G831" s="8"/>
      <c r="H831" s="8"/>
      <c r="J831" s="8"/>
      <c r="K831" s="8"/>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row>
    <row r="832" spans="1:39" ht="12.75" customHeight="1" x14ac:dyDescent="0.2">
      <c r="A832" s="8"/>
      <c r="B832" s="8"/>
      <c r="C832" s="8"/>
      <c r="D832" s="8"/>
      <c r="E832" s="8"/>
      <c r="F832" s="8"/>
      <c r="G832" s="8"/>
      <c r="H832" s="8"/>
      <c r="J832" s="8"/>
      <c r="K832" s="8"/>
      <c r="L832" s="8"/>
      <c r="M832" s="8"/>
      <c r="N832" s="8"/>
      <c r="O832" s="8"/>
      <c r="P832" s="8"/>
      <c r="Q832" s="8"/>
      <c r="R832" s="8"/>
      <c r="S832" s="8"/>
      <c r="T832" s="8"/>
      <c r="U832" s="8"/>
      <c r="V832" s="8"/>
      <c r="W832" s="8"/>
      <c r="X832" s="8"/>
      <c r="Y832" s="8"/>
      <c r="Z832" s="8"/>
      <c r="AA832" s="8"/>
      <c r="AB832" s="8"/>
      <c r="AC832" s="8"/>
      <c r="AD832" s="8"/>
      <c r="AE832" s="8"/>
      <c r="AF832" s="8"/>
      <c r="AG832" s="8"/>
      <c r="AH832" s="8"/>
      <c r="AI832" s="8"/>
      <c r="AJ832" s="8"/>
      <c r="AK832" s="8"/>
      <c r="AL832" s="8"/>
      <c r="AM832" s="8"/>
    </row>
    <row r="833" spans="1:39" ht="12.75" customHeight="1" x14ac:dyDescent="0.2">
      <c r="A833" s="8"/>
      <c r="B833" s="8"/>
      <c r="C833" s="8"/>
      <c r="D833" s="8"/>
      <c r="E833" s="8"/>
      <c r="F833" s="8"/>
      <c r="G833" s="8"/>
      <c r="H833" s="8"/>
      <c r="J833" s="8"/>
      <c r="K833" s="8"/>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row>
    <row r="834" spans="1:39" ht="12.75" customHeight="1" x14ac:dyDescent="0.2">
      <c r="A834" s="8"/>
      <c r="B834" s="8"/>
      <c r="C834" s="8"/>
      <c r="D834" s="8"/>
      <c r="E834" s="8"/>
      <c r="F834" s="8"/>
      <c r="G834" s="8"/>
      <c r="H834" s="8"/>
      <c r="J834" s="8"/>
      <c r="K834" s="8"/>
      <c r="L834" s="8"/>
      <c r="M834" s="8"/>
      <c r="N834" s="8"/>
      <c r="O834" s="8"/>
      <c r="P834" s="8"/>
      <c r="Q834" s="8"/>
      <c r="R834" s="8"/>
      <c r="S834" s="8"/>
      <c r="T834" s="8"/>
      <c r="U834" s="8"/>
      <c r="V834" s="8"/>
      <c r="W834" s="8"/>
      <c r="X834" s="8"/>
      <c r="Y834" s="8"/>
      <c r="Z834" s="8"/>
      <c r="AA834" s="8"/>
      <c r="AB834" s="8"/>
      <c r="AC834" s="8"/>
      <c r="AD834" s="8"/>
      <c r="AE834" s="8"/>
      <c r="AF834" s="8"/>
      <c r="AG834" s="8"/>
      <c r="AH834" s="8"/>
      <c r="AI834" s="8"/>
      <c r="AJ834" s="8"/>
      <c r="AK834" s="8"/>
      <c r="AL834" s="8"/>
      <c r="AM834" s="8"/>
    </row>
    <row r="835" spans="1:39" ht="12.75" customHeight="1" x14ac:dyDescent="0.2">
      <c r="A835" s="8"/>
      <c r="B835" s="8"/>
      <c r="C835" s="8"/>
      <c r="D835" s="8"/>
      <c r="E835" s="8"/>
      <c r="F835" s="8"/>
      <c r="G835" s="8"/>
      <c r="H835" s="8"/>
      <c r="J835" s="8"/>
      <c r="K835" s="8"/>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row>
    <row r="836" spans="1:39" ht="12.75" customHeight="1" x14ac:dyDescent="0.2">
      <c r="A836" s="8"/>
      <c r="B836" s="8"/>
      <c r="C836" s="8"/>
      <c r="D836" s="8"/>
      <c r="E836" s="8"/>
      <c r="F836" s="8"/>
      <c r="G836" s="8"/>
      <c r="H836" s="8"/>
      <c r="J836" s="8"/>
      <c r="K836" s="8"/>
      <c r="L836" s="8"/>
      <c r="M836" s="8"/>
      <c r="N836" s="8"/>
      <c r="O836" s="8"/>
      <c r="P836" s="8"/>
      <c r="Q836" s="8"/>
      <c r="R836" s="8"/>
      <c r="S836" s="8"/>
      <c r="T836" s="8"/>
      <c r="U836" s="8"/>
      <c r="V836" s="8"/>
      <c r="W836" s="8"/>
      <c r="X836" s="8"/>
      <c r="Y836" s="8"/>
      <c r="Z836" s="8"/>
      <c r="AA836" s="8"/>
      <c r="AB836" s="8"/>
      <c r="AC836" s="8"/>
      <c r="AD836" s="8"/>
      <c r="AE836" s="8"/>
      <c r="AF836" s="8"/>
      <c r="AG836" s="8"/>
      <c r="AH836" s="8"/>
      <c r="AI836" s="8"/>
      <c r="AJ836" s="8"/>
      <c r="AK836" s="8"/>
      <c r="AL836" s="8"/>
      <c r="AM836" s="8"/>
    </row>
    <row r="837" spans="1:39" ht="12.75" customHeight="1" x14ac:dyDescent="0.2">
      <c r="A837" s="8"/>
      <c r="B837" s="8"/>
      <c r="C837" s="8"/>
      <c r="D837" s="8"/>
      <c r="E837" s="8"/>
      <c r="F837" s="8"/>
      <c r="G837" s="8"/>
      <c r="H837" s="8"/>
      <c r="J837" s="8"/>
      <c r="K837" s="8"/>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row>
    <row r="838" spans="1:39" ht="12.75" customHeight="1" x14ac:dyDescent="0.2">
      <c r="A838" s="8"/>
      <c r="B838" s="8"/>
      <c r="C838" s="8"/>
      <c r="D838" s="8"/>
      <c r="E838" s="8"/>
      <c r="F838" s="8"/>
      <c r="G838" s="8"/>
      <c r="H838" s="8"/>
      <c r="J838" s="8"/>
      <c r="K838" s="8"/>
      <c r="L838" s="8"/>
      <c r="M838" s="8"/>
      <c r="N838" s="8"/>
      <c r="O838" s="8"/>
      <c r="P838" s="8"/>
      <c r="Q838" s="8"/>
      <c r="R838" s="8"/>
      <c r="S838" s="8"/>
      <c r="T838" s="8"/>
      <c r="U838" s="8"/>
      <c r="V838" s="8"/>
      <c r="W838" s="8"/>
      <c r="X838" s="8"/>
      <c r="Y838" s="8"/>
      <c r="Z838" s="8"/>
      <c r="AA838" s="8"/>
      <c r="AB838" s="8"/>
      <c r="AC838" s="8"/>
      <c r="AD838" s="8"/>
      <c r="AE838" s="8"/>
      <c r="AF838" s="8"/>
      <c r="AG838" s="8"/>
      <c r="AH838" s="8"/>
      <c r="AI838" s="8"/>
      <c r="AJ838" s="8"/>
      <c r="AK838" s="8"/>
      <c r="AL838" s="8"/>
      <c r="AM838" s="8"/>
    </row>
    <row r="839" spans="1:39" ht="12.75" customHeight="1" x14ac:dyDescent="0.2">
      <c r="A839" s="8"/>
      <c r="B839" s="8"/>
      <c r="C839" s="8"/>
      <c r="D839" s="8"/>
      <c r="E839" s="8"/>
      <c r="F839" s="8"/>
      <c r="G839" s="8"/>
      <c r="H839" s="8"/>
      <c r="J839" s="8"/>
      <c r="K839" s="8"/>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row>
    <row r="840" spans="1:39" ht="12.75" customHeight="1" x14ac:dyDescent="0.2">
      <c r="A840" s="8"/>
      <c r="B840" s="8"/>
      <c r="C840" s="8"/>
      <c r="D840" s="8"/>
      <c r="E840" s="8"/>
      <c r="F840" s="8"/>
      <c r="G840" s="8"/>
      <c r="H840" s="8"/>
      <c r="J840" s="8"/>
      <c r="K840" s="8"/>
      <c r="L840" s="8"/>
      <c r="M840" s="8"/>
      <c r="N840" s="8"/>
      <c r="O840" s="8"/>
      <c r="P840" s="8"/>
      <c r="Q840" s="8"/>
      <c r="R840" s="8"/>
      <c r="S840" s="8"/>
      <c r="T840" s="8"/>
      <c r="U840" s="8"/>
      <c r="V840" s="8"/>
      <c r="W840" s="8"/>
      <c r="X840" s="8"/>
      <c r="Y840" s="8"/>
      <c r="Z840" s="8"/>
      <c r="AA840" s="8"/>
      <c r="AB840" s="8"/>
      <c r="AC840" s="8"/>
      <c r="AD840" s="8"/>
      <c r="AE840" s="8"/>
      <c r="AF840" s="8"/>
      <c r="AG840" s="8"/>
      <c r="AH840" s="8"/>
      <c r="AI840" s="8"/>
      <c r="AJ840" s="8"/>
      <c r="AK840" s="8"/>
      <c r="AL840" s="8"/>
      <c r="AM840" s="8"/>
    </row>
    <row r="841" spans="1:39" ht="12.75" customHeight="1" x14ac:dyDescent="0.2">
      <c r="A841" s="8"/>
      <c r="B841" s="8"/>
      <c r="C841" s="8"/>
      <c r="D841" s="8"/>
      <c r="E841" s="8"/>
      <c r="F841" s="8"/>
      <c r="G841" s="8"/>
      <c r="H841" s="8"/>
      <c r="J841" s="8"/>
      <c r="K841" s="8"/>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row>
    <row r="842" spans="1:39" ht="12.75" customHeight="1" x14ac:dyDescent="0.2">
      <c r="A842" s="8"/>
      <c r="B842" s="8"/>
      <c r="C842" s="8"/>
      <c r="D842" s="8"/>
      <c r="E842" s="8"/>
      <c r="F842" s="8"/>
      <c r="G842" s="8"/>
      <c r="H842" s="8"/>
      <c r="J842" s="8"/>
      <c r="K842" s="8"/>
      <c r="L842" s="8"/>
      <c r="M842" s="8"/>
      <c r="N842" s="8"/>
      <c r="O842" s="8"/>
      <c r="P842" s="8"/>
      <c r="Q842" s="8"/>
      <c r="R842" s="8"/>
      <c r="S842" s="8"/>
      <c r="T842" s="8"/>
      <c r="U842" s="8"/>
      <c r="V842" s="8"/>
      <c r="W842" s="8"/>
      <c r="X842" s="8"/>
      <c r="Y842" s="8"/>
      <c r="Z842" s="8"/>
      <c r="AA842" s="8"/>
      <c r="AB842" s="8"/>
      <c r="AC842" s="8"/>
      <c r="AD842" s="8"/>
      <c r="AE842" s="8"/>
      <c r="AF842" s="8"/>
      <c r="AG842" s="8"/>
      <c r="AH842" s="8"/>
      <c r="AI842" s="8"/>
      <c r="AJ842" s="8"/>
      <c r="AK842" s="8"/>
      <c r="AL842" s="8"/>
      <c r="AM842" s="8"/>
    </row>
    <row r="843" spans="1:39" ht="12.75" customHeight="1" x14ac:dyDescent="0.2">
      <c r="A843" s="8"/>
      <c r="B843" s="8"/>
      <c r="C843" s="8"/>
      <c r="D843" s="8"/>
      <c r="E843" s="8"/>
      <c r="F843" s="8"/>
      <c r="G843" s="8"/>
      <c r="H843" s="8"/>
      <c r="J843" s="8"/>
      <c r="K843" s="8"/>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row>
    <row r="844" spans="1:39" ht="12.75" customHeight="1" x14ac:dyDescent="0.2">
      <c r="A844" s="8"/>
      <c r="B844" s="8"/>
      <c r="C844" s="8"/>
      <c r="D844" s="8"/>
      <c r="E844" s="8"/>
      <c r="F844" s="8"/>
      <c r="G844" s="8"/>
      <c r="H844" s="8"/>
      <c r="J844" s="8"/>
      <c r="K844" s="8"/>
      <c r="L844" s="8"/>
      <c r="M844" s="8"/>
      <c r="N844" s="8"/>
      <c r="O844" s="8"/>
      <c r="P844" s="8"/>
      <c r="Q844" s="8"/>
      <c r="R844" s="8"/>
      <c r="S844" s="8"/>
      <c r="T844" s="8"/>
      <c r="U844" s="8"/>
      <c r="V844" s="8"/>
      <c r="W844" s="8"/>
      <c r="X844" s="8"/>
      <c r="Y844" s="8"/>
      <c r="Z844" s="8"/>
      <c r="AA844" s="8"/>
      <c r="AB844" s="8"/>
      <c r="AC844" s="8"/>
      <c r="AD844" s="8"/>
      <c r="AE844" s="8"/>
      <c r="AF844" s="8"/>
      <c r="AG844" s="8"/>
      <c r="AH844" s="8"/>
      <c r="AI844" s="8"/>
      <c r="AJ844" s="8"/>
      <c r="AK844" s="8"/>
      <c r="AL844" s="8"/>
      <c r="AM844" s="8"/>
    </row>
    <row r="845" spans="1:39" ht="12.75" customHeight="1" x14ac:dyDescent="0.2">
      <c r="A845" s="8"/>
      <c r="B845" s="8"/>
      <c r="C845" s="8"/>
      <c r="D845" s="8"/>
      <c r="E845" s="8"/>
      <c r="F845" s="8"/>
      <c r="G845" s="8"/>
      <c r="H845" s="8"/>
      <c r="J845" s="8"/>
      <c r="K845" s="8"/>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row>
    <row r="846" spans="1:39" ht="12.75" customHeight="1" x14ac:dyDescent="0.2">
      <c r="A846" s="8"/>
      <c r="B846" s="8"/>
      <c r="C846" s="8"/>
      <c r="D846" s="8"/>
      <c r="E846" s="8"/>
      <c r="F846" s="8"/>
      <c r="G846" s="8"/>
      <c r="H846" s="8"/>
      <c r="J846" s="8"/>
      <c r="K846" s="8"/>
      <c r="L846" s="8"/>
      <c r="M846" s="8"/>
      <c r="N846" s="8"/>
      <c r="O846" s="8"/>
      <c r="P846" s="8"/>
      <c r="Q846" s="8"/>
      <c r="R846" s="8"/>
      <c r="S846" s="8"/>
      <c r="T846" s="8"/>
      <c r="U846" s="8"/>
      <c r="V846" s="8"/>
      <c r="W846" s="8"/>
      <c r="X846" s="8"/>
      <c r="Y846" s="8"/>
      <c r="Z846" s="8"/>
      <c r="AA846" s="8"/>
      <c r="AB846" s="8"/>
      <c r="AC846" s="8"/>
      <c r="AD846" s="8"/>
      <c r="AE846" s="8"/>
      <c r="AF846" s="8"/>
      <c r="AG846" s="8"/>
      <c r="AH846" s="8"/>
      <c r="AI846" s="8"/>
      <c r="AJ846" s="8"/>
      <c r="AK846" s="8"/>
      <c r="AL846" s="8"/>
      <c r="AM846" s="8"/>
    </row>
    <row r="847" spans="1:39" ht="12.75" customHeight="1" x14ac:dyDescent="0.2">
      <c r="A847" s="8"/>
      <c r="B847" s="8"/>
      <c r="C847" s="8"/>
      <c r="D847" s="8"/>
      <c r="E847" s="8"/>
      <c r="F847" s="8"/>
      <c r="G847" s="8"/>
      <c r="H847" s="8"/>
      <c r="J847" s="8"/>
      <c r="K847" s="8"/>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row>
    <row r="848" spans="1:39" ht="12.75" customHeight="1" x14ac:dyDescent="0.2">
      <c r="A848" s="8"/>
      <c r="B848" s="8"/>
      <c r="C848" s="8"/>
      <c r="D848" s="8"/>
      <c r="E848" s="8"/>
      <c r="F848" s="8"/>
      <c r="G848" s="8"/>
      <c r="H848" s="8"/>
      <c r="J848" s="8"/>
      <c r="K848" s="8"/>
      <c r="L848" s="8"/>
      <c r="M848" s="8"/>
      <c r="N848" s="8"/>
      <c r="O848" s="8"/>
      <c r="P848" s="8"/>
      <c r="Q848" s="8"/>
      <c r="R848" s="8"/>
      <c r="S848" s="8"/>
      <c r="T848" s="8"/>
      <c r="U848" s="8"/>
      <c r="V848" s="8"/>
      <c r="W848" s="8"/>
      <c r="X848" s="8"/>
      <c r="Y848" s="8"/>
      <c r="Z848" s="8"/>
      <c r="AA848" s="8"/>
      <c r="AB848" s="8"/>
      <c r="AC848" s="8"/>
      <c r="AD848" s="8"/>
      <c r="AE848" s="8"/>
      <c r="AF848" s="8"/>
      <c r="AG848" s="8"/>
      <c r="AH848" s="8"/>
      <c r="AI848" s="8"/>
      <c r="AJ848" s="8"/>
      <c r="AK848" s="8"/>
      <c r="AL848" s="8"/>
      <c r="AM848" s="8"/>
    </row>
    <row r="849" spans="1:39" ht="12.75" customHeight="1" x14ac:dyDescent="0.2">
      <c r="A849" s="8"/>
      <c r="B849" s="8"/>
      <c r="C849" s="8"/>
      <c r="D849" s="8"/>
      <c r="E849" s="8"/>
      <c r="F849" s="8"/>
      <c r="G849" s="8"/>
      <c r="H849" s="8"/>
      <c r="J849" s="8"/>
      <c r="K849" s="8"/>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row>
    <row r="850" spans="1:39" ht="12.75" customHeight="1" x14ac:dyDescent="0.2">
      <c r="A850" s="8"/>
      <c r="B850" s="8"/>
      <c r="C850" s="8"/>
      <c r="D850" s="8"/>
      <c r="E850" s="8"/>
      <c r="F850" s="8"/>
      <c r="G850" s="8"/>
      <c r="H850" s="8"/>
      <c r="J850" s="8"/>
      <c r="K850" s="8"/>
      <c r="L850" s="8"/>
      <c r="M850" s="8"/>
      <c r="N850" s="8"/>
      <c r="O850" s="8"/>
      <c r="P850" s="8"/>
      <c r="Q850" s="8"/>
      <c r="R850" s="8"/>
      <c r="S850" s="8"/>
      <c r="T850" s="8"/>
      <c r="U850" s="8"/>
      <c r="V850" s="8"/>
      <c r="W850" s="8"/>
      <c r="X850" s="8"/>
      <c r="Y850" s="8"/>
      <c r="Z850" s="8"/>
      <c r="AA850" s="8"/>
      <c r="AB850" s="8"/>
      <c r="AC850" s="8"/>
      <c r="AD850" s="8"/>
      <c r="AE850" s="8"/>
      <c r="AF850" s="8"/>
      <c r="AG850" s="8"/>
      <c r="AH850" s="8"/>
      <c r="AI850" s="8"/>
      <c r="AJ850" s="8"/>
      <c r="AK850" s="8"/>
      <c r="AL850" s="8"/>
      <c r="AM850" s="8"/>
    </row>
    <row r="851" spans="1:39" ht="12.75" customHeight="1" x14ac:dyDescent="0.2">
      <c r="A851" s="8"/>
      <c r="B851" s="8"/>
      <c r="C851" s="8"/>
      <c r="D851" s="8"/>
      <c r="E851" s="8"/>
      <c r="F851" s="8"/>
      <c r="G851" s="8"/>
      <c r="H851" s="8"/>
      <c r="J851" s="8"/>
      <c r="K851" s="8"/>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row>
    <row r="852" spans="1:39" ht="12.75" customHeight="1" x14ac:dyDescent="0.2">
      <c r="A852" s="8"/>
      <c r="B852" s="8"/>
      <c r="C852" s="8"/>
      <c r="D852" s="8"/>
      <c r="E852" s="8"/>
      <c r="F852" s="8"/>
      <c r="G852" s="8"/>
      <c r="H852" s="8"/>
      <c r="J852" s="8"/>
      <c r="K852" s="8"/>
      <c r="L852" s="8"/>
      <c r="M852" s="8"/>
      <c r="N852" s="8"/>
      <c r="O852" s="8"/>
      <c r="P852" s="8"/>
      <c r="Q852" s="8"/>
      <c r="R852" s="8"/>
      <c r="S852" s="8"/>
      <c r="T852" s="8"/>
      <c r="U852" s="8"/>
      <c r="V852" s="8"/>
      <c r="W852" s="8"/>
      <c r="X852" s="8"/>
      <c r="Y852" s="8"/>
      <c r="Z852" s="8"/>
      <c r="AA852" s="8"/>
      <c r="AB852" s="8"/>
      <c r="AC852" s="8"/>
      <c r="AD852" s="8"/>
      <c r="AE852" s="8"/>
      <c r="AF852" s="8"/>
      <c r="AG852" s="8"/>
      <c r="AH852" s="8"/>
      <c r="AI852" s="8"/>
      <c r="AJ852" s="8"/>
      <c r="AK852" s="8"/>
      <c r="AL852" s="8"/>
      <c r="AM852" s="8"/>
    </row>
    <row r="853" spans="1:39" ht="12.75" customHeight="1" x14ac:dyDescent="0.2">
      <c r="A853" s="8"/>
      <c r="B853" s="8"/>
      <c r="C853" s="8"/>
      <c r="D853" s="8"/>
      <c r="E853" s="8"/>
      <c r="F853" s="8"/>
      <c r="G853" s="8"/>
      <c r="H853" s="8"/>
      <c r="J853" s="8"/>
      <c r="K853" s="8"/>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row>
    <row r="854" spans="1:39" ht="12.75" customHeight="1" x14ac:dyDescent="0.2">
      <c r="A854" s="8"/>
      <c r="B854" s="8"/>
      <c r="C854" s="8"/>
      <c r="D854" s="8"/>
      <c r="E854" s="8"/>
      <c r="F854" s="8"/>
      <c r="G854" s="8"/>
      <c r="H854" s="8"/>
      <c r="J854" s="8"/>
      <c r="K854" s="8"/>
      <c r="L854" s="8"/>
      <c r="M854" s="8"/>
      <c r="N854" s="8"/>
      <c r="O854" s="8"/>
      <c r="P854" s="8"/>
      <c r="Q854" s="8"/>
      <c r="R854" s="8"/>
      <c r="S854" s="8"/>
      <c r="T854" s="8"/>
      <c r="U854" s="8"/>
      <c r="V854" s="8"/>
      <c r="W854" s="8"/>
      <c r="X854" s="8"/>
      <c r="Y854" s="8"/>
      <c r="Z854" s="8"/>
      <c r="AA854" s="8"/>
      <c r="AB854" s="8"/>
      <c r="AC854" s="8"/>
      <c r="AD854" s="8"/>
      <c r="AE854" s="8"/>
      <c r="AF854" s="8"/>
      <c r="AG854" s="8"/>
      <c r="AH854" s="8"/>
      <c r="AI854" s="8"/>
      <c r="AJ854" s="8"/>
      <c r="AK854" s="8"/>
      <c r="AL854" s="8"/>
      <c r="AM854" s="8"/>
    </row>
    <row r="855" spans="1:39" ht="12.75" customHeight="1" x14ac:dyDescent="0.2">
      <c r="A855" s="8"/>
      <c r="B855" s="8"/>
      <c r="C855" s="8"/>
      <c r="D855" s="8"/>
      <c r="E855" s="8"/>
      <c r="F855" s="8"/>
      <c r="G855" s="8"/>
      <c r="H855" s="8"/>
      <c r="J855" s="8"/>
      <c r="K855" s="8"/>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row>
    <row r="856" spans="1:39" ht="12.75" customHeight="1" x14ac:dyDescent="0.2">
      <c r="A856" s="8"/>
      <c r="B856" s="8"/>
      <c r="C856" s="8"/>
      <c r="D856" s="8"/>
      <c r="E856" s="8"/>
      <c r="F856" s="8"/>
      <c r="G856" s="8"/>
      <c r="H856" s="8"/>
      <c r="J856" s="8"/>
      <c r="K856" s="8"/>
      <c r="L856" s="8"/>
      <c r="M856" s="8"/>
      <c r="N856" s="8"/>
      <c r="O856" s="8"/>
      <c r="P856" s="8"/>
      <c r="Q856" s="8"/>
      <c r="R856" s="8"/>
      <c r="S856" s="8"/>
      <c r="T856" s="8"/>
      <c r="U856" s="8"/>
      <c r="V856" s="8"/>
      <c r="W856" s="8"/>
      <c r="X856" s="8"/>
      <c r="Y856" s="8"/>
      <c r="Z856" s="8"/>
      <c r="AA856" s="8"/>
      <c r="AB856" s="8"/>
      <c r="AC856" s="8"/>
      <c r="AD856" s="8"/>
      <c r="AE856" s="8"/>
      <c r="AF856" s="8"/>
      <c r="AG856" s="8"/>
      <c r="AH856" s="8"/>
      <c r="AI856" s="8"/>
      <c r="AJ856" s="8"/>
      <c r="AK856" s="8"/>
      <c r="AL856" s="8"/>
      <c r="AM856" s="8"/>
    </row>
    <row r="857" spans="1:39" ht="12.75" customHeight="1" x14ac:dyDescent="0.2">
      <c r="A857" s="8"/>
      <c r="B857" s="8"/>
      <c r="C857" s="8"/>
      <c r="D857" s="8"/>
      <c r="E857" s="8"/>
      <c r="F857" s="8"/>
      <c r="G857" s="8"/>
      <c r="H857" s="8"/>
      <c r="J857" s="8"/>
      <c r="K857" s="8"/>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row>
    <row r="858" spans="1:39" ht="12.75" customHeight="1" x14ac:dyDescent="0.2">
      <c r="A858" s="8"/>
      <c r="B858" s="8"/>
      <c r="C858" s="8"/>
      <c r="D858" s="8"/>
      <c r="E858" s="8"/>
      <c r="F858" s="8"/>
      <c r="G858" s="8"/>
      <c r="H858" s="8"/>
      <c r="J858" s="8"/>
      <c r="K858" s="8"/>
      <c r="L858" s="8"/>
      <c r="M858" s="8"/>
      <c r="N858" s="8"/>
      <c r="O858" s="8"/>
      <c r="P858" s="8"/>
      <c r="Q858" s="8"/>
      <c r="R858" s="8"/>
      <c r="S858" s="8"/>
      <c r="T858" s="8"/>
      <c r="U858" s="8"/>
      <c r="V858" s="8"/>
      <c r="W858" s="8"/>
      <c r="X858" s="8"/>
      <c r="Y858" s="8"/>
      <c r="Z858" s="8"/>
      <c r="AA858" s="8"/>
      <c r="AB858" s="8"/>
      <c r="AC858" s="8"/>
      <c r="AD858" s="8"/>
      <c r="AE858" s="8"/>
      <c r="AF858" s="8"/>
      <c r="AG858" s="8"/>
      <c r="AH858" s="8"/>
      <c r="AI858" s="8"/>
      <c r="AJ858" s="8"/>
      <c r="AK858" s="8"/>
      <c r="AL858" s="8"/>
      <c r="AM858" s="8"/>
    </row>
    <row r="859" spans="1:39" ht="12.75" customHeight="1" x14ac:dyDescent="0.2">
      <c r="A859" s="8"/>
      <c r="B859" s="8"/>
      <c r="C859" s="8"/>
      <c r="D859" s="8"/>
      <c r="E859" s="8"/>
      <c r="F859" s="8"/>
      <c r="G859" s="8"/>
      <c r="H859" s="8"/>
      <c r="J859" s="8"/>
      <c r="K859" s="8"/>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row>
    <row r="860" spans="1:39" ht="12.75" customHeight="1" x14ac:dyDescent="0.2">
      <c r="A860" s="8"/>
      <c r="B860" s="8"/>
      <c r="C860" s="8"/>
      <c r="D860" s="8"/>
      <c r="E860" s="8"/>
      <c r="F860" s="8"/>
      <c r="G860" s="8"/>
      <c r="H860" s="8"/>
      <c r="J860" s="8"/>
      <c r="K860" s="8"/>
      <c r="L860" s="8"/>
      <c r="M860" s="8"/>
      <c r="N860" s="8"/>
      <c r="O860" s="8"/>
      <c r="P860" s="8"/>
      <c r="Q860" s="8"/>
      <c r="R860" s="8"/>
      <c r="S860" s="8"/>
      <c r="T860" s="8"/>
      <c r="U860" s="8"/>
      <c r="V860" s="8"/>
      <c r="W860" s="8"/>
      <c r="X860" s="8"/>
      <c r="Y860" s="8"/>
      <c r="Z860" s="8"/>
      <c r="AA860" s="8"/>
      <c r="AB860" s="8"/>
      <c r="AC860" s="8"/>
      <c r="AD860" s="8"/>
      <c r="AE860" s="8"/>
      <c r="AF860" s="8"/>
      <c r="AG860" s="8"/>
      <c r="AH860" s="8"/>
      <c r="AI860" s="8"/>
      <c r="AJ860" s="8"/>
      <c r="AK860" s="8"/>
      <c r="AL860" s="8"/>
      <c r="AM860" s="8"/>
    </row>
    <row r="861" spans="1:39" ht="12.75" customHeight="1" x14ac:dyDescent="0.2">
      <c r="A861" s="8"/>
      <c r="B861" s="8"/>
      <c r="C861" s="8"/>
      <c r="D861" s="8"/>
      <c r="E861" s="8"/>
      <c r="F861" s="8"/>
      <c r="G861" s="8"/>
      <c r="H861" s="8"/>
      <c r="J861" s="8"/>
      <c r="K861" s="8"/>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row>
    <row r="862" spans="1:39" ht="12.75" customHeight="1" x14ac:dyDescent="0.2">
      <c r="A862" s="8"/>
      <c r="B862" s="8"/>
      <c r="C862" s="8"/>
      <c r="D862" s="8"/>
      <c r="E862" s="8"/>
      <c r="F862" s="8"/>
      <c r="G862" s="8"/>
      <c r="H862" s="8"/>
      <c r="J862" s="8"/>
      <c r="K862" s="8"/>
      <c r="L862" s="8"/>
      <c r="M862" s="8"/>
      <c r="N862" s="8"/>
      <c r="O862" s="8"/>
      <c r="P862" s="8"/>
      <c r="Q862" s="8"/>
      <c r="R862" s="8"/>
      <c r="S862" s="8"/>
      <c r="T862" s="8"/>
      <c r="U862" s="8"/>
      <c r="V862" s="8"/>
      <c r="W862" s="8"/>
      <c r="X862" s="8"/>
      <c r="Y862" s="8"/>
      <c r="Z862" s="8"/>
      <c r="AA862" s="8"/>
      <c r="AB862" s="8"/>
      <c r="AC862" s="8"/>
      <c r="AD862" s="8"/>
      <c r="AE862" s="8"/>
      <c r="AF862" s="8"/>
      <c r="AG862" s="8"/>
      <c r="AH862" s="8"/>
      <c r="AI862" s="8"/>
      <c r="AJ862" s="8"/>
      <c r="AK862" s="8"/>
      <c r="AL862" s="8"/>
      <c r="AM862" s="8"/>
    </row>
    <row r="863" spans="1:39" ht="12.75" customHeight="1" x14ac:dyDescent="0.2">
      <c r="A863" s="8"/>
      <c r="B863" s="8"/>
      <c r="C863" s="8"/>
      <c r="D863" s="8"/>
      <c r="E863" s="8"/>
      <c r="F863" s="8"/>
      <c r="G863" s="8"/>
      <c r="H863" s="8"/>
      <c r="J863" s="8"/>
      <c r="K863" s="8"/>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row>
    <row r="864" spans="1:39" ht="12.75" customHeight="1" x14ac:dyDescent="0.2">
      <c r="A864" s="8"/>
      <c r="B864" s="8"/>
      <c r="C864" s="8"/>
      <c r="D864" s="8"/>
      <c r="E864" s="8"/>
      <c r="F864" s="8"/>
      <c r="G864" s="8"/>
      <c r="H864" s="8"/>
      <c r="J864" s="8"/>
      <c r="K864" s="8"/>
      <c r="L864" s="8"/>
      <c r="M864" s="8"/>
      <c r="N864" s="8"/>
      <c r="O864" s="8"/>
      <c r="P864" s="8"/>
      <c r="Q864" s="8"/>
      <c r="R864" s="8"/>
      <c r="S864" s="8"/>
      <c r="T864" s="8"/>
      <c r="U864" s="8"/>
      <c r="V864" s="8"/>
      <c r="W864" s="8"/>
      <c r="X864" s="8"/>
      <c r="Y864" s="8"/>
      <c r="Z864" s="8"/>
      <c r="AA864" s="8"/>
      <c r="AB864" s="8"/>
      <c r="AC864" s="8"/>
      <c r="AD864" s="8"/>
      <c r="AE864" s="8"/>
      <c r="AF864" s="8"/>
      <c r="AG864" s="8"/>
      <c r="AH864" s="8"/>
      <c r="AI864" s="8"/>
      <c r="AJ864" s="8"/>
      <c r="AK864" s="8"/>
      <c r="AL864" s="8"/>
      <c r="AM864" s="8"/>
    </row>
    <row r="865" spans="1:39" ht="12.75" customHeight="1" x14ac:dyDescent="0.2">
      <c r="A865" s="8"/>
      <c r="B865" s="8"/>
      <c r="C865" s="8"/>
      <c r="D865" s="8"/>
      <c r="E865" s="8"/>
      <c r="F865" s="8"/>
      <c r="G865" s="8"/>
      <c r="H865" s="8"/>
      <c r="J865" s="8"/>
      <c r="K865" s="8"/>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row>
    <row r="866" spans="1:39" ht="12.75" customHeight="1" x14ac:dyDescent="0.2">
      <c r="A866" s="8"/>
      <c r="B866" s="8"/>
      <c r="C866" s="8"/>
      <c r="D866" s="8"/>
      <c r="E866" s="8"/>
      <c r="F866" s="8"/>
      <c r="G866" s="8"/>
      <c r="H866" s="8"/>
      <c r="J866" s="8"/>
      <c r="K866" s="8"/>
      <c r="L866" s="8"/>
      <c r="M866" s="8"/>
      <c r="N866" s="8"/>
      <c r="O866" s="8"/>
      <c r="P866" s="8"/>
      <c r="Q866" s="8"/>
      <c r="R866" s="8"/>
      <c r="S866" s="8"/>
      <c r="T866" s="8"/>
      <c r="U866" s="8"/>
      <c r="V866" s="8"/>
      <c r="W866" s="8"/>
      <c r="X866" s="8"/>
      <c r="Y866" s="8"/>
      <c r="Z866" s="8"/>
      <c r="AA866" s="8"/>
      <c r="AB866" s="8"/>
      <c r="AC866" s="8"/>
      <c r="AD866" s="8"/>
      <c r="AE866" s="8"/>
      <c r="AF866" s="8"/>
      <c r="AG866" s="8"/>
      <c r="AH866" s="8"/>
      <c r="AI866" s="8"/>
      <c r="AJ866" s="8"/>
      <c r="AK866" s="8"/>
      <c r="AL866" s="8"/>
      <c r="AM866" s="8"/>
    </row>
    <row r="867" spans="1:39" ht="12.75" customHeight="1" x14ac:dyDescent="0.2">
      <c r="A867" s="8"/>
      <c r="B867" s="8"/>
      <c r="C867" s="8"/>
      <c r="D867" s="8"/>
      <c r="E867" s="8"/>
      <c r="F867" s="8"/>
      <c r="G867" s="8"/>
      <c r="H867" s="8"/>
      <c r="J867" s="8"/>
      <c r="K867" s="8"/>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row>
    <row r="868" spans="1:39" ht="12.75" customHeight="1" x14ac:dyDescent="0.2">
      <c r="A868" s="8"/>
      <c r="B868" s="8"/>
      <c r="C868" s="8"/>
      <c r="D868" s="8"/>
      <c r="E868" s="8"/>
      <c r="F868" s="8"/>
      <c r="G868" s="8"/>
      <c r="H868" s="8"/>
      <c r="J868" s="8"/>
      <c r="K868" s="8"/>
      <c r="L868" s="8"/>
      <c r="M868" s="8"/>
      <c r="N868" s="8"/>
      <c r="O868" s="8"/>
      <c r="P868" s="8"/>
      <c r="Q868" s="8"/>
      <c r="R868" s="8"/>
      <c r="S868" s="8"/>
      <c r="T868" s="8"/>
      <c r="U868" s="8"/>
      <c r="V868" s="8"/>
      <c r="W868" s="8"/>
      <c r="X868" s="8"/>
      <c r="Y868" s="8"/>
      <c r="Z868" s="8"/>
      <c r="AA868" s="8"/>
      <c r="AB868" s="8"/>
      <c r="AC868" s="8"/>
      <c r="AD868" s="8"/>
      <c r="AE868" s="8"/>
      <c r="AF868" s="8"/>
      <c r="AG868" s="8"/>
      <c r="AH868" s="8"/>
      <c r="AI868" s="8"/>
      <c r="AJ868" s="8"/>
      <c r="AK868" s="8"/>
      <c r="AL868" s="8"/>
      <c r="AM868" s="8"/>
    </row>
    <row r="869" spans="1:39" ht="12.75" customHeight="1" x14ac:dyDescent="0.2">
      <c r="A869" s="8"/>
      <c r="B869" s="8"/>
      <c r="C869" s="8"/>
      <c r="D869" s="8"/>
      <c r="E869" s="8"/>
      <c r="F869" s="8"/>
      <c r="G869" s="8"/>
      <c r="H869" s="8"/>
      <c r="J869" s="8"/>
      <c r="K869" s="8"/>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row>
    <row r="870" spans="1:39" ht="12.75" customHeight="1" x14ac:dyDescent="0.2">
      <c r="A870" s="8"/>
      <c r="B870" s="8"/>
      <c r="C870" s="8"/>
      <c r="D870" s="8"/>
      <c r="E870" s="8"/>
      <c r="F870" s="8"/>
      <c r="G870" s="8"/>
      <c r="H870" s="8"/>
      <c r="J870" s="8"/>
      <c r="K870" s="8"/>
      <c r="L870" s="8"/>
      <c r="M870" s="8"/>
      <c r="N870" s="8"/>
      <c r="O870" s="8"/>
      <c r="P870" s="8"/>
      <c r="Q870" s="8"/>
      <c r="R870" s="8"/>
      <c r="S870" s="8"/>
      <c r="T870" s="8"/>
      <c r="U870" s="8"/>
      <c r="V870" s="8"/>
      <c r="W870" s="8"/>
      <c r="X870" s="8"/>
      <c r="Y870" s="8"/>
      <c r="Z870" s="8"/>
      <c r="AA870" s="8"/>
      <c r="AB870" s="8"/>
      <c r="AC870" s="8"/>
      <c r="AD870" s="8"/>
      <c r="AE870" s="8"/>
      <c r="AF870" s="8"/>
      <c r="AG870" s="8"/>
      <c r="AH870" s="8"/>
      <c r="AI870" s="8"/>
      <c r="AJ870" s="8"/>
      <c r="AK870" s="8"/>
      <c r="AL870" s="8"/>
      <c r="AM870" s="8"/>
    </row>
    <row r="871" spans="1:39" ht="12.75" customHeight="1" x14ac:dyDescent="0.2">
      <c r="A871" s="8"/>
      <c r="B871" s="8"/>
      <c r="C871" s="8"/>
      <c r="D871" s="8"/>
      <c r="E871" s="8"/>
      <c r="F871" s="8"/>
      <c r="G871" s="8"/>
      <c r="H871" s="8"/>
      <c r="J871" s="8"/>
      <c r="K871" s="8"/>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row>
    <row r="872" spans="1:39" ht="12.75" customHeight="1" x14ac:dyDescent="0.2">
      <c r="A872" s="8"/>
      <c r="B872" s="8"/>
      <c r="C872" s="8"/>
      <c r="D872" s="8"/>
      <c r="E872" s="8"/>
      <c r="F872" s="8"/>
      <c r="G872" s="8"/>
      <c r="H872" s="8"/>
      <c r="J872" s="8"/>
      <c r="K872" s="8"/>
      <c r="L872" s="8"/>
      <c r="M872" s="8"/>
      <c r="N872" s="8"/>
      <c r="O872" s="8"/>
      <c r="P872" s="8"/>
      <c r="Q872" s="8"/>
      <c r="R872" s="8"/>
      <c r="S872" s="8"/>
      <c r="T872" s="8"/>
      <c r="U872" s="8"/>
      <c r="V872" s="8"/>
      <c r="W872" s="8"/>
      <c r="X872" s="8"/>
      <c r="Y872" s="8"/>
      <c r="Z872" s="8"/>
      <c r="AA872" s="8"/>
      <c r="AB872" s="8"/>
      <c r="AC872" s="8"/>
      <c r="AD872" s="8"/>
      <c r="AE872" s="8"/>
      <c r="AF872" s="8"/>
      <c r="AG872" s="8"/>
      <c r="AH872" s="8"/>
      <c r="AI872" s="8"/>
      <c r="AJ872" s="8"/>
      <c r="AK872" s="8"/>
      <c r="AL872" s="8"/>
      <c r="AM872" s="8"/>
    </row>
    <row r="873" spans="1:39" ht="12.75" customHeight="1" x14ac:dyDescent="0.2">
      <c r="A873" s="8"/>
      <c r="B873" s="8"/>
      <c r="C873" s="8"/>
      <c r="D873" s="8"/>
      <c r="E873" s="8"/>
      <c r="F873" s="8"/>
      <c r="G873" s="8"/>
      <c r="H873" s="8"/>
      <c r="J873" s="8"/>
      <c r="K873" s="8"/>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row>
    <row r="874" spans="1:39" ht="12.75" customHeight="1" x14ac:dyDescent="0.2">
      <c r="A874" s="8"/>
      <c r="B874" s="8"/>
      <c r="C874" s="8"/>
      <c r="D874" s="8"/>
      <c r="E874" s="8"/>
      <c r="F874" s="8"/>
      <c r="G874" s="8"/>
      <c r="H874" s="8"/>
      <c r="J874" s="8"/>
      <c r="K874" s="8"/>
      <c r="L874" s="8"/>
      <c r="M874" s="8"/>
      <c r="N874" s="8"/>
      <c r="O874" s="8"/>
      <c r="P874" s="8"/>
      <c r="Q874" s="8"/>
      <c r="R874" s="8"/>
      <c r="S874" s="8"/>
      <c r="T874" s="8"/>
      <c r="U874" s="8"/>
      <c r="V874" s="8"/>
      <c r="W874" s="8"/>
      <c r="X874" s="8"/>
      <c r="Y874" s="8"/>
      <c r="Z874" s="8"/>
      <c r="AA874" s="8"/>
      <c r="AB874" s="8"/>
      <c r="AC874" s="8"/>
      <c r="AD874" s="8"/>
      <c r="AE874" s="8"/>
      <c r="AF874" s="8"/>
      <c r="AG874" s="8"/>
      <c r="AH874" s="8"/>
      <c r="AI874" s="8"/>
      <c r="AJ874" s="8"/>
      <c r="AK874" s="8"/>
      <c r="AL874" s="8"/>
      <c r="AM874" s="8"/>
    </row>
    <row r="875" spans="1:39" ht="12.75" customHeight="1" x14ac:dyDescent="0.2">
      <c r="A875" s="8"/>
      <c r="B875" s="8"/>
      <c r="C875" s="8"/>
      <c r="D875" s="8"/>
      <c r="E875" s="8"/>
      <c r="F875" s="8"/>
      <c r="G875" s="8"/>
      <c r="H875" s="8"/>
      <c r="J875" s="8"/>
      <c r="K875" s="8"/>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row>
    <row r="876" spans="1:39" ht="12.75" customHeight="1" x14ac:dyDescent="0.2">
      <c r="A876" s="8"/>
      <c r="B876" s="8"/>
      <c r="C876" s="8"/>
      <c r="D876" s="8"/>
      <c r="E876" s="8"/>
      <c r="F876" s="8"/>
      <c r="G876" s="8"/>
      <c r="H876" s="8"/>
      <c r="J876" s="8"/>
      <c r="K876" s="8"/>
      <c r="L876" s="8"/>
      <c r="M876" s="8"/>
      <c r="N876" s="8"/>
      <c r="O876" s="8"/>
      <c r="P876" s="8"/>
      <c r="Q876" s="8"/>
      <c r="R876" s="8"/>
      <c r="S876" s="8"/>
      <c r="T876" s="8"/>
      <c r="U876" s="8"/>
      <c r="V876" s="8"/>
      <c r="W876" s="8"/>
      <c r="X876" s="8"/>
      <c r="Y876" s="8"/>
      <c r="Z876" s="8"/>
      <c r="AA876" s="8"/>
      <c r="AB876" s="8"/>
      <c r="AC876" s="8"/>
      <c r="AD876" s="8"/>
      <c r="AE876" s="8"/>
      <c r="AF876" s="8"/>
      <c r="AG876" s="8"/>
      <c r="AH876" s="8"/>
      <c r="AI876" s="8"/>
      <c r="AJ876" s="8"/>
      <c r="AK876" s="8"/>
      <c r="AL876" s="8"/>
      <c r="AM876" s="8"/>
    </row>
    <row r="877" spans="1:39" ht="12.75" customHeight="1" x14ac:dyDescent="0.2">
      <c r="A877" s="8"/>
      <c r="B877" s="8"/>
      <c r="C877" s="8"/>
      <c r="D877" s="8"/>
      <c r="E877" s="8"/>
      <c r="F877" s="8"/>
      <c r="G877" s="8"/>
      <c r="H877" s="8"/>
      <c r="J877" s="8"/>
      <c r="K877" s="8"/>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row>
    <row r="878" spans="1:39" ht="12.75" customHeight="1" x14ac:dyDescent="0.2">
      <c r="A878" s="8"/>
      <c r="B878" s="8"/>
      <c r="C878" s="8"/>
      <c r="D878" s="8"/>
      <c r="E878" s="8"/>
      <c r="F878" s="8"/>
      <c r="G878" s="8"/>
      <c r="H878" s="8"/>
      <c r="J878" s="8"/>
      <c r="K878" s="8"/>
      <c r="L878" s="8"/>
      <c r="M878" s="8"/>
      <c r="N878" s="8"/>
      <c r="O878" s="8"/>
      <c r="P878" s="8"/>
      <c r="Q878" s="8"/>
      <c r="R878" s="8"/>
      <c r="S878" s="8"/>
      <c r="T878" s="8"/>
      <c r="U878" s="8"/>
      <c r="V878" s="8"/>
      <c r="W878" s="8"/>
      <c r="X878" s="8"/>
      <c r="Y878" s="8"/>
      <c r="Z878" s="8"/>
      <c r="AA878" s="8"/>
      <c r="AB878" s="8"/>
      <c r="AC878" s="8"/>
      <c r="AD878" s="8"/>
      <c r="AE878" s="8"/>
      <c r="AF878" s="8"/>
      <c r="AG878" s="8"/>
      <c r="AH878" s="8"/>
      <c r="AI878" s="8"/>
      <c r="AJ878" s="8"/>
      <c r="AK878" s="8"/>
      <c r="AL878" s="8"/>
      <c r="AM878" s="8"/>
    </row>
    <row r="879" spans="1:39" ht="12.75" customHeight="1" x14ac:dyDescent="0.2">
      <c r="A879" s="8"/>
      <c r="B879" s="8"/>
      <c r="C879" s="8"/>
      <c r="D879" s="8"/>
      <c r="E879" s="8"/>
      <c r="F879" s="8"/>
      <c r="G879" s="8"/>
      <c r="H879" s="8"/>
      <c r="J879" s="8"/>
      <c r="K879" s="8"/>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row>
    <row r="880" spans="1:39" ht="12.75" customHeight="1" x14ac:dyDescent="0.2">
      <c r="A880" s="8"/>
      <c r="B880" s="8"/>
      <c r="C880" s="8"/>
      <c r="D880" s="8"/>
      <c r="E880" s="8"/>
      <c r="F880" s="8"/>
      <c r="G880" s="8"/>
      <c r="H880" s="8"/>
      <c r="J880" s="8"/>
      <c r="K880" s="8"/>
      <c r="L880" s="8"/>
      <c r="M880" s="8"/>
      <c r="N880" s="8"/>
      <c r="O880" s="8"/>
      <c r="P880" s="8"/>
      <c r="Q880" s="8"/>
      <c r="R880" s="8"/>
      <c r="S880" s="8"/>
      <c r="T880" s="8"/>
      <c r="U880" s="8"/>
      <c r="V880" s="8"/>
      <c r="W880" s="8"/>
      <c r="X880" s="8"/>
      <c r="Y880" s="8"/>
      <c r="Z880" s="8"/>
      <c r="AA880" s="8"/>
      <c r="AB880" s="8"/>
      <c r="AC880" s="8"/>
      <c r="AD880" s="8"/>
      <c r="AE880" s="8"/>
      <c r="AF880" s="8"/>
      <c r="AG880" s="8"/>
      <c r="AH880" s="8"/>
      <c r="AI880" s="8"/>
      <c r="AJ880" s="8"/>
      <c r="AK880" s="8"/>
      <c r="AL880" s="8"/>
      <c r="AM880" s="8"/>
    </row>
    <row r="881" spans="1:39" ht="12.75" customHeight="1" x14ac:dyDescent="0.2">
      <c r="A881" s="8"/>
      <c r="B881" s="8"/>
      <c r="C881" s="8"/>
      <c r="D881" s="8"/>
      <c r="E881" s="8"/>
      <c r="F881" s="8"/>
      <c r="G881" s="8"/>
      <c r="H881" s="8"/>
      <c r="J881" s="8"/>
      <c r="K881" s="8"/>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row>
    <row r="882" spans="1:39" ht="12.75" customHeight="1" x14ac:dyDescent="0.2">
      <c r="A882" s="8"/>
      <c r="B882" s="8"/>
      <c r="C882" s="8"/>
      <c r="D882" s="8"/>
      <c r="E882" s="8"/>
      <c r="F882" s="8"/>
      <c r="G882" s="8"/>
      <c r="H882" s="8"/>
      <c r="J882" s="8"/>
      <c r="K882" s="8"/>
      <c r="L882" s="8"/>
      <c r="M882" s="8"/>
      <c r="N882" s="8"/>
      <c r="O882" s="8"/>
      <c r="P882" s="8"/>
      <c r="Q882" s="8"/>
      <c r="R882" s="8"/>
      <c r="S882" s="8"/>
      <c r="T882" s="8"/>
      <c r="U882" s="8"/>
      <c r="V882" s="8"/>
      <c r="W882" s="8"/>
      <c r="X882" s="8"/>
      <c r="Y882" s="8"/>
      <c r="Z882" s="8"/>
      <c r="AA882" s="8"/>
      <c r="AB882" s="8"/>
      <c r="AC882" s="8"/>
      <c r="AD882" s="8"/>
      <c r="AE882" s="8"/>
      <c r="AF882" s="8"/>
      <c r="AG882" s="8"/>
      <c r="AH882" s="8"/>
      <c r="AI882" s="8"/>
      <c r="AJ882" s="8"/>
      <c r="AK882" s="8"/>
      <c r="AL882" s="8"/>
      <c r="AM882" s="8"/>
    </row>
    <row r="883" spans="1:39" ht="12.75" customHeight="1" x14ac:dyDescent="0.2">
      <c r="A883" s="8"/>
      <c r="B883" s="8"/>
      <c r="C883" s="8"/>
      <c r="D883" s="8"/>
      <c r="E883" s="8"/>
      <c r="F883" s="8"/>
      <c r="G883" s="8"/>
      <c r="H883" s="8"/>
      <c r="J883" s="8"/>
      <c r="K883" s="8"/>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row>
    <row r="884" spans="1:39" ht="12.75" customHeight="1" x14ac:dyDescent="0.2">
      <c r="A884" s="8"/>
      <c r="B884" s="8"/>
      <c r="C884" s="8"/>
      <c r="D884" s="8"/>
      <c r="E884" s="8"/>
      <c r="F884" s="8"/>
      <c r="G884" s="8"/>
      <c r="H884" s="8"/>
      <c r="J884" s="8"/>
      <c r="K884" s="8"/>
      <c r="L884" s="8"/>
      <c r="M884" s="8"/>
      <c r="N884" s="8"/>
      <c r="O884" s="8"/>
      <c r="P884" s="8"/>
      <c r="Q884" s="8"/>
      <c r="R884" s="8"/>
      <c r="S884" s="8"/>
      <c r="T884" s="8"/>
      <c r="U884" s="8"/>
      <c r="V884" s="8"/>
      <c r="W884" s="8"/>
      <c r="X884" s="8"/>
      <c r="Y884" s="8"/>
      <c r="Z884" s="8"/>
      <c r="AA884" s="8"/>
      <c r="AB884" s="8"/>
      <c r="AC884" s="8"/>
      <c r="AD884" s="8"/>
      <c r="AE884" s="8"/>
      <c r="AF884" s="8"/>
      <c r="AG884" s="8"/>
      <c r="AH884" s="8"/>
      <c r="AI884" s="8"/>
      <c r="AJ884" s="8"/>
      <c r="AK884" s="8"/>
      <c r="AL884" s="8"/>
      <c r="AM884" s="8"/>
    </row>
    <row r="885" spans="1:39" ht="12.75" customHeight="1" x14ac:dyDescent="0.2">
      <c r="A885" s="8"/>
      <c r="B885" s="8"/>
      <c r="C885" s="8"/>
      <c r="D885" s="8"/>
      <c r="E885" s="8"/>
      <c r="F885" s="8"/>
      <c r="G885" s="8"/>
      <c r="H885" s="8"/>
      <c r="J885" s="8"/>
      <c r="K885" s="8"/>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row>
    <row r="886" spans="1:39" ht="12.75" customHeight="1" x14ac:dyDescent="0.2">
      <c r="A886" s="8"/>
      <c r="B886" s="8"/>
      <c r="C886" s="8"/>
      <c r="D886" s="8"/>
      <c r="E886" s="8"/>
      <c r="F886" s="8"/>
      <c r="G886" s="8"/>
      <c r="H886" s="8"/>
      <c r="J886" s="8"/>
      <c r="K886" s="8"/>
      <c r="L886" s="8"/>
      <c r="M886" s="8"/>
      <c r="N886" s="8"/>
      <c r="O886" s="8"/>
      <c r="P886" s="8"/>
      <c r="Q886" s="8"/>
      <c r="R886" s="8"/>
      <c r="S886" s="8"/>
      <c r="T886" s="8"/>
      <c r="U886" s="8"/>
      <c r="V886" s="8"/>
      <c r="W886" s="8"/>
      <c r="X886" s="8"/>
      <c r="Y886" s="8"/>
      <c r="Z886" s="8"/>
      <c r="AA886" s="8"/>
      <c r="AB886" s="8"/>
      <c r="AC886" s="8"/>
      <c r="AD886" s="8"/>
      <c r="AE886" s="8"/>
      <c r="AF886" s="8"/>
      <c r="AG886" s="8"/>
      <c r="AH886" s="8"/>
      <c r="AI886" s="8"/>
      <c r="AJ886" s="8"/>
      <c r="AK886" s="8"/>
      <c r="AL886" s="8"/>
      <c r="AM886" s="8"/>
    </row>
    <row r="887" spans="1:39" ht="12.75" customHeight="1" x14ac:dyDescent="0.2">
      <c r="A887" s="8"/>
      <c r="B887" s="8"/>
      <c r="C887" s="8"/>
      <c r="D887" s="8"/>
      <c r="E887" s="8"/>
      <c r="F887" s="8"/>
      <c r="G887" s="8"/>
      <c r="H887" s="8"/>
      <c r="J887" s="8"/>
      <c r="K887" s="8"/>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row>
    <row r="888" spans="1:39" ht="12.75" customHeight="1" x14ac:dyDescent="0.2">
      <c r="A888" s="8"/>
      <c r="B888" s="8"/>
      <c r="C888" s="8"/>
      <c r="D888" s="8"/>
      <c r="E888" s="8"/>
      <c r="F888" s="8"/>
      <c r="G888" s="8"/>
      <c r="H888" s="8"/>
      <c r="J888" s="8"/>
      <c r="K888" s="8"/>
      <c r="L888" s="8"/>
      <c r="M888" s="8"/>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8"/>
      <c r="AM888" s="8"/>
    </row>
    <row r="889" spans="1:39" ht="12.75" customHeight="1" x14ac:dyDescent="0.2">
      <c r="A889" s="8"/>
      <c r="B889" s="8"/>
      <c r="C889" s="8"/>
      <c r="D889" s="8"/>
      <c r="E889" s="8"/>
      <c r="F889" s="8"/>
      <c r="G889" s="8"/>
      <c r="H889" s="8"/>
      <c r="J889" s="8"/>
      <c r="K889" s="8"/>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row>
    <row r="890" spans="1:39" ht="12.75" customHeight="1" x14ac:dyDescent="0.2">
      <c r="A890" s="8"/>
      <c r="B890" s="8"/>
      <c r="C890" s="8"/>
      <c r="D890" s="8"/>
      <c r="E890" s="8"/>
      <c r="F890" s="8"/>
      <c r="G890" s="8"/>
      <c r="H890" s="8"/>
      <c r="J890" s="8"/>
      <c r="K890" s="8"/>
      <c r="L890" s="8"/>
      <c r="M890" s="8"/>
      <c r="N890" s="8"/>
      <c r="O890" s="8"/>
      <c r="P890" s="8"/>
      <c r="Q890" s="8"/>
      <c r="R890" s="8"/>
      <c r="S890" s="8"/>
      <c r="T890" s="8"/>
      <c r="U890" s="8"/>
      <c r="V890" s="8"/>
      <c r="W890" s="8"/>
      <c r="X890" s="8"/>
      <c r="Y890" s="8"/>
      <c r="Z890" s="8"/>
      <c r="AA890" s="8"/>
      <c r="AB890" s="8"/>
      <c r="AC890" s="8"/>
      <c r="AD890" s="8"/>
      <c r="AE890" s="8"/>
      <c r="AF890" s="8"/>
      <c r="AG890" s="8"/>
      <c r="AH890" s="8"/>
      <c r="AI890" s="8"/>
      <c r="AJ890" s="8"/>
      <c r="AK890" s="8"/>
      <c r="AL890" s="8"/>
      <c r="AM890" s="8"/>
    </row>
    <row r="891" spans="1:39" ht="12.75" customHeight="1" x14ac:dyDescent="0.2">
      <c r="A891" s="8"/>
      <c r="B891" s="8"/>
      <c r="C891" s="8"/>
      <c r="D891" s="8"/>
      <c r="E891" s="8"/>
      <c r="F891" s="8"/>
      <c r="G891" s="8"/>
      <c r="H891" s="8"/>
      <c r="J891" s="8"/>
      <c r="K891" s="8"/>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row>
    <row r="892" spans="1:39" ht="12.75" customHeight="1" x14ac:dyDescent="0.2">
      <c r="A892" s="8"/>
      <c r="B892" s="8"/>
      <c r="C892" s="8"/>
      <c r="D892" s="8"/>
      <c r="E892" s="8"/>
      <c r="F892" s="8"/>
      <c r="G892" s="8"/>
      <c r="H892" s="8"/>
      <c r="J892" s="8"/>
      <c r="K892" s="8"/>
      <c r="L892" s="8"/>
      <c r="M892" s="8"/>
      <c r="N892" s="8"/>
      <c r="O892" s="8"/>
      <c r="P892" s="8"/>
      <c r="Q892" s="8"/>
      <c r="R892" s="8"/>
      <c r="S892" s="8"/>
      <c r="T892" s="8"/>
      <c r="U892" s="8"/>
      <c r="V892" s="8"/>
      <c r="W892" s="8"/>
      <c r="X892" s="8"/>
      <c r="Y892" s="8"/>
      <c r="Z892" s="8"/>
      <c r="AA892" s="8"/>
      <c r="AB892" s="8"/>
      <c r="AC892" s="8"/>
      <c r="AD892" s="8"/>
      <c r="AE892" s="8"/>
      <c r="AF892" s="8"/>
      <c r="AG892" s="8"/>
      <c r="AH892" s="8"/>
      <c r="AI892" s="8"/>
      <c r="AJ892" s="8"/>
      <c r="AK892" s="8"/>
      <c r="AL892" s="8"/>
      <c r="AM892" s="8"/>
    </row>
    <row r="893" spans="1:39" ht="12.75" customHeight="1" x14ac:dyDescent="0.2">
      <c r="A893" s="8"/>
      <c r="B893" s="8"/>
      <c r="C893" s="8"/>
      <c r="D893" s="8"/>
      <c r="E893" s="8"/>
      <c r="F893" s="8"/>
      <c r="G893" s="8"/>
      <c r="H893" s="8"/>
      <c r="J893" s="8"/>
      <c r="K893" s="8"/>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row>
    <row r="894" spans="1:39" ht="12.75" customHeight="1" x14ac:dyDescent="0.2">
      <c r="A894" s="8"/>
      <c r="B894" s="8"/>
      <c r="C894" s="8"/>
      <c r="D894" s="8"/>
      <c r="E894" s="8"/>
      <c r="F894" s="8"/>
      <c r="G894" s="8"/>
      <c r="H894" s="8"/>
      <c r="J894" s="8"/>
      <c r="K894" s="8"/>
      <c r="L894" s="8"/>
      <c r="M894" s="8"/>
      <c r="N894" s="8"/>
      <c r="O894" s="8"/>
      <c r="P894" s="8"/>
      <c r="Q894" s="8"/>
      <c r="R894" s="8"/>
      <c r="S894" s="8"/>
      <c r="T894" s="8"/>
      <c r="U894" s="8"/>
      <c r="V894" s="8"/>
      <c r="W894" s="8"/>
      <c r="X894" s="8"/>
      <c r="Y894" s="8"/>
      <c r="Z894" s="8"/>
      <c r="AA894" s="8"/>
      <c r="AB894" s="8"/>
      <c r="AC894" s="8"/>
      <c r="AD894" s="8"/>
      <c r="AE894" s="8"/>
      <c r="AF894" s="8"/>
      <c r="AG894" s="8"/>
      <c r="AH894" s="8"/>
      <c r="AI894" s="8"/>
      <c r="AJ894" s="8"/>
      <c r="AK894" s="8"/>
      <c r="AL894" s="8"/>
      <c r="AM894" s="8"/>
    </row>
    <row r="895" spans="1:39" ht="12.75" customHeight="1" x14ac:dyDescent="0.2">
      <c r="A895" s="8"/>
      <c r="B895" s="8"/>
      <c r="C895" s="8"/>
      <c r="D895" s="8"/>
      <c r="E895" s="8"/>
      <c r="F895" s="8"/>
      <c r="G895" s="8"/>
      <c r="H895" s="8"/>
      <c r="J895" s="8"/>
      <c r="K895" s="8"/>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row>
    <row r="896" spans="1:39" ht="12.75" customHeight="1" x14ac:dyDescent="0.2">
      <c r="A896" s="8"/>
      <c r="B896" s="8"/>
      <c r="C896" s="8"/>
      <c r="D896" s="8"/>
      <c r="E896" s="8"/>
      <c r="F896" s="8"/>
      <c r="G896" s="8"/>
      <c r="H896" s="8"/>
      <c r="J896" s="8"/>
      <c r="K896" s="8"/>
      <c r="L896" s="8"/>
      <c r="M896" s="8"/>
      <c r="N896" s="8"/>
      <c r="O896" s="8"/>
      <c r="P896" s="8"/>
      <c r="Q896" s="8"/>
      <c r="R896" s="8"/>
      <c r="S896" s="8"/>
      <c r="T896" s="8"/>
      <c r="U896" s="8"/>
      <c r="V896" s="8"/>
      <c r="W896" s="8"/>
      <c r="X896" s="8"/>
      <c r="Y896" s="8"/>
      <c r="Z896" s="8"/>
      <c r="AA896" s="8"/>
      <c r="AB896" s="8"/>
      <c r="AC896" s="8"/>
      <c r="AD896" s="8"/>
      <c r="AE896" s="8"/>
      <c r="AF896" s="8"/>
      <c r="AG896" s="8"/>
      <c r="AH896" s="8"/>
      <c r="AI896" s="8"/>
      <c r="AJ896" s="8"/>
      <c r="AK896" s="8"/>
      <c r="AL896" s="8"/>
      <c r="AM896" s="8"/>
    </row>
    <row r="897" spans="1:39" ht="12.75" customHeight="1" x14ac:dyDescent="0.2">
      <c r="A897" s="8"/>
      <c r="B897" s="8"/>
      <c r="C897" s="8"/>
      <c r="D897" s="8"/>
      <c r="E897" s="8"/>
      <c r="F897" s="8"/>
      <c r="G897" s="8"/>
      <c r="H897" s="8"/>
      <c r="J897" s="8"/>
      <c r="K897" s="8"/>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row>
    <row r="898" spans="1:39" ht="12.75" customHeight="1" x14ac:dyDescent="0.2">
      <c r="A898" s="8"/>
      <c r="B898" s="8"/>
      <c r="C898" s="8"/>
      <c r="D898" s="8"/>
      <c r="E898" s="8"/>
      <c r="F898" s="8"/>
      <c r="G898" s="8"/>
      <c r="H898" s="8"/>
      <c r="J898" s="8"/>
      <c r="K898" s="8"/>
      <c r="L898" s="8"/>
      <c r="M898" s="8"/>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8"/>
      <c r="AM898" s="8"/>
    </row>
    <row r="899" spans="1:39" ht="12.75" customHeight="1" x14ac:dyDescent="0.2">
      <c r="A899" s="8"/>
      <c r="B899" s="8"/>
      <c r="C899" s="8"/>
      <c r="D899" s="8"/>
      <c r="E899" s="8"/>
      <c r="F899" s="8"/>
      <c r="G899" s="8"/>
      <c r="H899" s="8"/>
      <c r="J899" s="8"/>
      <c r="K899" s="8"/>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row>
    <row r="900" spans="1:39" ht="12.75" customHeight="1" x14ac:dyDescent="0.2">
      <c r="A900" s="8"/>
      <c r="B900" s="8"/>
      <c r="C900" s="8"/>
      <c r="D900" s="8"/>
      <c r="E900" s="8"/>
      <c r="F900" s="8"/>
      <c r="G900" s="8"/>
      <c r="H900" s="8"/>
      <c r="J900" s="8"/>
      <c r="K900" s="8"/>
      <c r="L900" s="8"/>
      <c r="M900" s="8"/>
      <c r="N900" s="8"/>
      <c r="O900" s="8"/>
      <c r="P900" s="8"/>
      <c r="Q900" s="8"/>
      <c r="R900" s="8"/>
      <c r="S900" s="8"/>
      <c r="T900" s="8"/>
      <c r="U900" s="8"/>
      <c r="V900" s="8"/>
      <c r="W900" s="8"/>
      <c r="X900" s="8"/>
      <c r="Y900" s="8"/>
      <c r="Z900" s="8"/>
      <c r="AA900" s="8"/>
      <c r="AB900" s="8"/>
      <c r="AC900" s="8"/>
      <c r="AD900" s="8"/>
      <c r="AE900" s="8"/>
      <c r="AF900" s="8"/>
      <c r="AG900" s="8"/>
      <c r="AH900" s="8"/>
      <c r="AI900" s="8"/>
      <c r="AJ900" s="8"/>
      <c r="AK900" s="8"/>
      <c r="AL900" s="8"/>
      <c r="AM900" s="8"/>
    </row>
    <row r="901" spans="1:39" ht="12.75" customHeight="1" x14ac:dyDescent="0.2">
      <c r="A901" s="8"/>
      <c r="B901" s="8"/>
      <c r="C901" s="8"/>
      <c r="D901" s="8"/>
      <c r="E901" s="8"/>
      <c r="F901" s="8"/>
      <c r="G901" s="8"/>
      <c r="H901" s="8"/>
      <c r="J901" s="8"/>
      <c r="K901" s="8"/>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row>
    <row r="902" spans="1:39" ht="12.75" customHeight="1" x14ac:dyDescent="0.2">
      <c r="A902" s="8"/>
      <c r="B902" s="8"/>
      <c r="C902" s="8"/>
      <c r="D902" s="8"/>
      <c r="E902" s="8"/>
      <c r="F902" s="8"/>
      <c r="G902" s="8"/>
      <c r="H902" s="8"/>
      <c r="J902" s="8"/>
      <c r="K902" s="8"/>
      <c r="L902" s="8"/>
      <c r="M902" s="8"/>
      <c r="N902" s="8"/>
      <c r="O902" s="8"/>
      <c r="P902" s="8"/>
      <c r="Q902" s="8"/>
      <c r="R902" s="8"/>
      <c r="S902" s="8"/>
      <c r="T902" s="8"/>
      <c r="U902" s="8"/>
      <c r="V902" s="8"/>
      <c r="W902" s="8"/>
      <c r="X902" s="8"/>
      <c r="Y902" s="8"/>
      <c r="Z902" s="8"/>
      <c r="AA902" s="8"/>
      <c r="AB902" s="8"/>
      <c r="AC902" s="8"/>
      <c r="AD902" s="8"/>
      <c r="AE902" s="8"/>
      <c r="AF902" s="8"/>
      <c r="AG902" s="8"/>
      <c r="AH902" s="8"/>
      <c r="AI902" s="8"/>
      <c r="AJ902" s="8"/>
      <c r="AK902" s="8"/>
      <c r="AL902" s="8"/>
      <c r="AM902" s="8"/>
    </row>
    <row r="903" spans="1:39" ht="12.75" customHeight="1" x14ac:dyDescent="0.2">
      <c r="A903" s="8"/>
      <c r="B903" s="8"/>
      <c r="C903" s="8"/>
      <c r="D903" s="8"/>
      <c r="E903" s="8"/>
      <c r="F903" s="8"/>
      <c r="G903" s="8"/>
      <c r="H903" s="8"/>
      <c r="J903" s="8"/>
      <c r="K903" s="8"/>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row>
    <row r="904" spans="1:39" ht="12.75" customHeight="1" x14ac:dyDescent="0.2">
      <c r="A904" s="8"/>
      <c r="B904" s="8"/>
      <c r="C904" s="8"/>
      <c r="D904" s="8"/>
      <c r="E904" s="8"/>
      <c r="F904" s="8"/>
      <c r="G904" s="8"/>
      <c r="H904" s="8"/>
      <c r="J904" s="8"/>
      <c r="K904" s="8"/>
      <c r="L904" s="8"/>
      <c r="M904" s="8"/>
      <c r="N904" s="8"/>
      <c r="O904" s="8"/>
      <c r="P904" s="8"/>
      <c r="Q904" s="8"/>
      <c r="R904" s="8"/>
      <c r="S904" s="8"/>
      <c r="T904" s="8"/>
      <c r="U904" s="8"/>
      <c r="V904" s="8"/>
      <c r="W904" s="8"/>
      <c r="X904" s="8"/>
      <c r="Y904" s="8"/>
      <c r="Z904" s="8"/>
      <c r="AA904" s="8"/>
      <c r="AB904" s="8"/>
      <c r="AC904" s="8"/>
      <c r="AD904" s="8"/>
      <c r="AE904" s="8"/>
      <c r="AF904" s="8"/>
      <c r="AG904" s="8"/>
      <c r="AH904" s="8"/>
      <c r="AI904" s="8"/>
      <c r="AJ904" s="8"/>
      <c r="AK904" s="8"/>
      <c r="AL904" s="8"/>
      <c r="AM904" s="8"/>
    </row>
    <row r="905" spans="1:39" ht="12.75" customHeight="1" x14ac:dyDescent="0.2">
      <c r="A905" s="8"/>
      <c r="B905" s="8"/>
      <c r="C905" s="8"/>
      <c r="D905" s="8"/>
      <c r="E905" s="8"/>
      <c r="F905" s="8"/>
      <c r="G905" s="8"/>
      <c r="H905" s="8"/>
      <c r="J905" s="8"/>
      <c r="K905" s="8"/>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row>
    <row r="906" spans="1:39" ht="12.75" customHeight="1" x14ac:dyDescent="0.2">
      <c r="A906" s="8"/>
      <c r="B906" s="8"/>
      <c r="C906" s="8"/>
      <c r="D906" s="8"/>
      <c r="E906" s="8"/>
      <c r="F906" s="8"/>
      <c r="G906" s="8"/>
      <c r="H906" s="8"/>
      <c r="J906" s="8"/>
      <c r="K906" s="8"/>
      <c r="L906" s="8"/>
      <c r="M906" s="8"/>
      <c r="N906" s="8"/>
      <c r="O906" s="8"/>
      <c r="P906" s="8"/>
      <c r="Q906" s="8"/>
      <c r="R906" s="8"/>
      <c r="S906" s="8"/>
      <c r="T906" s="8"/>
      <c r="U906" s="8"/>
      <c r="V906" s="8"/>
      <c r="W906" s="8"/>
      <c r="X906" s="8"/>
      <c r="Y906" s="8"/>
      <c r="Z906" s="8"/>
      <c r="AA906" s="8"/>
      <c r="AB906" s="8"/>
      <c r="AC906" s="8"/>
      <c r="AD906" s="8"/>
      <c r="AE906" s="8"/>
      <c r="AF906" s="8"/>
      <c r="AG906" s="8"/>
      <c r="AH906" s="8"/>
      <c r="AI906" s="8"/>
      <c r="AJ906" s="8"/>
      <c r="AK906" s="8"/>
      <c r="AL906" s="8"/>
      <c r="AM906" s="8"/>
    </row>
    <row r="907" spans="1:39" ht="12.75" customHeight="1" x14ac:dyDescent="0.2">
      <c r="A907" s="8"/>
      <c r="B907" s="8"/>
      <c r="C907" s="8"/>
      <c r="D907" s="8"/>
      <c r="E907" s="8"/>
      <c r="F907" s="8"/>
      <c r="G907" s="8"/>
      <c r="H907" s="8"/>
      <c r="J907" s="8"/>
      <c r="K907" s="8"/>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row>
    <row r="908" spans="1:39" ht="12.75" customHeight="1" x14ac:dyDescent="0.2">
      <c r="A908" s="8"/>
      <c r="B908" s="8"/>
      <c r="C908" s="8"/>
      <c r="D908" s="8"/>
      <c r="E908" s="8"/>
      <c r="F908" s="8"/>
      <c r="G908" s="8"/>
      <c r="H908" s="8"/>
      <c r="J908" s="8"/>
      <c r="K908" s="8"/>
      <c r="L908" s="8"/>
      <c r="M908" s="8"/>
      <c r="N908" s="8"/>
      <c r="O908" s="8"/>
      <c r="P908" s="8"/>
      <c r="Q908" s="8"/>
      <c r="R908" s="8"/>
      <c r="S908" s="8"/>
      <c r="T908" s="8"/>
      <c r="U908" s="8"/>
      <c r="V908" s="8"/>
      <c r="W908" s="8"/>
      <c r="X908" s="8"/>
      <c r="Y908" s="8"/>
      <c r="Z908" s="8"/>
      <c r="AA908" s="8"/>
      <c r="AB908" s="8"/>
      <c r="AC908" s="8"/>
      <c r="AD908" s="8"/>
      <c r="AE908" s="8"/>
      <c r="AF908" s="8"/>
      <c r="AG908" s="8"/>
      <c r="AH908" s="8"/>
      <c r="AI908" s="8"/>
      <c r="AJ908" s="8"/>
      <c r="AK908" s="8"/>
      <c r="AL908" s="8"/>
      <c r="AM908" s="8"/>
    </row>
    <row r="909" spans="1:39" ht="12.75" customHeight="1" x14ac:dyDescent="0.2">
      <c r="A909" s="8"/>
      <c r="B909" s="8"/>
      <c r="C909" s="8"/>
      <c r="D909" s="8"/>
      <c r="E909" s="8"/>
      <c r="F909" s="8"/>
      <c r="G909" s="8"/>
      <c r="H909" s="8"/>
      <c r="J909" s="8"/>
      <c r="K909" s="8"/>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row>
    <row r="910" spans="1:39" ht="12.75" customHeight="1" x14ac:dyDescent="0.2">
      <c r="A910" s="8"/>
      <c r="B910" s="8"/>
      <c r="C910" s="8"/>
      <c r="D910" s="8"/>
      <c r="E910" s="8"/>
      <c r="F910" s="8"/>
      <c r="G910" s="8"/>
      <c r="H910" s="8"/>
      <c r="J910" s="8"/>
      <c r="K910" s="8"/>
      <c r="L910" s="8"/>
      <c r="M910" s="8"/>
      <c r="N910" s="8"/>
      <c r="O910" s="8"/>
      <c r="P910" s="8"/>
      <c r="Q910" s="8"/>
      <c r="R910" s="8"/>
      <c r="S910" s="8"/>
      <c r="T910" s="8"/>
      <c r="U910" s="8"/>
      <c r="V910" s="8"/>
      <c r="W910" s="8"/>
      <c r="X910" s="8"/>
      <c r="Y910" s="8"/>
      <c r="Z910" s="8"/>
      <c r="AA910" s="8"/>
      <c r="AB910" s="8"/>
      <c r="AC910" s="8"/>
      <c r="AD910" s="8"/>
      <c r="AE910" s="8"/>
      <c r="AF910" s="8"/>
      <c r="AG910" s="8"/>
      <c r="AH910" s="8"/>
      <c r="AI910" s="8"/>
      <c r="AJ910" s="8"/>
      <c r="AK910" s="8"/>
      <c r="AL910" s="8"/>
      <c r="AM910" s="8"/>
    </row>
    <row r="911" spans="1:39" ht="12.75" customHeight="1" x14ac:dyDescent="0.2">
      <c r="A911" s="8"/>
      <c r="B911" s="8"/>
      <c r="C911" s="8"/>
      <c r="D911" s="8"/>
      <c r="E911" s="8"/>
      <c r="F911" s="8"/>
      <c r="G911" s="8"/>
      <c r="H911" s="8"/>
      <c r="J911" s="8"/>
      <c r="K911" s="8"/>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row>
    <row r="912" spans="1:39" ht="12.75" customHeight="1" x14ac:dyDescent="0.2">
      <c r="A912" s="8"/>
      <c r="B912" s="8"/>
      <c r="C912" s="8"/>
      <c r="D912" s="8"/>
      <c r="E912" s="8"/>
      <c r="F912" s="8"/>
      <c r="G912" s="8"/>
      <c r="H912" s="8"/>
      <c r="J912" s="8"/>
      <c r="K912" s="8"/>
      <c r="L912" s="8"/>
      <c r="M912" s="8"/>
      <c r="N912" s="8"/>
      <c r="O912" s="8"/>
      <c r="P912" s="8"/>
      <c r="Q912" s="8"/>
      <c r="R912" s="8"/>
      <c r="S912" s="8"/>
      <c r="T912" s="8"/>
      <c r="U912" s="8"/>
      <c r="V912" s="8"/>
      <c r="W912" s="8"/>
      <c r="X912" s="8"/>
      <c r="Y912" s="8"/>
      <c r="Z912" s="8"/>
      <c r="AA912" s="8"/>
      <c r="AB912" s="8"/>
      <c r="AC912" s="8"/>
      <c r="AD912" s="8"/>
      <c r="AE912" s="8"/>
      <c r="AF912" s="8"/>
      <c r="AG912" s="8"/>
      <c r="AH912" s="8"/>
      <c r="AI912" s="8"/>
      <c r="AJ912" s="8"/>
      <c r="AK912" s="8"/>
      <c r="AL912" s="8"/>
      <c r="AM912" s="8"/>
    </row>
    <row r="913" spans="1:39" ht="12.75" customHeight="1" x14ac:dyDescent="0.2">
      <c r="A913" s="8"/>
      <c r="B913" s="8"/>
      <c r="C913" s="8"/>
      <c r="D913" s="8"/>
      <c r="E913" s="8"/>
      <c r="F913" s="8"/>
      <c r="G913" s="8"/>
      <c r="H913" s="8"/>
      <c r="J913" s="8"/>
      <c r="K913" s="8"/>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row>
    <row r="914" spans="1:39" ht="12.75" customHeight="1" x14ac:dyDescent="0.2">
      <c r="A914" s="8"/>
      <c r="B914" s="8"/>
      <c r="C914" s="8"/>
      <c r="D914" s="8"/>
      <c r="E914" s="8"/>
      <c r="F914" s="8"/>
      <c r="G914" s="8"/>
      <c r="H914" s="8"/>
      <c r="J914" s="8"/>
      <c r="K914" s="8"/>
      <c r="L914" s="8"/>
      <c r="M914" s="8"/>
      <c r="N914" s="8"/>
      <c r="O914" s="8"/>
      <c r="P914" s="8"/>
      <c r="Q914" s="8"/>
      <c r="R914" s="8"/>
      <c r="S914" s="8"/>
      <c r="T914" s="8"/>
      <c r="U914" s="8"/>
      <c r="V914" s="8"/>
      <c r="W914" s="8"/>
      <c r="X914" s="8"/>
      <c r="Y914" s="8"/>
      <c r="Z914" s="8"/>
      <c r="AA914" s="8"/>
      <c r="AB914" s="8"/>
      <c r="AC914" s="8"/>
      <c r="AD914" s="8"/>
      <c r="AE914" s="8"/>
      <c r="AF914" s="8"/>
      <c r="AG914" s="8"/>
      <c r="AH914" s="8"/>
      <c r="AI914" s="8"/>
      <c r="AJ914" s="8"/>
      <c r="AK914" s="8"/>
      <c r="AL914" s="8"/>
      <c r="AM914" s="8"/>
    </row>
    <row r="915" spans="1:39" ht="12.75" customHeight="1" x14ac:dyDescent="0.2">
      <c r="A915" s="8"/>
      <c r="B915" s="8"/>
      <c r="C915" s="8"/>
      <c r="D915" s="8"/>
      <c r="E915" s="8"/>
      <c r="F915" s="8"/>
      <c r="G915" s="8"/>
      <c r="H915" s="8"/>
      <c r="J915" s="8"/>
      <c r="K915" s="8"/>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row>
    <row r="916" spans="1:39" ht="12.75" customHeight="1" x14ac:dyDescent="0.2">
      <c r="A916" s="8"/>
      <c r="B916" s="8"/>
      <c r="C916" s="8"/>
      <c r="D916" s="8"/>
      <c r="E916" s="8"/>
      <c r="F916" s="8"/>
      <c r="G916" s="8"/>
      <c r="H916" s="8"/>
      <c r="J916" s="8"/>
      <c r="K916" s="8"/>
      <c r="L916" s="8"/>
      <c r="M916" s="8"/>
      <c r="N916" s="8"/>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row>
    <row r="917" spans="1:39" ht="12.75" customHeight="1" x14ac:dyDescent="0.2">
      <c r="A917" s="8"/>
      <c r="B917" s="8"/>
      <c r="C917" s="8"/>
      <c r="D917" s="8"/>
      <c r="E917" s="8"/>
      <c r="F917" s="8"/>
      <c r="G917" s="8"/>
      <c r="H917" s="8"/>
      <c r="J917" s="8"/>
      <c r="K917" s="8"/>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row>
    <row r="918" spans="1:39" ht="12.75" customHeight="1" x14ac:dyDescent="0.2">
      <c r="A918" s="8"/>
      <c r="B918" s="8"/>
      <c r="C918" s="8"/>
      <c r="D918" s="8"/>
      <c r="E918" s="8"/>
      <c r="F918" s="8"/>
      <c r="G918" s="8"/>
      <c r="H918" s="8"/>
      <c r="J918" s="8"/>
      <c r="K918" s="8"/>
      <c r="L918" s="8"/>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row>
    <row r="919" spans="1:39" ht="12.75" customHeight="1" x14ac:dyDescent="0.2">
      <c r="A919" s="8"/>
      <c r="B919" s="8"/>
      <c r="C919" s="8"/>
      <c r="D919" s="8"/>
      <c r="E919" s="8"/>
      <c r="F919" s="8"/>
      <c r="G919" s="8"/>
      <c r="H919" s="8"/>
      <c r="J919" s="8"/>
      <c r="K919" s="8"/>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row>
    <row r="920" spans="1:39" ht="12.75" customHeight="1" x14ac:dyDescent="0.2">
      <c r="A920" s="8"/>
      <c r="B920" s="8"/>
      <c r="C920" s="8"/>
      <c r="D920" s="8"/>
      <c r="E920" s="8"/>
      <c r="F920" s="8"/>
      <c r="G920" s="8"/>
      <c r="H920" s="8"/>
      <c r="J920" s="8"/>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row>
    <row r="921" spans="1:39" ht="12.75" customHeight="1" x14ac:dyDescent="0.2">
      <c r="A921" s="8"/>
      <c r="B921" s="8"/>
      <c r="C921" s="8"/>
      <c r="D921" s="8"/>
      <c r="E921" s="8"/>
      <c r="F921" s="8"/>
      <c r="G921" s="8"/>
      <c r="H921" s="8"/>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row>
    <row r="922" spans="1:39" ht="12.75" customHeight="1" x14ac:dyDescent="0.2">
      <c r="A922" s="8"/>
      <c r="B922" s="8"/>
      <c r="C922" s="8"/>
      <c r="D922" s="8"/>
      <c r="E922" s="8"/>
      <c r="F922" s="8"/>
      <c r="G922" s="8"/>
      <c r="H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row>
    <row r="923" spans="1:39" ht="12.75" customHeight="1" x14ac:dyDescent="0.2">
      <c r="A923" s="8"/>
      <c r="B923" s="8"/>
      <c r="C923" s="8"/>
      <c r="D923" s="8"/>
      <c r="E923" s="8"/>
      <c r="F923" s="8"/>
      <c r="G923" s="8"/>
      <c r="H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row>
    <row r="924" spans="1:39" ht="12.75" customHeight="1" x14ac:dyDescent="0.2">
      <c r="A924" s="8"/>
      <c r="B924" s="8"/>
      <c r="C924" s="8"/>
      <c r="D924" s="8"/>
      <c r="E924" s="8"/>
      <c r="F924" s="8"/>
      <c r="G924" s="8"/>
      <c r="H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row>
    <row r="925" spans="1:39" ht="12.75" customHeight="1" x14ac:dyDescent="0.2">
      <c r="A925" s="8"/>
      <c r="B925" s="8"/>
      <c r="C925" s="8"/>
      <c r="D925" s="8"/>
      <c r="E925" s="8"/>
      <c r="F925" s="8"/>
      <c r="G925" s="8"/>
      <c r="H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row>
    <row r="926" spans="1:39" ht="12.75" customHeight="1" x14ac:dyDescent="0.2">
      <c r="A926" s="8"/>
      <c r="B926" s="8"/>
      <c r="C926" s="8"/>
      <c r="D926" s="8"/>
      <c r="E926" s="8"/>
      <c r="F926" s="8"/>
      <c r="G926" s="8"/>
      <c r="H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row>
    <row r="927" spans="1:39" ht="12.75" customHeight="1" x14ac:dyDescent="0.2">
      <c r="A927" s="8"/>
      <c r="B927" s="8"/>
      <c r="C927" s="8"/>
      <c r="D927" s="8"/>
      <c r="E927" s="8"/>
      <c r="F927" s="8"/>
      <c r="G927" s="8"/>
      <c r="H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row>
    <row r="928" spans="1:39" ht="12.75" customHeight="1" x14ac:dyDescent="0.2">
      <c r="A928" s="8"/>
      <c r="B928" s="8"/>
      <c r="C928" s="8"/>
      <c r="D928" s="8"/>
      <c r="E928" s="8"/>
      <c r="F928" s="8"/>
      <c r="G928" s="8"/>
      <c r="H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row>
    <row r="929" spans="1:39" ht="12.75" customHeight="1" x14ac:dyDescent="0.2">
      <c r="A929" s="8"/>
      <c r="B929" s="8"/>
      <c r="C929" s="8"/>
      <c r="D929" s="8"/>
      <c r="E929" s="8"/>
      <c r="F929" s="8"/>
      <c r="G929" s="8"/>
      <c r="H929" s="8"/>
      <c r="J929" s="8"/>
      <c r="K929" s="8"/>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row>
    <row r="930" spans="1:39" ht="12.75" customHeight="1" x14ac:dyDescent="0.2">
      <c r="A930" s="8"/>
      <c r="B930" s="8"/>
      <c r="C930" s="8"/>
      <c r="D930" s="8"/>
      <c r="E930" s="8"/>
      <c r="F930" s="8"/>
      <c r="G930" s="8"/>
      <c r="H930" s="8"/>
      <c r="J930" s="8"/>
      <c r="K930" s="8"/>
      <c r="L930" s="8"/>
      <c r="M930" s="8"/>
      <c r="N930" s="8"/>
      <c r="O930" s="8"/>
      <c r="P930" s="8"/>
      <c r="Q930" s="8"/>
      <c r="R930" s="8"/>
      <c r="S930" s="8"/>
      <c r="T930" s="8"/>
      <c r="U930" s="8"/>
      <c r="V930" s="8"/>
      <c r="W930" s="8"/>
      <c r="X930" s="8"/>
      <c r="Y930" s="8"/>
      <c r="Z930" s="8"/>
      <c r="AA930" s="8"/>
      <c r="AB930" s="8"/>
      <c r="AC930" s="8"/>
      <c r="AD930" s="8"/>
      <c r="AE930" s="8"/>
      <c r="AF930" s="8"/>
      <c r="AG930" s="8"/>
      <c r="AH930" s="8"/>
      <c r="AI930" s="8"/>
      <c r="AJ930" s="8"/>
      <c r="AK930" s="8"/>
      <c r="AL930" s="8"/>
      <c r="AM930" s="8"/>
    </row>
    <row r="931" spans="1:39" ht="12.75" customHeight="1" x14ac:dyDescent="0.2">
      <c r="A931" s="8"/>
      <c r="B931" s="8"/>
      <c r="C931" s="8"/>
      <c r="D931" s="8"/>
      <c r="E931" s="8"/>
      <c r="F931" s="8"/>
      <c r="G931" s="8"/>
      <c r="H931" s="8"/>
      <c r="J931" s="8"/>
      <c r="K931" s="8"/>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row>
    <row r="932" spans="1:39" ht="12.75" customHeight="1" x14ac:dyDescent="0.2">
      <c r="A932" s="8"/>
      <c r="B932" s="8"/>
      <c r="C932" s="8"/>
      <c r="D932" s="8"/>
      <c r="E932" s="8"/>
      <c r="F932" s="8"/>
      <c r="G932" s="8"/>
      <c r="H932" s="8"/>
      <c r="J932" s="8"/>
      <c r="K932" s="8"/>
      <c r="L932" s="8"/>
      <c r="M932" s="8"/>
      <c r="N932" s="8"/>
      <c r="O932" s="8"/>
      <c r="P932" s="8"/>
      <c r="Q932" s="8"/>
      <c r="R932" s="8"/>
      <c r="S932" s="8"/>
      <c r="T932" s="8"/>
      <c r="U932" s="8"/>
      <c r="V932" s="8"/>
      <c r="W932" s="8"/>
      <c r="X932" s="8"/>
      <c r="Y932" s="8"/>
      <c r="Z932" s="8"/>
      <c r="AA932" s="8"/>
      <c r="AB932" s="8"/>
      <c r="AC932" s="8"/>
      <c r="AD932" s="8"/>
      <c r="AE932" s="8"/>
      <c r="AF932" s="8"/>
      <c r="AG932" s="8"/>
      <c r="AH932" s="8"/>
      <c r="AI932" s="8"/>
      <c r="AJ932" s="8"/>
      <c r="AK932" s="8"/>
      <c r="AL932" s="8"/>
      <c r="AM932" s="8"/>
    </row>
    <row r="933" spans="1:39" ht="12.75" customHeight="1" x14ac:dyDescent="0.2">
      <c r="A933" s="8"/>
      <c r="B933" s="8"/>
      <c r="C933" s="8"/>
      <c r="D933" s="8"/>
      <c r="E933" s="8"/>
      <c r="F933" s="8"/>
      <c r="G933" s="8"/>
      <c r="H933" s="8"/>
      <c r="J933" s="8"/>
      <c r="K933" s="8"/>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row>
    <row r="934" spans="1:39" ht="12.75" customHeight="1" x14ac:dyDescent="0.2">
      <c r="A934" s="8"/>
      <c r="B934" s="8"/>
      <c r="C934" s="8"/>
      <c r="D934" s="8"/>
      <c r="E934" s="8"/>
      <c r="F934" s="8"/>
      <c r="G934" s="8"/>
      <c r="H934" s="8"/>
      <c r="J934" s="8"/>
      <c r="K934" s="8"/>
      <c r="L934" s="8"/>
      <c r="M934" s="8"/>
      <c r="N934" s="8"/>
      <c r="O934" s="8"/>
      <c r="P934" s="8"/>
      <c r="Q934" s="8"/>
      <c r="R934" s="8"/>
      <c r="S934" s="8"/>
      <c r="T934" s="8"/>
      <c r="U934" s="8"/>
      <c r="V934" s="8"/>
      <c r="W934" s="8"/>
      <c r="X934" s="8"/>
      <c r="Y934" s="8"/>
      <c r="Z934" s="8"/>
      <c r="AA934" s="8"/>
      <c r="AB934" s="8"/>
      <c r="AC934" s="8"/>
      <c r="AD934" s="8"/>
      <c r="AE934" s="8"/>
      <c r="AF934" s="8"/>
      <c r="AG934" s="8"/>
      <c r="AH934" s="8"/>
      <c r="AI934" s="8"/>
      <c r="AJ934" s="8"/>
      <c r="AK934" s="8"/>
      <c r="AL934" s="8"/>
      <c r="AM934" s="8"/>
    </row>
    <row r="935" spans="1:39" ht="12.75" customHeight="1" x14ac:dyDescent="0.2">
      <c r="A935" s="8"/>
      <c r="B935" s="8"/>
      <c r="C935" s="8"/>
      <c r="D935" s="8"/>
      <c r="E935" s="8"/>
      <c r="F935" s="8"/>
      <c r="G935" s="8"/>
      <c r="H935" s="8"/>
      <c r="J935" s="8"/>
      <c r="K935" s="8"/>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row>
    <row r="936" spans="1:39" ht="12.75" customHeight="1" x14ac:dyDescent="0.2">
      <c r="A936" s="8"/>
      <c r="B936" s="8"/>
      <c r="C936" s="8"/>
      <c r="D936" s="8"/>
      <c r="E936" s="8"/>
      <c r="F936" s="8"/>
      <c r="G936" s="8"/>
      <c r="H936" s="8"/>
      <c r="J936" s="8"/>
      <c r="K936" s="8"/>
      <c r="L936" s="8"/>
      <c r="M936" s="8"/>
      <c r="N936" s="8"/>
      <c r="O936" s="8"/>
      <c r="P936" s="8"/>
      <c r="Q936" s="8"/>
      <c r="R936" s="8"/>
      <c r="S936" s="8"/>
      <c r="T936" s="8"/>
      <c r="U936" s="8"/>
      <c r="V936" s="8"/>
      <c r="W936" s="8"/>
      <c r="X936" s="8"/>
      <c r="Y936" s="8"/>
      <c r="Z936" s="8"/>
      <c r="AA936" s="8"/>
      <c r="AB936" s="8"/>
      <c r="AC936" s="8"/>
      <c r="AD936" s="8"/>
      <c r="AE936" s="8"/>
      <c r="AF936" s="8"/>
      <c r="AG936" s="8"/>
      <c r="AH936" s="8"/>
      <c r="AI936" s="8"/>
      <c r="AJ936" s="8"/>
      <c r="AK936" s="8"/>
      <c r="AL936" s="8"/>
      <c r="AM936" s="8"/>
    </row>
    <row r="937" spans="1:39" ht="12.75" customHeight="1" x14ac:dyDescent="0.2">
      <c r="A937" s="8"/>
      <c r="B937" s="8"/>
      <c r="C937" s="8"/>
      <c r="D937" s="8"/>
      <c r="E937" s="8"/>
      <c r="F937" s="8"/>
      <c r="G937" s="8"/>
      <c r="H937" s="8"/>
      <c r="J937" s="8"/>
      <c r="K937" s="8"/>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row>
    <row r="938" spans="1:39" ht="12.75" customHeight="1" x14ac:dyDescent="0.2">
      <c r="A938" s="8"/>
      <c r="B938" s="8"/>
      <c r="C938" s="8"/>
      <c r="D938" s="8"/>
      <c r="E938" s="8"/>
      <c r="F938" s="8"/>
      <c r="G938" s="8"/>
      <c r="H938" s="8"/>
      <c r="J938" s="8"/>
      <c r="K938" s="8"/>
      <c r="L938" s="8"/>
      <c r="M938" s="8"/>
      <c r="N938" s="8"/>
      <c r="O938" s="8"/>
      <c r="P938" s="8"/>
      <c r="Q938" s="8"/>
      <c r="R938" s="8"/>
      <c r="S938" s="8"/>
      <c r="T938" s="8"/>
      <c r="U938" s="8"/>
      <c r="V938" s="8"/>
      <c r="W938" s="8"/>
      <c r="X938" s="8"/>
      <c r="Y938" s="8"/>
      <c r="Z938" s="8"/>
      <c r="AA938" s="8"/>
      <c r="AB938" s="8"/>
      <c r="AC938" s="8"/>
      <c r="AD938" s="8"/>
      <c r="AE938" s="8"/>
      <c r="AF938" s="8"/>
      <c r="AG938" s="8"/>
      <c r="AH938" s="8"/>
      <c r="AI938" s="8"/>
      <c r="AJ938" s="8"/>
      <c r="AK938" s="8"/>
      <c r="AL938" s="8"/>
      <c r="AM938" s="8"/>
    </row>
    <row r="939" spans="1:39" ht="12.75" customHeight="1" x14ac:dyDescent="0.2">
      <c r="A939" s="8"/>
      <c r="B939" s="8"/>
      <c r="C939" s="8"/>
      <c r="D939" s="8"/>
      <c r="E939" s="8"/>
      <c r="F939" s="8"/>
      <c r="G939" s="8"/>
      <c r="H939" s="8"/>
      <c r="J939" s="8"/>
      <c r="K939" s="8"/>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row>
    <row r="940" spans="1:39" ht="12.75" customHeight="1" x14ac:dyDescent="0.2">
      <c r="A940" s="8"/>
      <c r="B940" s="8"/>
      <c r="C940" s="8"/>
      <c r="D940" s="8"/>
      <c r="E940" s="8"/>
      <c r="F940" s="8"/>
      <c r="G940" s="8"/>
      <c r="H940" s="8"/>
      <c r="J940" s="8"/>
      <c r="K940" s="8"/>
      <c r="L940" s="8"/>
      <c r="M940" s="8"/>
      <c r="N940" s="8"/>
      <c r="O940" s="8"/>
      <c r="P940" s="8"/>
      <c r="Q940" s="8"/>
      <c r="R940" s="8"/>
      <c r="S940" s="8"/>
      <c r="T940" s="8"/>
      <c r="U940" s="8"/>
      <c r="V940" s="8"/>
      <c r="W940" s="8"/>
      <c r="X940" s="8"/>
      <c r="Y940" s="8"/>
      <c r="Z940" s="8"/>
      <c r="AA940" s="8"/>
      <c r="AB940" s="8"/>
      <c r="AC940" s="8"/>
      <c r="AD940" s="8"/>
      <c r="AE940" s="8"/>
      <c r="AF940" s="8"/>
      <c r="AG940" s="8"/>
      <c r="AH940" s="8"/>
      <c r="AI940" s="8"/>
      <c r="AJ940" s="8"/>
      <c r="AK940" s="8"/>
      <c r="AL940" s="8"/>
      <c r="AM940" s="8"/>
    </row>
    <row r="941" spans="1:39" ht="12.75" customHeight="1" x14ac:dyDescent="0.2">
      <c r="A941" s="8"/>
      <c r="B941" s="8"/>
      <c r="C941" s="8"/>
      <c r="D941" s="8"/>
      <c r="E941" s="8"/>
      <c r="F941" s="8"/>
      <c r="G941" s="8"/>
      <c r="H941" s="8"/>
      <c r="J941" s="8"/>
      <c r="K941" s="8"/>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row>
    <row r="942" spans="1:39" ht="12.75" customHeight="1" x14ac:dyDescent="0.2">
      <c r="A942" s="8"/>
      <c r="B942" s="8"/>
      <c r="C942" s="8"/>
      <c r="D942" s="8"/>
      <c r="E942" s="8"/>
      <c r="F942" s="8"/>
      <c r="G942" s="8"/>
      <c r="H942" s="8"/>
      <c r="J942" s="8"/>
      <c r="K942" s="8"/>
      <c r="L942" s="8"/>
      <c r="M942" s="8"/>
      <c r="N942" s="8"/>
      <c r="O942" s="8"/>
      <c r="P942" s="8"/>
      <c r="Q942" s="8"/>
      <c r="R942" s="8"/>
      <c r="S942" s="8"/>
      <c r="T942" s="8"/>
      <c r="U942" s="8"/>
      <c r="V942" s="8"/>
      <c r="W942" s="8"/>
      <c r="X942" s="8"/>
      <c r="Y942" s="8"/>
      <c r="Z942" s="8"/>
      <c r="AA942" s="8"/>
      <c r="AB942" s="8"/>
      <c r="AC942" s="8"/>
      <c r="AD942" s="8"/>
      <c r="AE942" s="8"/>
      <c r="AF942" s="8"/>
      <c r="AG942" s="8"/>
      <c r="AH942" s="8"/>
      <c r="AI942" s="8"/>
      <c r="AJ942" s="8"/>
      <c r="AK942" s="8"/>
      <c r="AL942" s="8"/>
      <c r="AM942" s="8"/>
    </row>
    <row r="943" spans="1:39" ht="12.75" customHeight="1" x14ac:dyDescent="0.2">
      <c r="A943" s="8"/>
      <c r="B943" s="8"/>
      <c r="C943" s="8"/>
      <c r="D943" s="8"/>
      <c r="E943" s="8"/>
      <c r="F943" s="8"/>
      <c r="G943" s="8"/>
      <c r="H943" s="8"/>
      <c r="J943" s="8"/>
      <c r="K943" s="8"/>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row>
    <row r="944" spans="1:39" ht="12.75" customHeight="1" x14ac:dyDescent="0.2">
      <c r="A944" s="8"/>
      <c r="B944" s="8"/>
      <c r="C944" s="8"/>
      <c r="D944" s="8"/>
      <c r="E944" s="8"/>
      <c r="F944" s="8"/>
      <c r="G944" s="8"/>
      <c r="H944" s="8"/>
      <c r="J944" s="8"/>
      <c r="K944" s="8"/>
      <c r="L944" s="8"/>
      <c r="M944" s="8"/>
      <c r="N944" s="8"/>
      <c r="O944" s="8"/>
      <c r="P944" s="8"/>
      <c r="Q944" s="8"/>
      <c r="R944" s="8"/>
      <c r="S944" s="8"/>
      <c r="T944" s="8"/>
      <c r="U944" s="8"/>
      <c r="V944" s="8"/>
      <c r="W944" s="8"/>
      <c r="X944" s="8"/>
      <c r="Y944" s="8"/>
      <c r="Z944" s="8"/>
      <c r="AA944" s="8"/>
      <c r="AB944" s="8"/>
      <c r="AC944" s="8"/>
      <c r="AD944" s="8"/>
      <c r="AE944" s="8"/>
      <c r="AF944" s="8"/>
      <c r="AG944" s="8"/>
      <c r="AH944" s="8"/>
      <c r="AI944" s="8"/>
      <c r="AJ944" s="8"/>
      <c r="AK944" s="8"/>
      <c r="AL944" s="8"/>
      <c r="AM944" s="8"/>
    </row>
    <row r="945" spans="1:39" ht="12.75" customHeight="1" x14ac:dyDescent="0.2">
      <c r="A945" s="8"/>
      <c r="B945" s="8"/>
      <c r="C945" s="8"/>
      <c r="D945" s="8"/>
      <c r="E945" s="8"/>
      <c r="F945" s="8"/>
      <c r="G945" s="8"/>
      <c r="H945" s="8"/>
      <c r="J945" s="8"/>
      <c r="K945" s="8"/>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row>
    <row r="946" spans="1:39" ht="12.75" customHeight="1" x14ac:dyDescent="0.2">
      <c r="A946" s="8"/>
      <c r="B946" s="8"/>
      <c r="C946" s="8"/>
      <c r="D946" s="8"/>
      <c r="E946" s="8"/>
      <c r="F946" s="8"/>
      <c r="G946" s="8"/>
      <c r="H946" s="8"/>
      <c r="J946" s="8"/>
      <c r="K946" s="8"/>
      <c r="L946" s="8"/>
      <c r="M946" s="8"/>
      <c r="N946" s="8"/>
      <c r="O946" s="8"/>
      <c r="P946" s="8"/>
      <c r="Q946" s="8"/>
      <c r="R946" s="8"/>
      <c r="S946" s="8"/>
      <c r="T946" s="8"/>
      <c r="U946" s="8"/>
      <c r="V946" s="8"/>
      <c r="W946" s="8"/>
      <c r="X946" s="8"/>
      <c r="Y946" s="8"/>
      <c r="Z946" s="8"/>
      <c r="AA946" s="8"/>
      <c r="AB946" s="8"/>
      <c r="AC946" s="8"/>
      <c r="AD946" s="8"/>
      <c r="AE946" s="8"/>
      <c r="AF946" s="8"/>
      <c r="AG946" s="8"/>
      <c r="AH946" s="8"/>
      <c r="AI946" s="8"/>
      <c r="AJ946" s="8"/>
      <c r="AK946" s="8"/>
      <c r="AL946" s="8"/>
      <c r="AM946" s="8"/>
    </row>
    <row r="947" spans="1:39" ht="12.75" customHeight="1" x14ac:dyDescent="0.2">
      <c r="A947" s="8"/>
      <c r="B947" s="8"/>
      <c r="C947" s="8"/>
      <c r="D947" s="8"/>
      <c r="E947" s="8"/>
      <c r="F947" s="8"/>
      <c r="G947" s="8"/>
      <c r="H947" s="8"/>
      <c r="J947" s="8"/>
      <c r="K947" s="8"/>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row>
    <row r="948" spans="1:39" ht="12.75" customHeight="1" x14ac:dyDescent="0.2">
      <c r="A948" s="8"/>
      <c r="B948" s="8"/>
      <c r="C948" s="8"/>
      <c r="D948" s="8"/>
      <c r="E948" s="8"/>
      <c r="F948" s="8"/>
      <c r="G948" s="8"/>
      <c r="H948" s="8"/>
      <c r="J948" s="8"/>
      <c r="K948" s="8"/>
      <c r="L948" s="8"/>
      <c r="M948" s="8"/>
      <c r="N948" s="8"/>
      <c r="O948" s="8"/>
      <c r="P948" s="8"/>
      <c r="Q948" s="8"/>
      <c r="R948" s="8"/>
      <c r="S948" s="8"/>
      <c r="T948" s="8"/>
      <c r="U948" s="8"/>
      <c r="V948" s="8"/>
      <c r="W948" s="8"/>
      <c r="X948" s="8"/>
      <c r="Y948" s="8"/>
      <c r="Z948" s="8"/>
      <c r="AA948" s="8"/>
      <c r="AB948" s="8"/>
      <c r="AC948" s="8"/>
      <c r="AD948" s="8"/>
      <c r="AE948" s="8"/>
      <c r="AF948" s="8"/>
      <c r="AG948" s="8"/>
      <c r="AH948" s="8"/>
      <c r="AI948" s="8"/>
      <c r="AJ948" s="8"/>
      <c r="AK948" s="8"/>
      <c r="AL948" s="8"/>
      <c r="AM948" s="8"/>
    </row>
    <row r="949" spans="1:39" ht="12.75" customHeight="1" x14ac:dyDescent="0.2">
      <c r="A949" s="8"/>
      <c r="B949" s="8"/>
      <c r="C949" s="8"/>
      <c r="D949" s="8"/>
      <c r="E949" s="8"/>
      <c r="F949" s="8"/>
      <c r="G949" s="8"/>
      <c r="H949" s="8"/>
      <c r="J949" s="8"/>
      <c r="K949" s="8"/>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row>
    <row r="950" spans="1:39" ht="12.75" customHeight="1" x14ac:dyDescent="0.2">
      <c r="A950" s="8"/>
      <c r="B950" s="8"/>
      <c r="C950" s="8"/>
      <c r="D950" s="8"/>
      <c r="E950" s="8"/>
      <c r="F950" s="8"/>
      <c r="G950" s="8"/>
      <c r="H950" s="8"/>
      <c r="J950" s="8"/>
      <c r="K950" s="8"/>
      <c r="L950" s="8"/>
      <c r="M950" s="8"/>
      <c r="N950" s="8"/>
      <c r="O950" s="8"/>
      <c r="P950" s="8"/>
      <c r="Q950" s="8"/>
      <c r="R950" s="8"/>
      <c r="S950" s="8"/>
      <c r="T950" s="8"/>
      <c r="U950" s="8"/>
      <c r="V950" s="8"/>
      <c r="W950" s="8"/>
      <c r="X950" s="8"/>
      <c r="Y950" s="8"/>
      <c r="Z950" s="8"/>
      <c r="AA950" s="8"/>
      <c r="AB950" s="8"/>
      <c r="AC950" s="8"/>
      <c r="AD950" s="8"/>
      <c r="AE950" s="8"/>
      <c r="AF950" s="8"/>
      <c r="AG950" s="8"/>
      <c r="AH950" s="8"/>
      <c r="AI950" s="8"/>
      <c r="AJ950" s="8"/>
      <c r="AK950" s="8"/>
      <c r="AL950" s="8"/>
      <c r="AM950" s="8"/>
    </row>
    <row r="951" spans="1:39" ht="12.75" customHeight="1" x14ac:dyDescent="0.2">
      <c r="A951" s="8"/>
      <c r="B951" s="8"/>
      <c r="C951" s="8"/>
      <c r="D951" s="8"/>
      <c r="E951" s="8"/>
      <c r="F951" s="8"/>
      <c r="G951" s="8"/>
      <c r="H951" s="8"/>
      <c r="J951" s="8"/>
      <c r="K951" s="8"/>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row>
    <row r="952" spans="1:39" ht="12.75" customHeight="1" x14ac:dyDescent="0.2">
      <c r="A952" s="8"/>
      <c r="B952" s="8"/>
      <c r="C952" s="8"/>
      <c r="D952" s="8"/>
      <c r="E952" s="8"/>
      <c r="F952" s="8"/>
      <c r="G952" s="8"/>
      <c r="H952" s="8"/>
      <c r="J952" s="8"/>
      <c r="K952" s="8"/>
      <c r="L952" s="8"/>
      <c r="M952" s="8"/>
      <c r="N952" s="8"/>
      <c r="O952" s="8"/>
      <c r="P952" s="8"/>
      <c r="Q952" s="8"/>
      <c r="R952" s="8"/>
      <c r="S952" s="8"/>
      <c r="T952" s="8"/>
      <c r="U952" s="8"/>
      <c r="V952" s="8"/>
      <c r="W952" s="8"/>
      <c r="X952" s="8"/>
      <c r="Y952" s="8"/>
      <c r="Z952" s="8"/>
      <c r="AA952" s="8"/>
      <c r="AB952" s="8"/>
      <c r="AC952" s="8"/>
      <c r="AD952" s="8"/>
      <c r="AE952" s="8"/>
      <c r="AF952" s="8"/>
      <c r="AG952" s="8"/>
      <c r="AH952" s="8"/>
      <c r="AI952" s="8"/>
      <c r="AJ952" s="8"/>
      <c r="AK952" s="8"/>
      <c r="AL952" s="8"/>
      <c r="AM952" s="8"/>
    </row>
    <row r="953" spans="1:39" ht="12.75" customHeight="1" x14ac:dyDescent="0.2">
      <c r="A953" s="8"/>
      <c r="B953" s="8"/>
      <c r="C953" s="8"/>
      <c r="D953" s="8"/>
      <c r="E953" s="8"/>
      <c r="F953" s="8"/>
      <c r="G953" s="8"/>
      <c r="H953" s="8"/>
      <c r="J953" s="8"/>
      <c r="K953" s="8"/>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row>
    <row r="954" spans="1:39" ht="12.75" customHeight="1" x14ac:dyDescent="0.2">
      <c r="A954" s="8"/>
      <c r="B954" s="8"/>
      <c r="C954" s="8"/>
      <c r="D954" s="8"/>
      <c r="E954" s="8"/>
      <c r="F954" s="8"/>
      <c r="G954" s="8"/>
      <c r="H954" s="8"/>
      <c r="J954" s="8"/>
      <c r="K954" s="8"/>
      <c r="L954" s="8"/>
      <c r="M954" s="8"/>
      <c r="N954" s="8"/>
      <c r="O954" s="8"/>
      <c r="P954" s="8"/>
      <c r="Q954" s="8"/>
      <c r="R954" s="8"/>
      <c r="S954" s="8"/>
      <c r="T954" s="8"/>
      <c r="U954" s="8"/>
      <c r="V954" s="8"/>
      <c r="W954" s="8"/>
      <c r="X954" s="8"/>
      <c r="Y954" s="8"/>
      <c r="Z954" s="8"/>
      <c r="AA954" s="8"/>
      <c r="AB954" s="8"/>
      <c r="AC954" s="8"/>
      <c r="AD954" s="8"/>
      <c r="AE954" s="8"/>
      <c r="AF954" s="8"/>
      <c r="AG954" s="8"/>
      <c r="AH954" s="8"/>
      <c r="AI954" s="8"/>
      <c r="AJ954" s="8"/>
      <c r="AK954" s="8"/>
      <c r="AL954" s="8"/>
      <c r="AM954" s="8"/>
    </row>
    <row r="955" spans="1:39" ht="12.75" customHeight="1" x14ac:dyDescent="0.2">
      <c r="A955" s="8"/>
      <c r="B955" s="8"/>
      <c r="C955" s="8"/>
      <c r="D955" s="8"/>
      <c r="E955" s="8"/>
      <c r="F955" s="8"/>
      <c r="G955" s="8"/>
      <c r="H955" s="8"/>
      <c r="J955" s="8"/>
      <c r="K955" s="8"/>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row>
    <row r="956" spans="1:39" ht="12.75" customHeight="1" x14ac:dyDescent="0.2">
      <c r="A956" s="8"/>
      <c r="B956" s="8"/>
      <c r="C956" s="8"/>
      <c r="D956" s="8"/>
      <c r="E956" s="8"/>
      <c r="F956" s="8"/>
      <c r="G956" s="8"/>
      <c r="H956" s="8"/>
      <c r="J956" s="8"/>
      <c r="K956" s="8"/>
      <c r="L956" s="8"/>
      <c r="M956" s="8"/>
      <c r="N956" s="8"/>
      <c r="O956" s="8"/>
      <c r="P956" s="8"/>
      <c r="Q956" s="8"/>
      <c r="R956" s="8"/>
      <c r="S956" s="8"/>
      <c r="T956" s="8"/>
      <c r="U956" s="8"/>
      <c r="V956" s="8"/>
      <c r="W956" s="8"/>
      <c r="X956" s="8"/>
      <c r="Y956" s="8"/>
      <c r="Z956" s="8"/>
      <c r="AA956" s="8"/>
      <c r="AB956" s="8"/>
      <c r="AC956" s="8"/>
      <c r="AD956" s="8"/>
      <c r="AE956" s="8"/>
      <c r="AF956" s="8"/>
      <c r="AG956" s="8"/>
      <c r="AH956" s="8"/>
      <c r="AI956" s="8"/>
      <c r="AJ956" s="8"/>
      <c r="AK956" s="8"/>
      <c r="AL956" s="8"/>
      <c r="AM956" s="8"/>
    </row>
    <row r="957" spans="1:39" ht="12.75" customHeight="1" x14ac:dyDescent="0.2">
      <c r="A957" s="8"/>
      <c r="B957" s="8"/>
      <c r="C957" s="8"/>
      <c r="D957" s="8"/>
      <c r="E957" s="8"/>
      <c r="F957" s="8"/>
      <c r="G957" s="8"/>
      <c r="H957" s="8"/>
      <c r="J957" s="8"/>
      <c r="K957" s="8"/>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row>
    <row r="958" spans="1:39" ht="12.75" customHeight="1" x14ac:dyDescent="0.2">
      <c r="A958" s="8"/>
      <c r="B958" s="8"/>
      <c r="C958" s="8"/>
      <c r="D958" s="8"/>
      <c r="E958" s="8"/>
      <c r="F958" s="8"/>
      <c r="G958" s="8"/>
      <c r="H958" s="8"/>
      <c r="J958" s="8"/>
      <c r="K958" s="8"/>
      <c r="L958" s="8"/>
      <c r="M958" s="8"/>
      <c r="N958" s="8"/>
      <c r="O958" s="8"/>
      <c r="P958" s="8"/>
      <c r="Q958" s="8"/>
      <c r="R958" s="8"/>
      <c r="S958" s="8"/>
      <c r="T958" s="8"/>
      <c r="U958" s="8"/>
      <c r="V958" s="8"/>
      <c r="W958" s="8"/>
      <c r="X958" s="8"/>
      <c r="Y958" s="8"/>
      <c r="Z958" s="8"/>
      <c r="AA958" s="8"/>
      <c r="AB958" s="8"/>
      <c r="AC958" s="8"/>
      <c r="AD958" s="8"/>
      <c r="AE958" s="8"/>
      <c r="AF958" s="8"/>
      <c r="AG958" s="8"/>
      <c r="AH958" s="8"/>
      <c r="AI958" s="8"/>
      <c r="AJ958" s="8"/>
      <c r="AK958" s="8"/>
      <c r="AL958" s="8"/>
      <c r="AM958" s="8"/>
    </row>
    <row r="959" spans="1:39" ht="12.75" customHeight="1" x14ac:dyDescent="0.2">
      <c r="A959" s="8"/>
      <c r="B959" s="8"/>
      <c r="C959" s="8"/>
      <c r="D959" s="8"/>
      <c r="E959" s="8"/>
      <c r="F959" s="8"/>
      <c r="G959" s="8"/>
      <c r="H959" s="8"/>
      <c r="J959" s="8"/>
      <c r="K959" s="8"/>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row>
    <row r="960" spans="1:39" ht="12.75" customHeight="1" x14ac:dyDescent="0.2">
      <c r="A960" s="8"/>
      <c r="B960" s="8"/>
      <c r="C960" s="8"/>
      <c r="D960" s="8"/>
      <c r="E960" s="8"/>
      <c r="F960" s="8"/>
      <c r="G960" s="8"/>
      <c r="H960" s="8"/>
      <c r="J960" s="8"/>
      <c r="K960" s="8"/>
      <c r="L960" s="8"/>
      <c r="M960" s="8"/>
      <c r="N960" s="8"/>
      <c r="O960" s="8"/>
      <c r="P960" s="8"/>
      <c r="Q960" s="8"/>
      <c r="R960" s="8"/>
      <c r="S960" s="8"/>
      <c r="T960" s="8"/>
      <c r="U960" s="8"/>
      <c r="V960" s="8"/>
      <c r="W960" s="8"/>
      <c r="X960" s="8"/>
      <c r="Y960" s="8"/>
      <c r="Z960" s="8"/>
      <c r="AA960" s="8"/>
      <c r="AB960" s="8"/>
      <c r="AC960" s="8"/>
      <c r="AD960" s="8"/>
      <c r="AE960" s="8"/>
      <c r="AF960" s="8"/>
      <c r="AG960" s="8"/>
      <c r="AH960" s="8"/>
      <c r="AI960" s="8"/>
      <c r="AJ960" s="8"/>
      <c r="AK960" s="8"/>
      <c r="AL960" s="8"/>
      <c r="AM960" s="8"/>
    </row>
    <row r="961" spans="1:39" ht="12.75" customHeight="1" x14ac:dyDescent="0.2">
      <c r="A961" s="8"/>
      <c r="B961" s="8"/>
      <c r="C961" s="8"/>
      <c r="D961" s="8"/>
      <c r="E961" s="8"/>
      <c r="F961" s="8"/>
      <c r="G961" s="8"/>
      <c r="H961" s="8"/>
      <c r="J961" s="8"/>
      <c r="K961" s="8"/>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row>
    <row r="962" spans="1:39" ht="12.75" customHeight="1" x14ac:dyDescent="0.2">
      <c r="A962" s="8"/>
      <c r="B962" s="8"/>
      <c r="C962" s="8"/>
      <c r="D962" s="8"/>
      <c r="E962" s="8"/>
      <c r="F962" s="8"/>
      <c r="G962" s="8"/>
      <c r="H962" s="8"/>
      <c r="J962" s="8"/>
      <c r="K962" s="8"/>
      <c r="L962" s="8"/>
      <c r="M962" s="8"/>
      <c r="N962" s="8"/>
      <c r="O962" s="8"/>
      <c r="P962" s="8"/>
      <c r="Q962" s="8"/>
      <c r="R962" s="8"/>
      <c r="S962" s="8"/>
      <c r="T962" s="8"/>
      <c r="U962" s="8"/>
      <c r="V962" s="8"/>
      <c r="W962" s="8"/>
      <c r="X962" s="8"/>
      <c r="Y962" s="8"/>
      <c r="Z962" s="8"/>
      <c r="AA962" s="8"/>
      <c r="AB962" s="8"/>
      <c r="AC962" s="8"/>
      <c r="AD962" s="8"/>
      <c r="AE962" s="8"/>
      <c r="AF962" s="8"/>
      <c r="AG962" s="8"/>
      <c r="AH962" s="8"/>
      <c r="AI962" s="8"/>
      <c r="AJ962" s="8"/>
      <c r="AK962" s="8"/>
      <c r="AL962" s="8"/>
      <c r="AM962" s="8"/>
    </row>
    <row r="963" spans="1:39" ht="12.75" customHeight="1" x14ac:dyDescent="0.2">
      <c r="A963" s="8"/>
      <c r="B963" s="8"/>
      <c r="C963" s="8"/>
      <c r="D963" s="8"/>
      <c r="E963" s="8"/>
      <c r="F963" s="8"/>
      <c r="G963" s="8"/>
      <c r="H963" s="8"/>
      <c r="J963" s="8"/>
      <c r="K963" s="8"/>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row>
    <row r="964" spans="1:39" ht="12.75" customHeight="1" x14ac:dyDescent="0.2">
      <c r="A964" s="8"/>
      <c r="B964" s="8"/>
      <c r="C964" s="8"/>
      <c r="D964" s="8"/>
      <c r="E964" s="8"/>
      <c r="F964" s="8"/>
      <c r="G964" s="8"/>
      <c r="H964" s="8"/>
      <c r="J964" s="8"/>
      <c r="K964" s="8"/>
      <c r="L964" s="8"/>
      <c r="M964" s="8"/>
      <c r="N964" s="8"/>
      <c r="O964" s="8"/>
      <c r="P964" s="8"/>
      <c r="Q964" s="8"/>
      <c r="R964" s="8"/>
      <c r="S964" s="8"/>
      <c r="T964" s="8"/>
      <c r="U964" s="8"/>
      <c r="V964" s="8"/>
      <c r="W964" s="8"/>
      <c r="X964" s="8"/>
      <c r="Y964" s="8"/>
      <c r="Z964" s="8"/>
      <c r="AA964" s="8"/>
      <c r="AB964" s="8"/>
      <c r="AC964" s="8"/>
      <c r="AD964" s="8"/>
      <c r="AE964" s="8"/>
      <c r="AF964" s="8"/>
      <c r="AG964" s="8"/>
      <c r="AH964" s="8"/>
      <c r="AI964" s="8"/>
      <c r="AJ964" s="8"/>
      <c r="AK964" s="8"/>
      <c r="AL964" s="8"/>
      <c r="AM964" s="8"/>
    </row>
    <row r="965" spans="1:39" ht="12.75" customHeight="1" x14ac:dyDescent="0.2">
      <c r="A965" s="8"/>
      <c r="B965" s="8"/>
      <c r="C965" s="8"/>
      <c r="D965" s="8"/>
      <c r="E965" s="8"/>
      <c r="F965" s="8"/>
      <c r="G965" s="8"/>
      <c r="H965" s="8"/>
      <c r="J965" s="8"/>
      <c r="K965" s="8"/>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row>
    <row r="966" spans="1:39" ht="12.75" customHeight="1" x14ac:dyDescent="0.2">
      <c r="A966" s="8"/>
      <c r="B966" s="8"/>
      <c r="C966" s="8"/>
      <c r="D966" s="8"/>
      <c r="E966" s="8"/>
      <c r="F966" s="8"/>
      <c r="G966" s="8"/>
      <c r="H966" s="8"/>
      <c r="J966" s="8"/>
      <c r="K966" s="8"/>
      <c r="L966" s="8"/>
      <c r="M966" s="8"/>
      <c r="N966" s="8"/>
      <c r="O966" s="8"/>
      <c r="P966" s="8"/>
      <c r="Q966" s="8"/>
      <c r="R966" s="8"/>
      <c r="S966" s="8"/>
      <c r="T966" s="8"/>
      <c r="U966" s="8"/>
      <c r="V966" s="8"/>
      <c r="W966" s="8"/>
      <c r="X966" s="8"/>
      <c r="Y966" s="8"/>
      <c r="Z966" s="8"/>
      <c r="AA966" s="8"/>
      <c r="AB966" s="8"/>
      <c r="AC966" s="8"/>
      <c r="AD966" s="8"/>
      <c r="AE966" s="8"/>
      <c r="AF966" s="8"/>
      <c r="AG966" s="8"/>
      <c r="AH966" s="8"/>
      <c r="AI966" s="8"/>
      <c r="AJ966" s="8"/>
      <c r="AK966" s="8"/>
      <c r="AL966" s="8"/>
      <c r="AM966" s="8"/>
    </row>
    <row r="967" spans="1:39" ht="12.75" customHeight="1" x14ac:dyDescent="0.2">
      <c r="A967" s="8"/>
      <c r="B967" s="8"/>
      <c r="C967" s="8"/>
      <c r="D967" s="8"/>
      <c r="E967" s="8"/>
      <c r="F967" s="8"/>
      <c r="G967" s="8"/>
      <c r="H967" s="8"/>
      <c r="J967" s="8"/>
      <c r="K967" s="8"/>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row>
    <row r="968" spans="1:39" ht="12.75" customHeight="1" x14ac:dyDescent="0.2">
      <c r="A968" s="8"/>
      <c r="B968" s="8"/>
      <c r="C968" s="8"/>
      <c r="D968" s="8"/>
      <c r="E968" s="8"/>
      <c r="F968" s="8"/>
      <c r="G968" s="8"/>
      <c r="H968" s="8"/>
      <c r="J968" s="8"/>
      <c r="K968" s="8"/>
      <c r="L968" s="8"/>
      <c r="M968" s="8"/>
      <c r="N968" s="8"/>
      <c r="O968" s="8"/>
      <c r="P968" s="8"/>
      <c r="Q968" s="8"/>
      <c r="R968" s="8"/>
      <c r="S968" s="8"/>
      <c r="T968" s="8"/>
      <c r="U968" s="8"/>
      <c r="V968" s="8"/>
      <c r="W968" s="8"/>
      <c r="X968" s="8"/>
      <c r="Y968" s="8"/>
      <c r="Z968" s="8"/>
      <c r="AA968" s="8"/>
      <c r="AB968" s="8"/>
      <c r="AC968" s="8"/>
      <c r="AD968" s="8"/>
      <c r="AE968" s="8"/>
      <c r="AF968" s="8"/>
      <c r="AG968" s="8"/>
      <c r="AH968" s="8"/>
      <c r="AI968" s="8"/>
      <c r="AJ968" s="8"/>
      <c r="AK968" s="8"/>
      <c r="AL968" s="8"/>
      <c r="AM968" s="8"/>
    </row>
    <row r="969" spans="1:39" ht="12.75" customHeight="1" x14ac:dyDescent="0.2">
      <c r="A969" s="8"/>
      <c r="B969" s="8"/>
      <c r="C969" s="8"/>
      <c r="D969" s="8"/>
      <c r="E969" s="8"/>
      <c r="F969" s="8"/>
      <c r="G969" s="8"/>
      <c r="H969" s="8"/>
      <c r="J969" s="8"/>
      <c r="K969" s="8"/>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row>
    <row r="970" spans="1:39" ht="12.75" customHeight="1" x14ac:dyDescent="0.2">
      <c r="A970" s="8"/>
      <c r="B970" s="8"/>
      <c r="C970" s="8"/>
      <c r="D970" s="8"/>
      <c r="E970" s="8"/>
      <c r="F970" s="8"/>
      <c r="G970" s="8"/>
      <c r="H970" s="8"/>
      <c r="J970" s="8"/>
      <c r="K970" s="8"/>
      <c r="L970" s="8"/>
      <c r="M970" s="8"/>
      <c r="N970" s="8"/>
      <c r="O970" s="8"/>
      <c r="P970" s="8"/>
      <c r="Q970" s="8"/>
      <c r="R970" s="8"/>
      <c r="S970" s="8"/>
      <c r="T970" s="8"/>
      <c r="U970" s="8"/>
      <c r="V970" s="8"/>
      <c r="W970" s="8"/>
      <c r="X970" s="8"/>
      <c r="Y970" s="8"/>
      <c r="Z970" s="8"/>
      <c r="AA970" s="8"/>
      <c r="AB970" s="8"/>
      <c r="AC970" s="8"/>
      <c r="AD970" s="8"/>
      <c r="AE970" s="8"/>
      <c r="AF970" s="8"/>
      <c r="AG970" s="8"/>
      <c r="AH970" s="8"/>
      <c r="AI970" s="8"/>
      <c r="AJ970" s="8"/>
      <c r="AK970" s="8"/>
      <c r="AL970" s="8"/>
      <c r="AM970" s="8"/>
    </row>
    <row r="971" spans="1:39" ht="12.75" customHeight="1" x14ac:dyDescent="0.2">
      <c r="A971" s="8"/>
      <c r="B971" s="8"/>
      <c r="C971" s="8"/>
      <c r="D971" s="8"/>
      <c r="E971" s="8"/>
      <c r="F971" s="8"/>
      <c r="G971" s="8"/>
      <c r="H971" s="8"/>
      <c r="J971" s="8"/>
      <c r="K971" s="8"/>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row>
    <row r="972" spans="1:39" ht="12.75" customHeight="1" x14ac:dyDescent="0.2">
      <c r="A972" s="8"/>
      <c r="B972" s="8"/>
      <c r="C972" s="8"/>
      <c r="D972" s="8"/>
      <c r="E972" s="8"/>
      <c r="F972" s="8"/>
      <c r="G972" s="8"/>
      <c r="H972" s="8"/>
      <c r="J972" s="8"/>
      <c r="K972" s="8"/>
      <c r="L972" s="8"/>
      <c r="M972" s="8"/>
      <c r="N972" s="8"/>
      <c r="O972" s="8"/>
      <c r="P972" s="8"/>
      <c r="Q972" s="8"/>
      <c r="R972" s="8"/>
      <c r="S972" s="8"/>
      <c r="T972" s="8"/>
      <c r="U972" s="8"/>
      <c r="V972" s="8"/>
      <c r="W972" s="8"/>
      <c r="X972" s="8"/>
      <c r="Y972" s="8"/>
      <c r="Z972" s="8"/>
      <c r="AA972" s="8"/>
      <c r="AB972" s="8"/>
      <c r="AC972" s="8"/>
      <c r="AD972" s="8"/>
      <c r="AE972" s="8"/>
      <c r="AF972" s="8"/>
      <c r="AG972" s="8"/>
      <c r="AH972" s="8"/>
      <c r="AI972" s="8"/>
      <c r="AJ972" s="8"/>
      <c r="AK972" s="8"/>
      <c r="AL972" s="8"/>
      <c r="AM972" s="8"/>
    </row>
    <row r="973" spans="1:39" ht="12.75" customHeight="1" x14ac:dyDescent="0.2">
      <c r="A973" s="8"/>
      <c r="B973" s="8"/>
      <c r="C973" s="8"/>
      <c r="D973" s="8"/>
      <c r="E973" s="8"/>
      <c r="F973" s="8"/>
      <c r="G973" s="8"/>
      <c r="H973" s="8"/>
      <c r="J973" s="8"/>
      <c r="K973" s="8"/>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row>
    <row r="974" spans="1:39" ht="12.75" customHeight="1" x14ac:dyDescent="0.2">
      <c r="A974" s="8"/>
      <c r="B974" s="8"/>
      <c r="C974" s="8"/>
      <c r="D974" s="8"/>
      <c r="E974" s="8"/>
      <c r="F974" s="8"/>
      <c r="G974" s="8"/>
      <c r="H974" s="8"/>
      <c r="J974" s="8"/>
      <c r="K974" s="8"/>
      <c r="L974" s="8"/>
      <c r="M974" s="8"/>
      <c r="N974" s="8"/>
      <c r="O974" s="8"/>
      <c r="P974" s="8"/>
      <c r="Q974" s="8"/>
      <c r="R974" s="8"/>
      <c r="S974" s="8"/>
      <c r="T974" s="8"/>
      <c r="U974" s="8"/>
      <c r="V974" s="8"/>
      <c r="W974" s="8"/>
      <c r="X974" s="8"/>
      <c r="Y974" s="8"/>
      <c r="Z974" s="8"/>
      <c r="AA974" s="8"/>
      <c r="AB974" s="8"/>
      <c r="AC974" s="8"/>
      <c r="AD974" s="8"/>
      <c r="AE974" s="8"/>
      <c r="AF974" s="8"/>
      <c r="AG974" s="8"/>
      <c r="AH974" s="8"/>
      <c r="AI974" s="8"/>
      <c r="AJ974" s="8"/>
      <c r="AK974" s="8"/>
      <c r="AL974" s="8"/>
      <c r="AM974" s="8"/>
    </row>
    <row r="975" spans="1:39" ht="12.75" customHeight="1" x14ac:dyDescent="0.2">
      <c r="A975" s="8"/>
      <c r="B975" s="8"/>
      <c r="C975" s="8"/>
      <c r="D975" s="8"/>
      <c r="E975" s="8"/>
      <c r="F975" s="8"/>
      <c r="G975" s="8"/>
      <c r="H975" s="8"/>
      <c r="J975" s="8"/>
      <c r="K975" s="8"/>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row>
    <row r="976" spans="1:39" ht="12.75" customHeight="1" x14ac:dyDescent="0.2">
      <c r="A976" s="8"/>
      <c r="B976" s="8"/>
      <c r="C976" s="8"/>
      <c r="D976" s="8"/>
      <c r="E976" s="8"/>
      <c r="F976" s="8"/>
      <c r="G976" s="8"/>
      <c r="H976" s="8"/>
      <c r="J976" s="8"/>
      <c r="K976" s="8"/>
      <c r="L976" s="8"/>
      <c r="M976" s="8"/>
      <c r="N976" s="8"/>
      <c r="O976" s="8"/>
      <c r="P976" s="8"/>
      <c r="Q976" s="8"/>
      <c r="R976" s="8"/>
      <c r="S976" s="8"/>
      <c r="T976" s="8"/>
      <c r="U976" s="8"/>
      <c r="V976" s="8"/>
      <c r="W976" s="8"/>
      <c r="X976" s="8"/>
      <c r="Y976" s="8"/>
      <c r="Z976" s="8"/>
      <c r="AA976" s="8"/>
      <c r="AB976" s="8"/>
      <c r="AC976" s="8"/>
      <c r="AD976" s="8"/>
      <c r="AE976" s="8"/>
      <c r="AF976" s="8"/>
      <c r="AG976" s="8"/>
      <c r="AH976" s="8"/>
      <c r="AI976" s="8"/>
      <c r="AJ976" s="8"/>
      <c r="AK976" s="8"/>
      <c r="AL976" s="8"/>
      <c r="AM976" s="8"/>
    </row>
    <row r="977" spans="1:39" ht="12.75" customHeight="1" x14ac:dyDescent="0.2">
      <c r="A977" s="8"/>
      <c r="B977" s="8"/>
      <c r="C977" s="8"/>
      <c r="D977" s="8"/>
      <c r="E977" s="8"/>
      <c r="F977" s="8"/>
      <c r="G977" s="8"/>
      <c r="H977" s="8"/>
      <c r="J977" s="8"/>
      <c r="K977" s="8"/>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row>
    <row r="978" spans="1:39" ht="12.75" customHeight="1" x14ac:dyDescent="0.2">
      <c r="A978" s="8"/>
      <c r="B978" s="8"/>
      <c r="C978" s="8"/>
      <c r="D978" s="8"/>
      <c r="E978" s="8"/>
      <c r="F978" s="8"/>
      <c r="G978" s="8"/>
      <c r="H978" s="8"/>
      <c r="J978" s="8"/>
      <c r="K978" s="8"/>
      <c r="L978" s="8"/>
      <c r="M978" s="8"/>
      <c r="N978" s="8"/>
      <c r="O978" s="8"/>
      <c r="P978" s="8"/>
      <c r="Q978" s="8"/>
      <c r="R978" s="8"/>
      <c r="S978" s="8"/>
      <c r="T978" s="8"/>
      <c r="U978" s="8"/>
      <c r="V978" s="8"/>
      <c r="W978" s="8"/>
      <c r="X978" s="8"/>
      <c r="Y978" s="8"/>
      <c r="Z978" s="8"/>
      <c r="AA978" s="8"/>
      <c r="AB978" s="8"/>
      <c r="AC978" s="8"/>
      <c r="AD978" s="8"/>
      <c r="AE978" s="8"/>
      <c r="AF978" s="8"/>
      <c r="AG978" s="8"/>
      <c r="AH978" s="8"/>
      <c r="AI978" s="8"/>
      <c r="AJ978" s="8"/>
      <c r="AK978" s="8"/>
      <c r="AL978" s="8"/>
      <c r="AM978" s="8"/>
    </row>
    <row r="979" spans="1:39" ht="12.75" customHeight="1" x14ac:dyDescent="0.2">
      <c r="A979" s="8"/>
      <c r="B979" s="8"/>
      <c r="C979" s="8"/>
      <c r="D979" s="8"/>
      <c r="E979" s="8"/>
      <c r="F979" s="8"/>
      <c r="G979" s="8"/>
      <c r="H979" s="8"/>
      <c r="J979" s="8"/>
      <c r="K979" s="8"/>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row>
    <row r="980" spans="1:39" ht="12.75" customHeight="1" x14ac:dyDescent="0.2">
      <c r="A980" s="8"/>
      <c r="B980" s="8"/>
      <c r="C980" s="8"/>
      <c r="D980" s="8"/>
      <c r="E980" s="8"/>
      <c r="F980" s="8"/>
      <c r="G980" s="8"/>
      <c r="H980" s="8"/>
      <c r="J980" s="8"/>
      <c r="K980" s="8"/>
      <c r="L980" s="8"/>
      <c r="M980" s="8"/>
      <c r="N980" s="8"/>
      <c r="O980" s="8"/>
      <c r="P980" s="8"/>
      <c r="Q980" s="8"/>
      <c r="R980" s="8"/>
      <c r="S980" s="8"/>
      <c r="T980" s="8"/>
      <c r="U980" s="8"/>
      <c r="V980" s="8"/>
      <c r="W980" s="8"/>
      <c r="X980" s="8"/>
      <c r="Y980" s="8"/>
      <c r="Z980" s="8"/>
      <c r="AA980" s="8"/>
      <c r="AB980" s="8"/>
      <c r="AC980" s="8"/>
      <c r="AD980" s="8"/>
      <c r="AE980" s="8"/>
      <c r="AF980" s="8"/>
      <c r="AG980" s="8"/>
      <c r="AH980" s="8"/>
      <c r="AI980" s="8"/>
      <c r="AJ980" s="8"/>
      <c r="AK980" s="8"/>
      <c r="AL980" s="8"/>
      <c r="AM980" s="8"/>
    </row>
    <row r="981" spans="1:39" ht="12.75" customHeight="1" x14ac:dyDescent="0.2">
      <c r="A981" s="8"/>
      <c r="B981" s="8"/>
      <c r="C981" s="8"/>
      <c r="D981" s="8"/>
      <c r="E981" s="8"/>
      <c r="F981" s="8"/>
      <c r="G981" s="8"/>
      <c r="H981" s="8"/>
      <c r="J981" s="8"/>
      <c r="K981" s="8"/>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row>
    <row r="982" spans="1:39" ht="12.75" customHeight="1" x14ac:dyDescent="0.2">
      <c r="A982" s="8"/>
      <c r="B982" s="8"/>
      <c r="C982" s="8"/>
      <c r="D982" s="8"/>
      <c r="E982" s="8"/>
      <c r="F982" s="8"/>
      <c r="G982" s="8"/>
      <c r="H982" s="8"/>
      <c r="J982" s="8"/>
      <c r="K982" s="8"/>
      <c r="L982" s="8"/>
      <c r="M982" s="8"/>
      <c r="N982" s="8"/>
      <c r="O982" s="8"/>
      <c r="P982" s="8"/>
      <c r="Q982" s="8"/>
      <c r="R982" s="8"/>
      <c r="S982" s="8"/>
      <c r="T982" s="8"/>
      <c r="U982" s="8"/>
      <c r="V982" s="8"/>
      <c r="W982" s="8"/>
      <c r="X982" s="8"/>
      <c r="Y982" s="8"/>
      <c r="Z982" s="8"/>
      <c r="AA982" s="8"/>
      <c r="AB982" s="8"/>
      <c r="AC982" s="8"/>
      <c r="AD982" s="8"/>
      <c r="AE982" s="8"/>
      <c r="AF982" s="8"/>
      <c r="AG982" s="8"/>
      <c r="AH982" s="8"/>
      <c r="AI982" s="8"/>
      <c r="AJ982" s="8"/>
      <c r="AK982" s="8"/>
      <c r="AL982" s="8"/>
      <c r="AM982" s="8"/>
    </row>
    <row r="983" spans="1:39" ht="12.75" customHeight="1" x14ac:dyDescent="0.2">
      <c r="A983" s="8"/>
      <c r="B983" s="8"/>
      <c r="C983" s="8"/>
      <c r="D983" s="8"/>
      <c r="E983" s="8"/>
      <c r="F983" s="8"/>
      <c r="G983" s="8"/>
      <c r="H983" s="8"/>
      <c r="J983" s="8"/>
      <c r="K983" s="8"/>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row>
    <row r="984" spans="1:39" ht="12.75" customHeight="1" x14ac:dyDescent="0.2">
      <c r="A984" s="8"/>
      <c r="B984" s="8"/>
      <c r="C984" s="8"/>
      <c r="D984" s="8"/>
      <c r="E984" s="8"/>
      <c r="F984" s="8"/>
      <c r="G984" s="8"/>
      <c r="H984" s="8"/>
      <c r="J984" s="8"/>
      <c r="K984" s="8"/>
      <c r="L984" s="8"/>
      <c r="M984" s="8"/>
      <c r="N984" s="8"/>
      <c r="O984" s="8"/>
      <c r="P984" s="8"/>
      <c r="Q984" s="8"/>
      <c r="R984" s="8"/>
      <c r="S984" s="8"/>
      <c r="T984" s="8"/>
      <c r="U984" s="8"/>
      <c r="V984" s="8"/>
      <c r="W984" s="8"/>
      <c r="X984" s="8"/>
      <c r="Y984" s="8"/>
      <c r="Z984" s="8"/>
      <c r="AA984" s="8"/>
      <c r="AB984" s="8"/>
      <c r="AC984" s="8"/>
      <c r="AD984" s="8"/>
      <c r="AE984" s="8"/>
      <c r="AF984" s="8"/>
      <c r="AG984" s="8"/>
      <c r="AH984" s="8"/>
      <c r="AI984" s="8"/>
      <c r="AJ984" s="8"/>
      <c r="AK984" s="8"/>
      <c r="AL984" s="8"/>
      <c r="AM984" s="8"/>
    </row>
    <row r="985" spans="1:39" ht="12.75" customHeight="1" x14ac:dyDescent="0.2">
      <c r="A985" s="8"/>
      <c r="B985" s="8"/>
      <c r="C985" s="8"/>
      <c r="D985" s="8"/>
      <c r="E985" s="8"/>
      <c r="F985" s="8"/>
      <c r="G985" s="8"/>
      <c r="H985" s="8"/>
      <c r="J985" s="8"/>
      <c r="K985" s="8"/>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row>
    <row r="986" spans="1:39" ht="12.75" customHeight="1" x14ac:dyDescent="0.2">
      <c r="A986" s="8"/>
      <c r="B986" s="8"/>
      <c r="C986" s="8"/>
      <c r="D986" s="8"/>
      <c r="E986" s="8"/>
      <c r="F986" s="8"/>
      <c r="G986" s="8"/>
      <c r="H986" s="8"/>
      <c r="J986" s="8"/>
      <c r="K986" s="8"/>
      <c r="L986" s="8"/>
      <c r="M986" s="8"/>
      <c r="N986" s="8"/>
      <c r="O986" s="8"/>
      <c r="P986" s="8"/>
      <c r="Q986" s="8"/>
      <c r="R986" s="8"/>
      <c r="S986" s="8"/>
      <c r="T986" s="8"/>
      <c r="U986" s="8"/>
      <c r="V986" s="8"/>
      <c r="W986" s="8"/>
      <c r="X986" s="8"/>
      <c r="Y986" s="8"/>
      <c r="Z986" s="8"/>
      <c r="AA986" s="8"/>
      <c r="AB986" s="8"/>
      <c r="AC986" s="8"/>
      <c r="AD986" s="8"/>
      <c r="AE986" s="8"/>
      <c r="AF986" s="8"/>
      <c r="AG986" s="8"/>
      <c r="AH986" s="8"/>
      <c r="AI986" s="8"/>
      <c r="AJ986" s="8"/>
      <c r="AK986" s="8"/>
      <c r="AL986" s="8"/>
      <c r="AM986" s="8"/>
    </row>
    <row r="987" spans="1:39" ht="12.75" customHeight="1" x14ac:dyDescent="0.2">
      <c r="A987" s="8"/>
      <c r="B987" s="8"/>
      <c r="C987" s="8"/>
      <c r="D987" s="8"/>
      <c r="E987" s="8"/>
      <c r="F987" s="8"/>
      <c r="G987" s="8"/>
      <c r="H987" s="8"/>
      <c r="J987" s="8"/>
      <c r="K987" s="8"/>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row>
    <row r="988" spans="1:39" ht="12.75" customHeight="1" x14ac:dyDescent="0.2">
      <c r="A988" s="8"/>
      <c r="B988" s="8"/>
      <c r="C988" s="8"/>
      <c r="D988" s="8"/>
      <c r="E988" s="8"/>
      <c r="F988" s="8"/>
      <c r="G988" s="8"/>
      <c r="H988" s="8"/>
      <c r="J988" s="8"/>
      <c r="K988" s="8"/>
      <c r="L988" s="8"/>
      <c r="M988" s="8"/>
      <c r="N988" s="8"/>
      <c r="O988" s="8"/>
      <c r="P988" s="8"/>
      <c r="Q988" s="8"/>
      <c r="R988" s="8"/>
      <c r="S988" s="8"/>
      <c r="T988" s="8"/>
      <c r="U988" s="8"/>
      <c r="V988" s="8"/>
      <c r="W988" s="8"/>
      <c r="X988" s="8"/>
      <c r="Y988" s="8"/>
      <c r="Z988" s="8"/>
      <c r="AA988" s="8"/>
      <c r="AB988" s="8"/>
      <c r="AC988" s="8"/>
      <c r="AD988" s="8"/>
      <c r="AE988" s="8"/>
      <c r="AF988" s="8"/>
      <c r="AG988" s="8"/>
      <c r="AH988" s="8"/>
      <c r="AI988" s="8"/>
      <c r="AJ988" s="8"/>
      <c r="AK988" s="8"/>
      <c r="AL988" s="8"/>
      <c r="AM988" s="8"/>
    </row>
    <row r="989" spans="1:39" ht="12.75" customHeight="1" x14ac:dyDescent="0.2">
      <c r="A989" s="8"/>
      <c r="B989" s="8"/>
      <c r="C989" s="8"/>
      <c r="D989" s="8"/>
      <c r="E989" s="8"/>
      <c r="F989" s="8"/>
      <c r="G989" s="8"/>
      <c r="H989" s="8"/>
      <c r="J989" s="8"/>
      <c r="K989" s="8"/>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row>
    <row r="990" spans="1:39" ht="12.75" customHeight="1" x14ac:dyDescent="0.2">
      <c r="A990" s="8"/>
      <c r="B990" s="8"/>
      <c r="C990" s="8"/>
      <c r="D990" s="8"/>
      <c r="E990" s="8"/>
      <c r="F990" s="8"/>
      <c r="G990" s="8"/>
      <c r="H990" s="8"/>
      <c r="J990" s="8"/>
      <c r="K990" s="8"/>
      <c r="L990" s="8"/>
      <c r="M990" s="8"/>
      <c r="N990" s="8"/>
      <c r="O990" s="8"/>
      <c r="P990" s="8"/>
      <c r="Q990" s="8"/>
      <c r="R990" s="8"/>
      <c r="S990" s="8"/>
      <c r="T990" s="8"/>
      <c r="U990" s="8"/>
      <c r="V990" s="8"/>
      <c r="W990" s="8"/>
      <c r="X990" s="8"/>
      <c r="Y990" s="8"/>
      <c r="Z990" s="8"/>
      <c r="AA990" s="8"/>
      <c r="AB990" s="8"/>
      <c r="AC990" s="8"/>
      <c r="AD990" s="8"/>
      <c r="AE990" s="8"/>
      <c r="AF990" s="8"/>
      <c r="AG990" s="8"/>
      <c r="AH990" s="8"/>
      <c r="AI990" s="8"/>
      <c r="AJ990" s="8"/>
      <c r="AK990" s="8"/>
      <c r="AL990" s="8"/>
      <c r="AM990" s="8"/>
    </row>
    <row r="991" spans="1:39" ht="12.75" customHeight="1" x14ac:dyDescent="0.2">
      <c r="A991" s="8"/>
      <c r="B991" s="8"/>
      <c r="C991" s="8"/>
      <c r="D991" s="8"/>
      <c r="E991" s="8"/>
      <c r="F991" s="8"/>
      <c r="G991" s="8"/>
      <c r="H991" s="8"/>
      <c r="J991" s="8"/>
      <c r="K991" s="8"/>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row>
    <row r="992" spans="1:39" ht="12.75" customHeight="1" x14ac:dyDescent="0.2">
      <c r="A992" s="8"/>
      <c r="B992" s="8"/>
      <c r="C992" s="8"/>
      <c r="D992" s="8"/>
      <c r="E992" s="8"/>
      <c r="F992" s="8"/>
      <c r="G992" s="8"/>
      <c r="H992" s="8"/>
      <c r="J992" s="8"/>
      <c r="K992" s="8"/>
      <c r="L992" s="8"/>
      <c r="M992" s="8"/>
      <c r="N992" s="8"/>
      <c r="O992" s="8"/>
      <c r="P992" s="8"/>
      <c r="Q992" s="8"/>
      <c r="R992" s="8"/>
      <c r="S992" s="8"/>
      <c r="T992" s="8"/>
      <c r="U992" s="8"/>
      <c r="V992" s="8"/>
      <c r="W992" s="8"/>
      <c r="X992" s="8"/>
      <c r="Y992" s="8"/>
      <c r="Z992" s="8"/>
      <c r="AA992" s="8"/>
      <c r="AB992" s="8"/>
      <c r="AC992" s="8"/>
      <c r="AD992" s="8"/>
      <c r="AE992" s="8"/>
      <c r="AF992" s="8"/>
      <c r="AG992" s="8"/>
      <c r="AH992" s="8"/>
      <c r="AI992" s="8"/>
      <c r="AJ992" s="8"/>
      <c r="AK992" s="8"/>
      <c r="AL992" s="8"/>
      <c r="AM992" s="8"/>
    </row>
    <row r="993" spans="1:39" ht="12.75" customHeight="1" x14ac:dyDescent="0.2">
      <c r="A993" s="8"/>
      <c r="B993" s="8"/>
      <c r="C993" s="8"/>
      <c r="D993" s="8"/>
      <c r="E993" s="8"/>
      <c r="F993" s="8"/>
      <c r="G993" s="8"/>
      <c r="H993" s="8"/>
      <c r="J993" s="8"/>
      <c r="K993" s="8"/>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row>
    <row r="994" spans="1:39" ht="12.75" customHeight="1" x14ac:dyDescent="0.2">
      <c r="A994" s="8"/>
      <c r="B994" s="8"/>
      <c r="C994" s="8"/>
      <c r="D994" s="8"/>
      <c r="E994" s="8"/>
      <c r="F994" s="8"/>
      <c r="G994" s="8"/>
      <c r="H994" s="8"/>
      <c r="J994" s="8"/>
      <c r="K994" s="8"/>
      <c r="L994" s="8"/>
      <c r="M994" s="8"/>
      <c r="N994" s="8"/>
      <c r="O994" s="8"/>
      <c r="P994" s="8"/>
      <c r="Q994" s="8"/>
      <c r="R994" s="8"/>
      <c r="S994" s="8"/>
      <c r="T994" s="8"/>
      <c r="U994" s="8"/>
      <c r="V994" s="8"/>
      <c r="W994" s="8"/>
      <c r="X994" s="8"/>
      <c r="Y994" s="8"/>
      <c r="Z994" s="8"/>
      <c r="AA994" s="8"/>
      <c r="AB994" s="8"/>
      <c r="AC994" s="8"/>
      <c r="AD994" s="8"/>
      <c r="AE994" s="8"/>
      <c r="AF994" s="8"/>
      <c r="AG994" s="8"/>
      <c r="AH994" s="8"/>
      <c r="AI994" s="8"/>
      <c r="AJ994" s="8"/>
      <c r="AK994" s="8"/>
      <c r="AL994" s="8"/>
      <c r="AM994" s="8"/>
    </row>
    <row r="995" spans="1:39" ht="12.75" customHeight="1" x14ac:dyDescent="0.2">
      <c r="A995" s="8"/>
    </row>
    <row r="996" spans="1:39" ht="12.75" customHeight="1" x14ac:dyDescent="0.2">
      <c r="A996" s="8"/>
    </row>
    <row r="997" spans="1:39" ht="12.75" customHeight="1" x14ac:dyDescent="0.2">
      <c r="A997" s="8"/>
    </row>
    <row r="998" spans="1:39" ht="12.75" customHeight="1" x14ac:dyDescent="0.2">
      <c r="A998" s="8"/>
    </row>
    <row r="999" spans="1:39" ht="12.75" customHeight="1" x14ac:dyDescent="0.2">
      <c r="A999" s="8"/>
    </row>
    <row r="1000" spans="1:39" ht="12.75" customHeight="1" x14ac:dyDescent="0.2">
      <c r="A1000" s="8"/>
    </row>
  </sheetData>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CA5F5-9CDD-449A-BCE4-4661596657DD}">
  <sheetPr codeName="Sheet11"/>
  <dimension ref="A1:L1000"/>
  <sheetViews>
    <sheetView workbookViewId="0">
      <selection activeCell="A7" sqref="A7"/>
    </sheetView>
  </sheetViews>
  <sheetFormatPr defaultRowHeight="12.75" x14ac:dyDescent="0.2"/>
  <cols>
    <col min="1" max="12" width="45" customWidth="1"/>
  </cols>
  <sheetData>
    <row r="1" spans="1:12" x14ac:dyDescent="0.2">
      <c r="A1" s="15" t="s">
        <v>307</v>
      </c>
      <c r="B1" s="15" t="s">
        <v>308</v>
      </c>
      <c r="C1" s="15" t="s">
        <v>309</v>
      </c>
      <c r="D1" s="15" t="s">
        <v>310</v>
      </c>
      <c r="E1" s="15" t="s">
        <v>311</v>
      </c>
      <c r="F1" s="15" t="s">
        <v>312</v>
      </c>
      <c r="G1" s="15" t="s">
        <v>313</v>
      </c>
      <c r="H1" s="15" t="s">
        <v>313</v>
      </c>
      <c r="I1" s="14" t="s">
        <v>321</v>
      </c>
      <c r="J1" s="16" t="s">
        <v>322</v>
      </c>
      <c r="K1" s="16" t="s">
        <v>323</v>
      </c>
      <c r="L1" s="14" t="s">
        <v>324</v>
      </c>
    </row>
    <row r="2" spans="1:12" x14ac:dyDescent="0.2">
      <c r="A2" s="19" t="s">
        <v>326</v>
      </c>
      <c r="B2" s="19" t="s">
        <v>327</v>
      </c>
      <c r="C2" s="19" t="s">
        <v>328</v>
      </c>
      <c r="D2" s="19" t="s">
        <v>329</v>
      </c>
      <c r="E2" s="19" t="s">
        <v>330</v>
      </c>
      <c r="F2" s="19" t="s">
        <v>331</v>
      </c>
      <c r="G2" s="19" t="s">
        <v>332</v>
      </c>
      <c r="H2" s="19" t="s">
        <v>333</v>
      </c>
      <c r="I2" s="18" t="s">
        <v>341</v>
      </c>
      <c r="J2" s="20" t="s">
        <v>342</v>
      </c>
      <c r="K2" s="21" t="s">
        <v>343</v>
      </c>
      <c r="L2" s="19" t="s">
        <v>344</v>
      </c>
    </row>
    <row r="3" spans="1:12" ht="89.25" x14ac:dyDescent="0.2">
      <c r="A3" s="22" t="s">
        <v>349</v>
      </c>
      <c r="B3" s="10" t="s">
        <v>350</v>
      </c>
      <c r="C3" s="10" t="s">
        <v>351</v>
      </c>
      <c r="D3" s="10" t="s">
        <v>352</v>
      </c>
      <c r="E3" s="10" t="s">
        <v>353</v>
      </c>
      <c r="F3" s="10" t="s">
        <v>354</v>
      </c>
      <c r="G3" s="10" t="s">
        <v>355</v>
      </c>
      <c r="H3" s="10" t="s">
        <v>356</v>
      </c>
      <c r="I3" s="22" t="s">
        <v>349</v>
      </c>
      <c r="J3" s="23" t="s">
        <v>349</v>
      </c>
      <c r="K3" s="23" t="s">
        <v>349</v>
      </c>
      <c r="L3" s="22" t="s">
        <v>349</v>
      </c>
    </row>
    <row r="4" spans="1:12" x14ac:dyDescent="0.2">
      <c r="A4" s="24" t="s">
        <v>357</v>
      </c>
      <c r="B4" s="24" t="s">
        <v>289</v>
      </c>
      <c r="C4" s="24" t="s">
        <v>289</v>
      </c>
      <c r="D4" s="24" t="s">
        <v>289</v>
      </c>
      <c r="E4" s="24" t="s">
        <v>357</v>
      </c>
      <c r="F4" s="24" t="s">
        <v>289</v>
      </c>
      <c r="G4" s="24" t="s">
        <v>289</v>
      </c>
      <c r="H4" s="24" t="s">
        <v>289</v>
      </c>
      <c r="I4" s="24" t="s">
        <v>357</v>
      </c>
      <c r="J4" s="25" t="s">
        <v>289</v>
      </c>
      <c r="K4" s="25" t="s">
        <v>289</v>
      </c>
      <c r="L4" s="24" t="s">
        <v>358</v>
      </c>
    </row>
    <row r="5" spans="1:12" x14ac:dyDescent="0.2">
      <c r="A5" s="8"/>
      <c r="B5" s="8"/>
      <c r="C5" s="8"/>
      <c r="D5" s="8"/>
      <c r="E5" s="8"/>
      <c r="F5" s="8"/>
      <c r="G5" s="8"/>
      <c r="H5" s="8"/>
      <c r="I5" s="26"/>
      <c r="J5" s="27"/>
      <c r="K5" s="27"/>
      <c r="L5" s="8"/>
    </row>
    <row r="6" spans="1:12" x14ac:dyDescent="0.2">
      <c r="A6" s="12"/>
      <c r="B6" s="12"/>
      <c r="C6" s="12"/>
      <c r="D6" s="12"/>
      <c r="E6" s="12"/>
      <c r="F6" s="12"/>
      <c r="G6" s="12"/>
      <c r="H6" s="12"/>
      <c r="I6" s="28"/>
      <c r="J6" s="29"/>
      <c r="K6" s="29"/>
      <c r="L6" s="12"/>
    </row>
    <row r="7" spans="1:12" x14ac:dyDescent="0.2">
      <c r="A7" s="12"/>
      <c r="B7" s="12"/>
      <c r="C7" s="12"/>
      <c r="D7" s="12"/>
      <c r="E7" s="12"/>
      <c r="F7" s="12"/>
      <c r="G7" s="12"/>
      <c r="H7" s="12"/>
      <c r="I7" s="28"/>
      <c r="J7" s="29"/>
      <c r="K7" s="29"/>
      <c r="L7" s="12"/>
    </row>
    <row r="8" spans="1:12" x14ac:dyDescent="0.2">
      <c r="A8" s="8"/>
      <c r="B8" s="8"/>
      <c r="C8" s="8"/>
      <c r="D8" s="8"/>
      <c r="E8" s="8"/>
      <c r="F8" s="8"/>
      <c r="G8" s="8"/>
      <c r="H8" s="8"/>
      <c r="I8" s="26"/>
      <c r="J8" s="30"/>
      <c r="K8" s="30"/>
      <c r="L8" s="8"/>
    </row>
    <row r="9" spans="1:12" x14ac:dyDescent="0.2">
      <c r="A9" s="8"/>
      <c r="B9" s="8"/>
      <c r="C9" s="8"/>
      <c r="D9" s="8"/>
      <c r="E9" s="8"/>
      <c r="F9" s="8"/>
      <c r="G9" s="8"/>
      <c r="H9" s="8"/>
      <c r="I9" s="26"/>
      <c r="J9" s="30"/>
      <c r="K9" s="30"/>
      <c r="L9" s="8"/>
    </row>
    <row r="10" spans="1:12" x14ac:dyDescent="0.2">
      <c r="A10" s="8"/>
      <c r="B10" s="8"/>
      <c r="C10" s="8"/>
      <c r="D10" s="8"/>
      <c r="E10" s="8"/>
      <c r="F10" s="8"/>
      <c r="G10" s="8"/>
      <c r="H10" s="8"/>
      <c r="I10" s="26"/>
      <c r="J10" s="30"/>
      <c r="K10" s="30"/>
      <c r="L10" s="8"/>
    </row>
    <row r="11" spans="1:12" x14ac:dyDescent="0.2">
      <c r="A11" s="8"/>
      <c r="B11" s="8"/>
      <c r="C11" s="8"/>
      <c r="D11" s="8"/>
      <c r="E11" s="8"/>
      <c r="F11" s="8"/>
      <c r="G11" s="8"/>
      <c r="H11" s="8"/>
      <c r="I11" s="26"/>
      <c r="J11" s="30"/>
      <c r="K11" s="30"/>
      <c r="L11" s="8"/>
    </row>
    <row r="12" spans="1:12" x14ac:dyDescent="0.2">
      <c r="A12" s="8"/>
      <c r="B12" s="8"/>
      <c r="C12" s="8"/>
      <c r="D12" s="8"/>
      <c r="E12" s="8"/>
      <c r="F12" s="8"/>
      <c r="G12" s="8"/>
      <c r="H12" s="8"/>
      <c r="I12" s="26"/>
      <c r="J12" s="30"/>
      <c r="K12" s="30"/>
      <c r="L12" s="8"/>
    </row>
    <row r="13" spans="1:12" x14ac:dyDescent="0.2">
      <c r="A13" s="8"/>
      <c r="B13" s="8"/>
      <c r="C13" s="8"/>
      <c r="D13" s="8"/>
      <c r="E13" s="8"/>
      <c r="F13" s="8"/>
      <c r="G13" s="8"/>
      <c r="H13" s="8"/>
      <c r="I13" s="26"/>
      <c r="J13" s="30"/>
      <c r="K13" s="30"/>
      <c r="L13" s="8"/>
    </row>
    <row r="14" spans="1:12" x14ac:dyDescent="0.2">
      <c r="A14" s="8"/>
      <c r="B14" s="8"/>
      <c r="C14" s="8"/>
      <c r="D14" s="8"/>
      <c r="E14" s="8"/>
      <c r="F14" s="8"/>
      <c r="G14" s="8"/>
      <c r="H14" s="8"/>
      <c r="I14" s="26"/>
      <c r="J14" s="30"/>
      <c r="K14" s="30"/>
      <c r="L14" s="8"/>
    </row>
    <row r="15" spans="1:12" x14ac:dyDescent="0.2">
      <c r="A15" s="8"/>
      <c r="B15" s="8"/>
      <c r="C15" s="8"/>
      <c r="D15" s="8"/>
      <c r="E15" s="8"/>
      <c r="F15" s="8"/>
      <c r="G15" s="8"/>
      <c r="H15" s="8"/>
      <c r="I15" s="26"/>
      <c r="J15" s="30"/>
      <c r="K15" s="30"/>
      <c r="L15" s="8"/>
    </row>
    <row r="16" spans="1:12" x14ac:dyDescent="0.2">
      <c r="A16" s="8"/>
      <c r="B16" s="8"/>
      <c r="C16" s="8"/>
      <c r="D16" s="8"/>
      <c r="E16" s="8"/>
      <c r="F16" s="8"/>
      <c r="G16" s="8"/>
      <c r="H16" s="8"/>
      <c r="I16" s="26"/>
      <c r="J16" s="30"/>
      <c r="K16" s="30"/>
      <c r="L16" s="8"/>
    </row>
    <row r="17" spans="1:12" x14ac:dyDescent="0.2">
      <c r="A17" s="8"/>
      <c r="B17" s="8"/>
      <c r="C17" s="8"/>
      <c r="D17" s="8"/>
      <c r="E17" s="8"/>
      <c r="F17" s="8"/>
      <c r="G17" s="8"/>
      <c r="H17" s="8"/>
      <c r="I17" s="26"/>
      <c r="J17" s="30"/>
      <c r="K17" s="30"/>
      <c r="L17" s="8"/>
    </row>
    <row r="18" spans="1:12" x14ac:dyDescent="0.2">
      <c r="A18" s="8"/>
      <c r="B18" s="8"/>
      <c r="C18" s="8"/>
      <c r="D18" s="8"/>
      <c r="E18" s="8"/>
      <c r="F18" s="8"/>
      <c r="G18" s="8"/>
      <c r="H18" s="8"/>
      <c r="I18" s="26"/>
      <c r="J18" s="30"/>
      <c r="K18" s="30"/>
      <c r="L18" s="8"/>
    </row>
    <row r="19" spans="1:12" x14ac:dyDescent="0.2">
      <c r="A19" s="8"/>
      <c r="B19" s="8"/>
      <c r="C19" s="8"/>
      <c r="D19" s="8"/>
      <c r="E19" s="8"/>
      <c r="F19" s="8"/>
      <c r="G19" s="8"/>
      <c r="H19" s="8"/>
      <c r="I19" s="26"/>
      <c r="J19" s="30"/>
      <c r="K19" s="30"/>
      <c r="L19" s="8"/>
    </row>
    <row r="20" spans="1:12" x14ac:dyDescent="0.2">
      <c r="A20" s="8"/>
      <c r="B20" s="8"/>
      <c r="C20" s="8"/>
      <c r="D20" s="8"/>
      <c r="E20" s="8"/>
      <c r="F20" s="8"/>
      <c r="G20" s="8"/>
      <c r="H20" s="8"/>
      <c r="I20" s="26"/>
      <c r="J20" s="30"/>
      <c r="K20" s="30"/>
      <c r="L20" s="8"/>
    </row>
    <row r="21" spans="1:12" x14ac:dyDescent="0.2">
      <c r="A21" s="8"/>
      <c r="B21" s="8"/>
      <c r="C21" s="8"/>
      <c r="D21" s="8"/>
      <c r="E21" s="8"/>
      <c r="F21" s="8"/>
      <c r="G21" s="8"/>
      <c r="H21" s="8"/>
      <c r="I21" s="26"/>
      <c r="J21" s="30"/>
      <c r="K21" s="30"/>
      <c r="L21" s="8"/>
    </row>
    <row r="22" spans="1:12" x14ac:dyDescent="0.2">
      <c r="A22" s="8"/>
      <c r="B22" s="8"/>
      <c r="C22" s="8"/>
      <c r="D22" s="8"/>
      <c r="E22" s="8"/>
      <c r="F22" s="8"/>
      <c r="G22" s="8"/>
      <c r="H22" s="8"/>
      <c r="I22" s="26"/>
      <c r="J22" s="30"/>
      <c r="K22" s="30"/>
      <c r="L22" s="8"/>
    </row>
    <row r="23" spans="1:12" x14ac:dyDescent="0.2">
      <c r="A23" s="8"/>
      <c r="B23" s="8"/>
      <c r="C23" s="8"/>
      <c r="D23" s="8"/>
      <c r="E23" s="8"/>
      <c r="F23" s="8"/>
      <c r="G23" s="8"/>
      <c r="H23" s="8"/>
      <c r="I23" s="26"/>
      <c r="J23" s="30"/>
      <c r="K23" s="30"/>
      <c r="L23" s="8"/>
    </row>
    <row r="24" spans="1:12" x14ac:dyDescent="0.2">
      <c r="A24" s="8"/>
      <c r="B24" s="8"/>
      <c r="C24" s="8"/>
      <c r="D24" s="8"/>
      <c r="E24" s="8"/>
      <c r="F24" s="8"/>
      <c r="G24" s="8"/>
      <c r="H24" s="8"/>
      <c r="I24" s="26"/>
      <c r="J24" s="30"/>
      <c r="K24" s="30"/>
      <c r="L24" s="8"/>
    </row>
    <row r="25" spans="1:12" x14ac:dyDescent="0.2">
      <c r="A25" s="8"/>
      <c r="B25" s="8"/>
      <c r="C25" s="8"/>
      <c r="D25" s="8"/>
      <c r="E25" s="8"/>
      <c r="F25" s="8"/>
      <c r="G25" s="8"/>
      <c r="H25" s="8"/>
      <c r="I25" s="26"/>
      <c r="J25" s="30"/>
      <c r="K25" s="30"/>
      <c r="L25" s="8"/>
    </row>
    <row r="26" spans="1:12" x14ac:dyDescent="0.2">
      <c r="A26" s="8"/>
      <c r="B26" s="8"/>
      <c r="C26" s="8"/>
      <c r="D26" s="8"/>
      <c r="E26" s="8"/>
      <c r="F26" s="8"/>
      <c r="G26" s="8"/>
      <c r="H26" s="8"/>
      <c r="I26" s="26"/>
      <c r="J26" s="30"/>
      <c r="K26" s="30"/>
      <c r="L26" s="8"/>
    </row>
    <row r="27" spans="1:12" x14ac:dyDescent="0.2">
      <c r="A27" s="8"/>
      <c r="B27" s="8"/>
      <c r="C27" s="8"/>
      <c r="D27" s="8"/>
      <c r="E27" s="8"/>
      <c r="F27" s="8"/>
      <c r="G27" s="8"/>
      <c r="H27" s="8"/>
      <c r="I27" s="26"/>
      <c r="J27" s="30"/>
      <c r="K27" s="30"/>
      <c r="L27" s="8"/>
    </row>
    <row r="28" spans="1:12" x14ac:dyDescent="0.2">
      <c r="A28" s="8"/>
      <c r="B28" s="8"/>
      <c r="C28" s="8"/>
      <c r="D28" s="8"/>
      <c r="E28" s="8"/>
      <c r="F28" s="8"/>
      <c r="G28" s="8"/>
      <c r="H28" s="8"/>
      <c r="I28" s="26"/>
      <c r="J28" s="30"/>
      <c r="K28" s="30"/>
      <c r="L28" s="8"/>
    </row>
    <row r="29" spans="1:12" x14ac:dyDescent="0.2">
      <c r="A29" s="8"/>
      <c r="B29" s="8"/>
      <c r="C29" s="8"/>
      <c r="D29" s="8"/>
      <c r="E29" s="8"/>
      <c r="F29" s="8"/>
      <c r="G29" s="8"/>
      <c r="H29" s="8"/>
      <c r="I29" s="26"/>
      <c r="J29" s="30"/>
      <c r="K29" s="30"/>
      <c r="L29" s="8"/>
    </row>
    <row r="30" spans="1:12" x14ac:dyDescent="0.2">
      <c r="A30" s="8"/>
      <c r="B30" s="8"/>
      <c r="C30" s="8"/>
      <c r="D30" s="8"/>
      <c r="E30" s="8"/>
      <c r="F30" s="8"/>
      <c r="G30" s="8"/>
      <c r="H30" s="8"/>
      <c r="I30" s="26"/>
      <c r="J30" s="30"/>
      <c r="K30" s="30"/>
      <c r="L30" s="8"/>
    </row>
    <row r="31" spans="1:12" x14ac:dyDescent="0.2">
      <c r="A31" s="8"/>
      <c r="B31" s="8"/>
      <c r="C31" s="8"/>
      <c r="D31" s="8"/>
      <c r="E31" s="8"/>
      <c r="F31" s="8"/>
      <c r="G31" s="8"/>
      <c r="H31" s="8"/>
      <c r="I31" s="26"/>
      <c r="J31" s="30"/>
      <c r="K31" s="30"/>
      <c r="L31" s="8"/>
    </row>
    <row r="32" spans="1:12" x14ac:dyDescent="0.2">
      <c r="A32" s="8"/>
      <c r="B32" s="8"/>
      <c r="C32" s="8"/>
      <c r="D32" s="8"/>
      <c r="E32" s="8"/>
      <c r="F32" s="8"/>
      <c r="G32" s="8"/>
      <c r="H32" s="8"/>
      <c r="I32" s="26"/>
      <c r="J32" s="30"/>
      <c r="K32" s="30"/>
      <c r="L32" s="8"/>
    </row>
    <row r="33" spans="1:12" x14ac:dyDescent="0.2">
      <c r="A33" s="8"/>
      <c r="B33" s="8"/>
      <c r="C33" s="8"/>
      <c r="D33" s="8"/>
      <c r="E33" s="8"/>
      <c r="F33" s="8"/>
      <c r="G33" s="8"/>
      <c r="H33" s="8"/>
      <c r="I33" s="26"/>
      <c r="J33" s="30"/>
      <c r="K33" s="30"/>
      <c r="L33" s="8"/>
    </row>
    <row r="34" spans="1:12" x14ac:dyDescent="0.2">
      <c r="A34" s="8"/>
      <c r="B34" s="8"/>
      <c r="C34" s="8"/>
      <c r="D34" s="8"/>
      <c r="E34" s="8"/>
      <c r="F34" s="8"/>
      <c r="G34" s="8"/>
      <c r="H34" s="8"/>
      <c r="I34" s="26"/>
      <c r="J34" s="30"/>
      <c r="K34" s="30"/>
      <c r="L34" s="8"/>
    </row>
    <row r="35" spans="1:12" x14ac:dyDescent="0.2">
      <c r="A35" s="8"/>
      <c r="B35" s="8"/>
      <c r="C35" s="8"/>
      <c r="D35" s="8"/>
      <c r="E35" s="8"/>
      <c r="F35" s="8"/>
      <c r="G35" s="8"/>
      <c r="H35" s="8"/>
      <c r="I35" s="26"/>
      <c r="J35" s="30"/>
      <c r="K35" s="30"/>
      <c r="L35" s="8"/>
    </row>
    <row r="36" spans="1:12" x14ac:dyDescent="0.2">
      <c r="A36" s="8"/>
      <c r="B36" s="8"/>
      <c r="C36" s="8"/>
      <c r="D36" s="8"/>
      <c r="E36" s="8"/>
      <c r="F36" s="8"/>
      <c r="G36" s="8"/>
      <c r="H36" s="8"/>
      <c r="I36" s="26"/>
      <c r="J36" s="30"/>
      <c r="K36" s="30"/>
      <c r="L36" s="8"/>
    </row>
    <row r="37" spans="1:12" x14ac:dyDescent="0.2">
      <c r="A37" s="8"/>
      <c r="B37" s="8"/>
      <c r="C37" s="8"/>
      <c r="D37" s="8"/>
      <c r="E37" s="8"/>
      <c r="F37" s="8"/>
      <c r="G37" s="8"/>
      <c r="H37" s="8"/>
      <c r="I37" s="26"/>
      <c r="J37" s="30"/>
      <c r="K37" s="30"/>
      <c r="L37" s="8"/>
    </row>
    <row r="38" spans="1:12" x14ac:dyDescent="0.2">
      <c r="A38" s="8"/>
      <c r="B38" s="8"/>
      <c r="C38" s="8"/>
      <c r="D38" s="8"/>
      <c r="E38" s="8"/>
      <c r="F38" s="8"/>
      <c r="G38" s="8"/>
      <c r="H38" s="8"/>
      <c r="I38" s="26"/>
      <c r="J38" s="30"/>
      <c r="K38" s="30"/>
      <c r="L38" s="8"/>
    </row>
    <row r="39" spans="1:12" x14ac:dyDescent="0.2">
      <c r="A39" s="8"/>
      <c r="B39" s="8"/>
      <c r="C39" s="8"/>
      <c r="D39" s="8"/>
      <c r="E39" s="8"/>
      <c r="F39" s="8"/>
      <c r="G39" s="8"/>
      <c r="H39" s="8"/>
      <c r="I39" s="26"/>
      <c r="J39" s="30"/>
      <c r="K39" s="30"/>
      <c r="L39" s="8"/>
    </row>
    <row r="40" spans="1:12" x14ac:dyDescent="0.2">
      <c r="A40" s="8"/>
      <c r="B40" s="8"/>
      <c r="C40" s="8"/>
      <c r="D40" s="8"/>
      <c r="E40" s="8"/>
      <c r="F40" s="8"/>
      <c r="G40" s="8"/>
      <c r="H40" s="8"/>
      <c r="I40" s="26"/>
      <c r="J40" s="30"/>
      <c r="K40" s="30"/>
      <c r="L40" s="8"/>
    </row>
    <row r="41" spans="1:12" x14ac:dyDescent="0.2">
      <c r="A41" s="8"/>
      <c r="B41" s="8"/>
      <c r="C41" s="8"/>
      <c r="D41" s="8"/>
      <c r="E41" s="8"/>
      <c r="F41" s="8"/>
      <c r="G41" s="8"/>
      <c r="H41" s="8"/>
      <c r="I41" s="26"/>
      <c r="J41" s="30"/>
      <c r="K41" s="30"/>
      <c r="L41" s="8"/>
    </row>
    <row r="42" spans="1:12" x14ac:dyDescent="0.2">
      <c r="A42" s="8"/>
      <c r="B42" s="8"/>
      <c r="C42" s="8"/>
      <c r="D42" s="8"/>
      <c r="E42" s="8"/>
      <c r="F42" s="8"/>
      <c r="G42" s="8"/>
      <c r="H42" s="8"/>
      <c r="I42" s="26"/>
      <c r="J42" s="30"/>
      <c r="K42" s="30"/>
      <c r="L42" s="8"/>
    </row>
    <row r="43" spans="1:12" x14ac:dyDescent="0.2">
      <c r="A43" s="8"/>
      <c r="B43" s="8"/>
      <c r="C43" s="8"/>
      <c r="D43" s="8"/>
      <c r="E43" s="8"/>
      <c r="F43" s="8"/>
      <c r="G43" s="8"/>
      <c r="H43" s="8"/>
      <c r="I43" s="26"/>
      <c r="J43" s="30"/>
      <c r="K43" s="30"/>
      <c r="L43" s="8"/>
    </row>
    <row r="44" spans="1:12" x14ac:dyDescent="0.2">
      <c r="A44" s="8"/>
      <c r="B44" s="8"/>
      <c r="C44" s="8"/>
      <c r="D44" s="8"/>
      <c r="E44" s="8"/>
      <c r="F44" s="8"/>
      <c r="G44" s="8"/>
      <c r="H44" s="8"/>
      <c r="I44" s="26"/>
      <c r="J44" s="30"/>
      <c r="K44" s="30"/>
      <c r="L44" s="8"/>
    </row>
    <row r="45" spans="1:12" x14ac:dyDescent="0.2">
      <c r="A45" s="8"/>
      <c r="B45" s="8"/>
      <c r="C45" s="8"/>
      <c r="D45" s="8"/>
      <c r="E45" s="8"/>
      <c r="F45" s="8"/>
      <c r="G45" s="8"/>
      <c r="H45" s="8"/>
      <c r="I45" s="26"/>
      <c r="J45" s="30"/>
      <c r="K45" s="30"/>
      <c r="L45" s="8"/>
    </row>
    <row r="46" spans="1:12" x14ac:dyDescent="0.2">
      <c r="A46" s="8"/>
      <c r="B46" s="8"/>
      <c r="C46" s="8"/>
      <c r="D46" s="8"/>
      <c r="E46" s="8"/>
      <c r="F46" s="8"/>
      <c r="G46" s="8"/>
      <c r="H46" s="8"/>
      <c r="I46" s="26"/>
      <c r="J46" s="30"/>
      <c r="K46" s="30"/>
      <c r="L46" s="8"/>
    </row>
    <row r="47" spans="1:12" x14ac:dyDescent="0.2">
      <c r="A47" s="8"/>
      <c r="B47" s="8"/>
      <c r="C47" s="8"/>
      <c r="D47" s="8"/>
      <c r="E47" s="8"/>
      <c r="F47" s="8"/>
      <c r="G47" s="8"/>
      <c r="H47" s="8"/>
      <c r="I47" s="26"/>
      <c r="J47" s="30"/>
      <c r="K47" s="30"/>
      <c r="L47" s="8"/>
    </row>
    <row r="48" spans="1:12" x14ac:dyDescent="0.2">
      <c r="A48" s="8"/>
      <c r="B48" s="8"/>
      <c r="C48" s="8"/>
      <c r="D48" s="8"/>
      <c r="E48" s="8"/>
      <c r="F48" s="8"/>
      <c r="G48" s="8"/>
      <c r="H48" s="8"/>
      <c r="I48" s="26"/>
      <c r="J48" s="30"/>
      <c r="K48" s="30"/>
      <c r="L48" s="8"/>
    </row>
    <row r="49" spans="1:12" x14ac:dyDescent="0.2">
      <c r="A49" s="8"/>
      <c r="B49" s="8"/>
      <c r="C49" s="8"/>
      <c r="D49" s="8"/>
      <c r="E49" s="8"/>
      <c r="F49" s="8"/>
      <c r="G49" s="8"/>
      <c r="H49" s="8"/>
      <c r="I49" s="26"/>
      <c r="J49" s="30"/>
      <c r="K49" s="30"/>
      <c r="L49" s="8"/>
    </row>
    <row r="50" spans="1:12" x14ac:dyDescent="0.2">
      <c r="A50" s="8"/>
      <c r="B50" s="8"/>
      <c r="C50" s="8"/>
      <c r="D50" s="8"/>
      <c r="E50" s="8"/>
      <c r="F50" s="8"/>
      <c r="G50" s="8"/>
      <c r="H50" s="8"/>
      <c r="I50" s="26"/>
      <c r="J50" s="30"/>
      <c r="K50" s="30"/>
      <c r="L50" s="8"/>
    </row>
    <row r="51" spans="1:12" x14ac:dyDescent="0.2">
      <c r="A51" s="8"/>
      <c r="B51" s="8"/>
      <c r="C51" s="8"/>
      <c r="D51" s="8"/>
      <c r="E51" s="8"/>
      <c r="F51" s="8"/>
      <c r="G51" s="8"/>
      <c r="H51" s="8"/>
      <c r="I51" s="26"/>
      <c r="J51" s="30"/>
      <c r="K51" s="30"/>
      <c r="L51" s="8"/>
    </row>
    <row r="52" spans="1:12" x14ac:dyDescent="0.2">
      <c r="A52" s="8"/>
      <c r="B52" s="8"/>
      <c r="C52" s="8"/>
      <c r="D52" s="8"/>
      <c r="E52" s="8"/>
      <c r="F52" s="8"/>
      <c r="G52" s="8"/>
      <c r="H52" s="8"/>
      <c r="I52" s="26"/>
      <c r="J52" s="30"/>
      <c r="K52" s="30"/>
      <c r="L52" s="8"/>
    </row>
    <row r="53" spans="1:12" x14ac:dyDescent="0.2">
      <c r="A53" s="8"/>
      <c r="B53" s="8"/>
      <c r="C53" s="8"/>
      <c r="D53" s="8"/>
      <c r="E53" s="8"/>
      <c r="F53" s="8"/>
      <c r="G53" s="8"/>
      <c r="H53" s="8"/>
      <c r="I53" s="26"/>
      <c r="J53" s="30"/>
      <c r="K53" s="30"/>
      <c r="L53" s="8"/>
    </row>
    <row r="54" spans="1:12" x14ac:dyDescent="0.2">
      <c r="A54" s="8"/>
      <c r="B54" s="8"/>
      <c r="C54" s="8"/>
      <c r="D54" s="8"/>
      <c r="E54" s="8"/>
      <c r="F54" s="8"/>
      <c r="G54" s="8"/>
      <c r="H54" s="8"/>
      <c r="I54" s="26"/>
      <c r="J54" s="30"/>
      <c r="K54" s="30"/>
      <c r="L54" s="8"/>
    </row>
    <row r="55" spans="1:12" x14ac:dyDescent="0.2">
      <c r="A55" s="8"/>
      <c r="B55" s="8"/>
      <c r="C55" s="8"/>
      <c r="D55" s="8"/>
      <c r="E55" s="8"/>
      <c r="F55" s="8"/>
      <c r="G55" s="8"/>
      <c r="H55" s="8"/>
      <c r="I55" s="26"/>
      <c r="J55" s="30"/>
      <c r="K55" s="30"/>
      <c r="L55" s="8"/>
    </row>
    <row r="56" spans="1:12" x14ac:dyDescent="0.2">
      <c r="A56" s="8"/>
      <c r="B56" s="8"/>
      <c r="C56" s="8"/>
      <c r="D56" s="8"/>
      <c r="E56" s="8"/>
      <c r="F56" s="8"/>
      <c r="G56" s="8"/>
      <c r="H56" s="8"/>
      <c r="I56" s="26"/>
      <c r="J56" s="30"/>
      <c r="K56" s="30"/>
      <c r="L56" s="8"/>
    </row>
    <row r="57" spans="1:12" x14ac:dyDescent="0.2">
      <c r="A57" s="8"/>
      <c r="B57" s="8"/>
      <c r="C57" s="8"/>
      <c r="D57" s="8"/>
      <c r="E57" s="8"/>
      <c r="F57" s="8"/>
      <c r="G57" s="8"/>
      <c r="H57" s="8"/>
      <c r="I57" s="26"/>
      <c r="J57" s="30"/>
      <c r="K57" s="30"/>
      <c r="L57" s="8"/>
    </row>
    <row r="58" spans="1:12" x14ac:dyDescent="0.2">
      <c r="A58" s="8"/>
      <c r="B58" s="8"/>
      <c r="C58" s="8"/>
      <c r="D58" s="8"/>
      <c r="E58" s="8"/>
      <c r="F58" s="8"/>
      <c r="G58" s="8"/>
      <c r="H58" s="8"/>
      <c r="I58" s="26"/>
      <c r="J58" s="30"/>
      <c r="K58" s="30"/>
      <c r="L58" s="8"/>
    </row>
    <row r="59" spans="1:12" x14ac:dyDescent="0.2">
      <c r="A59" s="8"/>
      <c r="B59" s="8"/>
      <c r="C59" s="8"/>
      <c r="D59" s="8"/>
      <c r="E59" s="8"/>
      <c r="F59" s="8"/>
      <c r="G59" s="8"/>
      <c r="H59" s="8"/>
      <c r="I59" s="26"/>
      <c r="J59" s="30"/>
      <c r="K59" s="30"/>
      <c r="L59" s="8"/>
    </row>
    <row r="60" spans="1:12" x14ac:dyDescent="0.2">
      <c r="A60" s="8"/>
      <c r="B60" s="8"/>
      <c r="C60" s="8"/>
      <c r="D60" s="8"/>
      <c r="E60" s="8"/>
      <c r="F60" s="8"/>
      <c r="G60" s="8"/>
      <c r="H60" s="8"/>
      <c r="I60" s="26"/>
      <c r="J60" s="30"/>
      <c r="K60" s="30"/>
      <c r="L60" s="8"/>
    </row>
    <row r="61" spans="1:12" x14ac:dyDescent="0.2">
      <c r="A61" s="8"/>
      <c r="B61" s="8"/>
      <c r="C61" s="8"/>
      <c r="D61" s="8"/>
      <c r="E61" s="8"/>
      <c r="F61" s="8"/>
      <c r="G61" s="8"/>
      <c r="H61" s="8"/>
      <c r="I61" s="26"/>
      <c r="J61" s="30"/>
      <c r="K61" s="30"/>
      <c r="L61" s="8"/>
    </row>
    <row r="62" spans="1:12" x14ac:dyDescent="0.2">
      <c r="A62" s="8"/>
      <c r="B62" s="8"/>
      <c r="C62" s="8"/>
      <c r="D62" s="8"/>
      <c r="E62" s="8"/>
      <c r="F62" s="8"/>
      <c r="G62" s="8"/>
      <c r="H62" s="8"/>
      <c r="I62" s="26"/>
      <c r="J62" s="30"/>
      <c r="K62" s="30"/>
      <c r="L62" s="8"/>
    </row>
    <row r="63" spans="1:12" x14ac:dyDescent="0.2">
      <c r="A63" s="8"/>
      <c r="B63" s="8"/>
      <c r="C63" s="8"/>
      <c r="D63" s="8"/>
      <c r="E63" s="8"/>
      <c r="F63" s="8"/>
      <c r="G63" s="8"/>
      <c r="H63" s="8"/>
      <c r="I63" s="26"/>
      <c r="J63" s="30"/>
      <c r="K63" s="30"/>
      <c r="L63" s="8"/>
    </row>
    <row r="64" spans="1:12" x14ac:dyDescent="0.2">
      <c r="A64" s="8"/>
      <c r="B64" s="8"/>
      <c r="C64" s="8"/>
      <c r="D64" s="8"/>
      <c r="E64" s="8"/>
      <c r="F64" s="8"/>
      <c r="G64" s="8"/>
      <c r="H64" s="8"/>
      <c r="I64" s="26"/>
      <c r="J64" s="30"/>
      <c r="K64" s="30"/>
      <c r="L64" s="8"/>
    </row>
    <row r="65" spans="1:12" x14ac:dyDescent="0.2">
      <c r="A65" s="8"/>
      <c r="B65" s="8"/>
      <c r="C65" s="8"/>
      <c r="D65" s="8"/>
      <c r="E65" s="8"/>
      <c r="F65" s="8"/>
      <c r="G65" s="8"/>
      <c r="H65" s="8"/>
      <c r="I65" s="26"/>
      <c r="J65" s="30"/>
      <c r="K65" s="30"/>
      <c r="L65" s="8"/>
    </row>
    <row r="66" spans="1:12" x14ac:dyDescent="0.2">
      <c r="A66" s="8"/>
      <c r="B66" s="8"/>
      <c r="C66" s="8"/>
      <c r="D66" s="8"/>
      <c r="E66" s="8"/>
      <c r="F66" s="8"/>
      <c r="G66" s="8"/>
      <c r="H66" s="8"/>
      <c r="I66" s="26"/>
      <c r="J66" s="30"/>
      <c r="K66" s="30"/>
      <c r="L66" s="8"/>
    </row>
    <row r="67" spans="1:12" x14ac:dyDescent="0.2">
      <c r="A67" s="8"/>
      <c r="B67" s="8"/>
      <c r="C67" s="8"/>
      <c r="D67" s="8"/>
      <c r="E67" s="8"/>
      <c r="F67" s="8"/>
      <c r="G67" s="8"/>
      <c r="H67" s="8"/>
      <c r="I67" s="26"/>
      <c r="J67" s="30"/>
      <c r="K67" s="30"/>
      <c r="L67" s="8"/>
    </row>
    <row r="68" spans="1:12" x14ac:dyDescent="0.2">
      <c r="A68" s="8"/>
      <c r="B68" s="8"/>
      <c r="C68" s="8"/>
      <c r="D68" s="8"/>
      <c r="E68" s="8"/>
      <c r="F68" s="8"/>
      <c r="G68" s="8"/>
      <c r="H68" s="8"/>
      <c r="I68" s="26"/>
      <c r="J68" s="30"/>
      <c r="K68" s="30"/>
      <c r="L68" s="8"/>
    </row>
    <row r="69" spans="1:12" x14ac:dyDescent="0.2">
      <c r="A69" s="8"/>
      <c r="B69" s="8"/>
      <c r="C69" s="8"/>
      <c r="D69" s="8"/>
      <c r="E69" s="8"/>
      <c r="F69" s="8"/>
      <c r="G69" s="8"/>
      <c r="H69" s="8"/>
      <c r="I69" s="26"/>
      <c r="J69" s="30"/>
      <c r="K69" s="30"/>
      <c r="L69" s="8"/>
    </row>
    <row r="70" spans="1:12" x14ac:dyDescent="0.2">
      <c r="A70" s="8"/>
      <c r="B70" s="8"/>
      <c r="C70" s="8"/>
      <c r="D70" s="8"/>
      <c r="E70" s="8"/>
      <c r="F70" s="8"/>
      <c r="G70" s="8"/>
      <c r="H70" s="8"/>
      <c r="I70" s="26"/>
      <c r="J70" s="30"/>
      <c r="K70" s="30"/>
      <c r="L70" s="8"/>
    </row>
    <row r="71" spans="1:12" x14ac:dyDescent="0.2">
      <c r="A71" s="8"/>
      <c r="B71" s="8"/>
      <c r="C71" s="8"/>
      <c r="D71" s="8"/>
      <c r="E71" s="8"/>
      <c r="F71" s="8"/>
      <c r="G71" s="8"/>
      <c r="H71" s="8"/>
      <c r="I71" s="26"/>
      <c r="J71" s="30"/>
      <c r="K71" s="30"/>
      <c r="L71" s="8"/>
    </row>
    <row r="72" spans="1:12" x14ac:dyDescent="0.2">
      <c r="A72" s="8"/>
      <c r="B72" s="8"/>
      <c r="C72" s="8"/>
      <c r="D72" s="8"/>
      <c r="E72" s="8"/>
      <c r="F72" s="8"/>
      <c r="G72" s="8"/>
      <c r="H72" s="8"/>
      <c r="I72" s="26"/>
      <c r="J72" s="30"/>
      <c r="K72" s="30"/>
      <c r="L72" s="8"/>
    </row>
    <row r="73" spans="1:12" x14ac:dyDescent="0.2">
      <c r="A73" s="8"/>
      <c r="B73" s="8"/>
      <c r="C73" s="8"/>
      <c r="D73" s="8"/>
      <c r="E73" s="8"/>
      <c r="F73" s="8"/>
      <c r="G73" s="8"/>
      <c r="H73" s="8"/>
      <c r="I73" s="26"/>
      <c r="J73" s="30"/>
      <c r="K73" s="30"/>
      <c r="L73" s="8"/>
    </row>
    <row r="74" spans="1:12" x14ac:dyDescent="0.2">
      <c r="A74" s="8"/>
      <c r="B74" s="8"/>
      <c r="C74" s="8"/>
      <c r="D74" s="8"/>
      <c r="E74" s="8"/>
      <c r="F74" s="8"/>
      <c r="G74" s="8"/>
      <c r="H74" s="8"/>
      <c r="I74" s="26"/>
      <c r="J74" s="30"/>
      <c r="K74" s="30"/>
      <c r="L74" s="8"/>
    </row>
    <row r="75" spans="1:12" x14ac:dyDescent="0.2">
      <c r="A75" s="8"/>
      <c r="B75" s="8"/>
      <c r="C75" s="8"/>
      <c r="D75" s="8"/>
      <c r="E75" s="8"/>
      <c r="F75" s="8"/>
      <c r="G75" s="8"/>
      <c r="H75" s="8"/>
      <c r="I75" s="26"/>
      <c r="J75" s="30"/>
      <c r="K75" s="30"/>
      <c r="L75" s="8"/>
    </row>
    <row r="76" spans="1:12" x14ac:dyDescent="0.2">
      <c r="A76" s="8"/>
      <c r="B76" s="8"/>
      <c r="C76" s="8"/>
      <c r="D76" s="8"/>
      <c r="E76" s="8"/>
      <c r="F76" s="8"/>
      <c r="G76" s="8"/>
      <c r="H76" s="8"/>
      <c r="I76" s="26"/>
      <c r="J76" s="30"/>
      <c r="K76" s="30"/>
      <c r="L76" s="8"/>
    </row>
    <row r="77" spans="1:12" x14ac:dyDescent="0.2">
      <c r="A77" s="8"/>
      <c r="B77" s="8"/>
      <c r="C77" s="8"/>
      <c r="D77" s="8"/>
      <c r="E77" s="8"/>
      <c r="F77" s="8"/>
      <c r="G77" s="8"/>
      <c r="H77" s="8"/>
      <c r="I77" s="26"/>
      <c r="J77" s="30"/>
      <c r="K77" s="30"/>
      <c r="L77" s="8"/>
    </row>
    <row r="78" spans="1:12" x14ac:dyDescent="0.2">
      <c r="A78" s="8"/>
      <c r="B78" s="8"/>
      <c r="C78" s="8"/>
      <c r="D78" s="8"/>
      <c r="E78" s="8"/>
      <c r="F78" s="8"/>
      <c r="G78" s="8"/>
      <c r="H78" s="8"/>
      <c r="I78" s="26"/>
      <c r="J78" s="30"/>
      <c r="K78" s="30"/>
      <c r="L78" s="8"/>
    </row>
    <row r="79" spans="1:12" x14ac:dyDescent="0.2">
      <c r="A79" s="8"/>
      <c r="B79" s="8"/>
      <c r="C79" s="8"/>
      <c r="D79" s="8"/>
      <c r="E79" s="8"/>
      <c r="F79" s="8"/>
      <c r="G79" s="8"/>
      <c r="H79" s="8"/>
      <c r="I79" s="26"/>
      <c r="J79" s="30"/>
      <c r="K79" s="30"/>
      <c r="L79" s="8"/>
    </row>
    <row r="80" spans="1:12" x14ac:dyDescent="0.2">
      <c r="A80" s="8"/>
      <c r="B80" s="8"/>
      <c r="C80" s="8"/>
      <c r="D80" s="8"/>
      <c r="E80" s="8"/>
      <c r="F80" s="8"/>
      <c r="G80" s="8"/>
      <c r="H80" s="8"/>
      <c r="I80" s="26"/>
      <c r="J80" s="30"/>
      <c r="K80" s="30"/>
      <c r="L80" s="8"/>
    </row>
    <row r="81" spans="1:12" x14ac:dyDescent="0.2">
      <c r="A81" s="8"/>
      <c r="B81" s="8"/>
      <c r="C81" s="8"/>
      <c r="D81" s="8"/>
      <c r="E81" s="8"/>
      <c r="F81" s="8"/>
      <c r="G81" s="8"/>
      <c r="H81" s="8"/>
      <c r="I81" s="26"/>
      <c r="J81" s="30"/>
      <c r="K81" s="30"/>
      <c r="L81" s="8"/>
    </row>
    <row r="82" spans="1:12" x14ac:dyDescent="0.2">
      <c r="A82" s="8"/>
      <c r="B82" s="8"/>
      <c r="C82" s="8"/>
      <c r="D82" s="8"/>
      <c r="E82" s="8"/>
      <c r="F82" s="8"/>
      <c r="G82" s="8"/>
      <c r="H82" s="8"/>
      <c r="I82" s="26"/>
      <c r="J82" s="30"/>
      <c r="K82" s="30"/>
      <c r="L82" s="8"/>
    </row>
    <row r="83" spans="1:12" x14ac:dyDescent="0.2">
      <c r="A83" s="8"/>
      <c r="B83" s="8"/>
      <c r="C83" s="8"/>
      <c r="D83" s="8"/>
      <c r="E83" s="8"/>
      <c r="F83" s="8"/>
      <c r="G83" s="8"/>
      <c r="H83" s="8"/>
      <c r="I83" s="26"/>
      <c r="J83" s="30"/>
      <c r="K83" s="30"/>
      <c r="L83" s="8"/>
    </row>
    <row r="84" spans="1:12" x14ac:dyDescent="0.2">
      <c r="A84" s="8"/>
      <c r="B84" s="8"/>
      <c r="C84" s="8"/>
      <c r="D84" s="8"/>
      <c r="E84" s="8"/>
      <c r="F84" s="8"/>
      <c r="G84" s="8"/>
      <c r="H84" s="8"/>
      <c r="I84" s="26"/>
      <c r="J84" s="30"/>
      <c r="K84" s="30"/>
      <c r="L84" s="8"/>
    </row>
    <row r="85" spans="1:12" x14ac:dyDescent="0.2">
      <c r="A85" s="8"/>
      <c r="B85" s="8"/>
      <c r="C85" s="8"/>
      <c r="D85" s="8"/>
      <c r="E85" s="8"/>
      <c r="F85" s="8"/>
      <c r="G85" s="8"/>
      <c r="H85" s="8"/>
      <c r="I85" s="26"/>
      <c r="J85" s="30"/>
      <c r="K85" s="30"/>
      <c r="L85" s="8"/>
    </row>
    <row r="86" spans="1:12" x14ac:dyDescent="0.2">
      <c r="A86" s="8"/>
      <c r="B86" s="8"/>
      <c r="C86" s="8"/>
      <c r="D86" s="8"/>
      <c r="E86" s="8"/>
      <c r="F86" s="8"/>
      <c r="G86" s="8"/>
      <c r="H86" s="8"/>
      <c r="I86" s="26"/>
      <c r="J86" s="30"/>
      <c r="K86" s="30"/>
      <c r="L86" s="8"/>
    </row>
    <row r="87" spans="1:12" x14ac:dyDescent="0.2">
      <c r="A87" s="8"/>
      <c r="B87" s="8"/>
      <c r="C87" s="8"/>
      <c r="D87" s="8"/>
      <c r="E87" s="8"/>
      <c r="F87" s="8"/>
      <c r="G87" s="8"/>
      <c r="H87" s="8"/>
      <c r="I87" s="26"/>
      <c r="J87" s="30"/>
      <c r="K87" s="30"/>
      <c r="L87" s="8"/>
    </row>
    <row r="88" spans="1:12" x14ac:dyDescent="0.2">
      <c r="A88" s="8"/>
      <c r="B88" s="8"/>
      <c r="C88" s="8"/>
      <c r="D88" s="8"/>
      <c r="E88" s="8"/>
      <c r="F88" s="8"/>
      <c r="G88" s="8"/>
      <c r="H88" s="8"/>
      <c r="I88" s="26"/>
      <c r="J88" s="30"/>
      <c r="K88" s="30"/>
      <c r="L88" s="8"/>
    </row>
    <row r="89" spans="1:12" x14ac:dyDescent="0.2">
      <c r="A89" s="8"/>
      <c r="B89" s="8"/>
      <c r="C89" s="8"/>
      <c r="D89" s="8"/>
      <c r="E89" s="8"/>
      <c r="F89" s="8"/>
      <c r="G89" s="8"/>
      <c r="H89" s="8"/>
      <c r="I89" s="26"/>
      <c r="J89" s="30"/>
      <c r="K89" s="30"/>
      <c r="L89" s="8"/>
    </row>
    <row r="90" spans="1:12" x14ac:dyDescent="0.2">
      <c r="A90" s="8"/>
      <c r="B90" s="8"/>
      <c r="C90" s="8"/>
      <c r="D90" s="8"/>
      <c r="E90" s="8"/>
      <c r="F90" s="8"/>
      <c r="G90" s="8"/>
      <c r="H90" s="8"/>
      <c r="I90" s="26"/>
      <c r="J90" s="30"/>
      <c r="K90" s="30"/>
      <c r="L90" s="8"/>
    </row>
    <row r="91" spans="1:12" x14ac:dyDescent="0.2">
      <c r="A91" s="8"/>
      <c r="B91" s="8"/>
      <c r="C91" s="8"/>
      <c r="D91" s="8"/>
      <c r="E91" s="8"/>
      <c r="F91" s="8"/>
      <c r="G91" s="8"/>
      <c r="H91" s="8"/>
      <c r="I91" s="26"/>
      <c r="J91" s="30"/>
      <c r="K91" s="30"/>
      <c r="L91" s="8"/>
    </row>
    <row r="92" spans="1:12" x14ac:dyDescent="0.2">
      <c r="A92" s="8"/>
      <c r="B92" s="8"/>
      <c r="C92" s="8"/>
      <c r="D92" s="8"/>
      <c r="E92" s="8"/>
      <c r="F92" s="8"/>
      <c r="G92" s="8"/>
      <c r="H92" s="8"/>
      <c r="I92" s="26"/>
      <c r="J92" s="30"/>
      <c r="K92" s="30"/>
      <c r="L92" s="8"/>
    </row>
    <row r="93" spans="1:12" x14ac:dyDescent="0.2">
      <c r="A93" s="8"/>
      <c r="B93" s="8"/>
      <c r="C93" s="8"/>
      <c r="D93" s="8"/>
      <c r="E93" s="8"/>
      <c r="F93" s="8"/>
      <c r="G93" s="8"/>
      <c r="H93" s="8"/>
      <c r="I93" s="26"/>
      <c r="J93" s="30"/>
      <c r="K93" s="30"/>
      <c r="L93" s="8"/>
    </row>
    <row r="94" spans="1:12" x14ac:dyDescent="0.2">
      <c r="A94" s="8"/>
      <c r="B94" s="8"/>
      <c r="C94" s="8"/>
      <c r="D94" s="8"/>
      <c r="E94" s="8"/>
      <c r="F94" s="8"/>
      <c r="G94" s="8"/>
      <c r="H94" s="8"/>
      <c r="I94" s="26"/>
      <c r="J94" s="30"/>
      <c r="K94" s="30"/>
      <c r="L94" s="8"/>
    </row>
    <row r="95" spans="1:12" x14ac:dyDescent="0.2">
      <c r="A95" s="8"/>
      <c r="B95" s="8"/>
      <c r="C95" s="8"/>
      <c r="D95" s="8"/>
      <c r="E95" s="8"/>
      <c r="F95" s="8"/>
      <c r="G95" s="8"/>
      <c r="H95" s="8"/>
      <c r="I95" s="26"/>
      <c r="J95" s="30"/>
      <c r="K95" s="30"/>
      <c r="L95" s="8"/>
    </row>
    <row r="96" spans="1:12" x14ac:dyDescent="0.2">
      <c r="A96" s="8"/>
      <c r="B96" s="8"/>
      <c r="C96" s="8"/>
      <c r="D96" s="8"/>
      <c r="E96" s="8"/>
      <c r="F96" s="8"/>
      <c r="G96" s="8"/>
      <c r="H96" s="8"/>
      <c r="I96" s="26"/>
      <c r="J96" s="30"/>
      <c r="K96" s="30"/>
      <c r="L96" s="8"/>
    </row>
    <row r="97" spans="1:12" x14ac:dyDescent="0.2">
      <c r="A97" s="8"/>
      <c r="B97" s="8"/>
      <c r="C97" s="8"/>
      <c r="D97" s="8"/>
      <c r="E97" s="8"/>
      <c r="F97" s="8"/>
      <c r="G97" s="8"/>
      <c r="H97" s="8"/>
      <c r="I97" s="26"/>
      <c r="J97" s="30"/>
      <c r="K97" s="30"/>
      <c r="L97" s="8"/>
    </row>
    <row r="98" spans="1:12" x14ac:dyDescent="0.2">
      <c r="A98" s="8"/>
      <c r="B98" s="8"/>
      <c r="C98" s="8"/>
      <c r="D98" s="8"/>
      <c r="E98" s="8"/>
      <c r="F98" s="8"/>
      <c r="G98" s="8"/>
      <c r="H98" s="8"/>
      <c r="I98" s="26"/>
      <c r="J98" s="30"/>
      <c r="K98" s="30"/>
      <c r="L98" s="8"/>
    </row>
    <row r="99" spans="1:12" x14ac:dyDescent="0.2">
      <c r="A99" s="8"/>
      <c r="B99" s="8"/>
      <c r="C99" s="8"/>
      <c r="D99" s="8"/>
      <c r="E99" s="8"/>
      <c r="F99" s="8"/>
      <c r="G99" s="8"/>
      <c r="H99" s="8"/>
      <c r="I99" s="26"/>
      <c r="J99" s="30"/>
      <c r="K99" s="30"/>
      <c r="L99" s="8"/>
    </row>
    <row r="100" spans="1:12" x14ac:dyDescent="0.2">
      <c r="A100" s="8"/>
      <c r="B100" s="8"/>
      <c r="C100" s="8"/>
      <c r="D100" s="8"/>
      <c r="E100" s="8"/>
      <c r="F100" s="8"/>
      <c r="G100" s="8"/>
      <c r="H100" s="8"/>
      <c r="I100" s="26"/>
      <c r="J100" s="30"/>
      <c r="K100" s="30"/>
      <c r="L100" s="8"/>
    </row>
    <row r="101" spans="1:12" x14ac:dyDescent="0.2">
      <c r="A101" s="8"/>
      <c r="B101" s="8"/>
      <c r="C101" s="8"/>
      <c r="D101" s="8"/>
      <c r="E101" s="8"/>
      <c r="F101" s="8"/>
      <c r="G101" s="8"/>
      <c r="H101" s="8"/>
      <c r="I101" s="26"/>
      <c r="J101" s="30"/>
      <c r="K101" s="30"/>
      <c r="L101" s="8"/>
    </row>
    <row r="102" spans="1:12" x14ac:dyDescent="0.2">
      <c r="A102" s="8"/>
      <c r="B102" s="8"/>
      <c r="C102" s="8"/>
      <c r="D102" s="8"/>
      <c r="E102" s="8"/>
      <c r="F102" s="8"/>
      <c r="G102" s="8"/>
      <c r="H102" s="8"/>
      <c r="I102" s="26"/>
      <c r="J102" s="30"/>
      <c r="K102" s="30"/>
      <c r="L102" s="8"/>
    </row>
    <row r="103" spans="1:12" x14ac:dyDescent="0.2">
      <c r="A103" s="8"/>
      <c r="B103" s="8"/>
      <c r="C103" s="8"/>
      <c r="D103" s="8"/>
      <c r="E103" s="8"/>
      <c r="F103" s="8"/>
      <c r="G103" s="8"/>
      <c r="H103" s="8"/>
      <c r="I103" s="26"/>
      <c r="J103" s="30"/>
      <c r="K103" s="30"/>
      <c r="L103" s="8"/>
    </row>
    <row r="104" spans="1:12" x14ac:dyDescent="0.2">
      <c r="A104" s="8"/>
      <c r="B104" s="8"/>
      <c r="C104" s="8"/>
      <c r="D104" s="8"/>
      <c r="E104" s="8"/>
      <c r="F104" s="8"/>
      <c r="G104" s="8"/>
      <c r="H104" s="8"/>
      <c r="I104" s="26"/>
      <c r="J104" s="30"/>
      <c r="K104" s="30"/>
      <c r="L104" s="8"/>
    </row>
    <row r="105" spans="1:12" x14ac:dyDescent="0.2">
      <c r="A105" s="8"/>
      <c r="B105" s="8"/>
      <c r="C105" s="8"/>
      <c r="D105" s="8"/>
      <c r="E105" s="8"/>
      <c r="F105" s="8"/>
      <c r="G105" s="8"/>
      <c r="H105" s="8"/>
      <c r="I105" s="26"/>
      <c r="J105" s="30"/>
      <c r="K105" s="30"/>
      <c r="L105" s="8"/>
    </row>
    <row r="106" spans="1:12" x14ac:dyDescent="0.2">
      <c r="A106" s="8"/>
      <c r="B106" s="8"/>
      <c r="C106" s="8"/>
      <c r="D106" s="8"/>
      <c r="E106" s="8"/>
      <c r="F106" s="8"/>
      <c r="G106" s="8"/>
      <c r="H106" s="8"/>
      <c r="I106" s="26"/>
      <c r="J106" s="30"/>
      <c r="K106" s="30"/>
      <c r="L106" s="8"/>
    </row>
    <row r="107" spans="1:12" x14ac:dyDescent="0.2">
      <c r="A107" s="8"/>
      <c r="B107" s="8"/>
      <c r="C107" s="8"/>
      <c r="D107" s="8"/>
      <c r="E107" s="8"/>
      <c r="F107" s="8"/>
      <c r="G107" s="8"/>
      <c r="H107" s="8"/>
      <c r="I107" s="26"/>
      <c r="J107" s="30"/>
      <c r="K107" s="30"/>
      <c r="L107" s="8"/>
    </row>
    <row r="108" spans="1:12" x14ac:dyDescent="0.2">
      <c r="A108" s="8"/>
      <c r="B108" s="8"/>
      <c r="C108" s="8"/>
      <c r="D108" s="8"/>
      <c r="E108" s="8"/>
      <c r="F108" s="8"/>
      <c r="G108" s="8"/>
      <c r="H108" s="8"/>
      <c r="I108" s="26"/>
      <c r="J108" s="30"/>
      <c r="K108" s="30"/>
      <c r="L108" s="8"/>
    </row>
    <row r="109" spans="1:12" x14ac:dyDescent="0.2">
      <c r="A109" s="8"/>
      <c r="B109" s="8"/>
      <c r="C109" s="8"/>
      <c r="D109" s="8"/>
      <c r="E109" s="8"/>
      <c r="F109" s="8"/>
      <c r="G109" s="8"/>
      <c r="H109" s="8"/>
      <c r="I109" s="26"/>
      <c r="J109" s="30"/>
      <c r="K109" s="30"/>
      <c r="L109" s="8"/>
    </row>
    <row r="110" spans="1:12" x14ac:dyDescent="0.2">
      <c r="A110" s="8"/>
      <c r="B110" s="8"/>
      <c r="C110" s="8"/>
      <c r="D110" s="8"/>
      <c r="E110" s="8"/>
      <c r="F110" s="8"/>
      <c r="G110" s="8"/>
      <c r="H110" s="8"/>
      <c r="I110" s="26"/>
      <c r="J110" s="30"/>
      <c r="K110" s="30"/>
      <c r="L110" s="8"/>
    </row>
    <row r="111" spans="1:12" x14ac:dyDescent="0.2">
      <c r="A111" s="8"/>
      <c r="B111" s="8"/>
      <c r="C111" s="8"/>
      <c r="D111" s="8"/>
      <c r="E111" s="8"/>
      <c r="F111" s="8"/>
      <c r="G111" s="8"/>
      <c r="H111" s="8"/>
      <c r="I111" s="26"/>
      <c r="J111" s="30"/>
      <c r="K111" s="30"/>
      <c r="L111" s="8"/>
    </row>
    <row r="112" spans="1:12" x14ac:dyDescent="0.2">
      <c r="A112" s="8"/>
      <c r="B112" s="8"/>
      <c r="C112" s="8"/>
      <c r="D112" s="8"/>
      <c r="E112" s="8"/>
      <c r="F112" s="8"/>
      <c r="G112" s="8"/>
      <c r="H112" s="8"/>
      <c r="I112" s="26"/>
      <c r="J112" s="30"/>
      <c r="K112" s="30"/>
      <c r="L112" s="8"/>
    </row>
    <row r="113" spans="1:12" x14ac:dyDescent="0.2">
      <c r="A113" s="8"/>
      <c r="B113" s="8"/>
      <c r="C113" s="8"/>
      <c r="D113" s="8"/>
      <c r="E113" s="8"/>
      <c r="F113" s="8"/>
      <c r="G113" s="8"/>
      <c r="H113" s="8"/>
      <c r="I113" s="26"/>
      <c r="J113" s="30"/>
      <c r="K113" s="30"/>
      <c r="L113" s="8"/>
    </row>
    <row r="114" spans="1:12" x14ac:dyDescent="0.2">
      <c r="A114" s="8"/>
      <c r="B114" s="8"/>
      <c r="C114" s="8"/>
      <c r="D114" s="8"/>
      <c r="E114" s="8"/>
      <c r="F114" s="8"/>
      <c r="G114" s="8"/>
      <c r="H114" s="8"/>
      <c r="I114" s="26"/>
      <c r="J114" s="30"/>
      <c r="K114" s="30"/>
      <c r="L114" s="8"/>
    </row>
    <row r="115" spans="1:12" x14ac:dyDescent="0.2">
      <c r="A115" s="8"/>
      <c r="B115" s="8"/>
      <c r="C115" s="8"/>
      <c r="D115" s="8"/>
      <c r="E115" s="8"/>
      <c r="F115" s="8"/>
      <c r="G115" s="8"/>
      <c r="H115" s="8"/>
      <c r="I115" s="26"/>
      <c r="J115" s="30"/>
      <c r="K115" s="30"/>
      <c r="L115" s="8"/>
    </row>
    <row r="116" spans="1:12" x14ac:dyDescent="0.2">
      <c r="A116" s="8"/>
      <c r="B116" s="8"/>
      <c r="C116" s="8"/>
      <c r="D116" s="8"/>
      <c r="E116" s="8"/>
      <c r="F116" s="8"/>
      <c r="G116" s="8"/>
      <c r="H116" s="8"/>
      <c r="I116" s="26"/>
      <c r="J116" s="30"/>
      <c r="K116" s="30"/>
      <c r="L116" s="8"/>
    </row>
    <row r="117" spans="1:12" x14ac:dyDescent="0.2">
      <c r="A117" s="8"/>
      <c r="B117" s="8"/>
      <c r="C117" s="8"/>
      <c r="D117" s="8"/>
      <c r="E117" s="8"/>
      <c r="F117" s="8"/>
      <c r="G117" s="8"/>
      <c r="H117" s="8"/>
      <c r="I117" s="26"/>
      <c r="J117" s="30"/>
      <c r="K117" s="30"/>
      <c r="L117" s="8"/>
    </row>
    <row r="118" spans="1:12" x14ac:dyDescent="0.2">
      <c r="A118" s="8"/>
      <c r="B118" s="8"/>
      <c r="C118" s="8"/>
      <c r="D118" s="8"/>
      <c r="E118" s="8"/>
      <c r="F118" s="8"/>
      <c r="G118" s="8"/>
      <c r="H118" s="8"/>
      <c r="I118" s="26"/>
      <c r="J118" s="30"/>
      <c r="K118" s="30"/>
      <c r="L118" s="8"/>
    </row>
    <row r="119" spans="1:12" x14ac:dyDescent="0.2">
      <c r="A119" s="8"/>
      <c r="B119" s="8"/>
      <c r="C119" s="8"/>
      <c r="D119" s="8"/>
      <c r="E119" s="8"/>
      <c r="F119" s="8"/>
      <c r="G119" s="8"/>
      <c r="H119" s="8"/>
      <c r="I119" s="26"/>
      <c r="J119" s="30"/>
      <c r="K119" s="30"/>
      <c r="L119" s="8"/>
    </row>
    <row r="120" spans="1:12" x14ac:dyDescent="0.2">
      <c r="A120" s="8"/>
      <c r="B120" s="8"/>
      <c r="C120" s="8"/>
      <c r="D120" s="8"/>
      <c r="E120" s="8"/>
      <c r="F120" s="8"/>
      <c r="G120" s="8"/>
      <c r="H120" s="8"/>
      <c r="I120" s="26"/>
      <c r="J120" s="30"/>
      <c r="K120" s="30"/>
      <c r="L120" s="8"/>
    </row>
    <row r="121" spans="1:12" x14ac:dyDescent="0.2">
      <c r="A121" s="8"/>
      <c r="B121" s="8"/>
      <c r="C121" s="8"/>
      <c r="D121" s="8"/>
      <c r="E121" s="8"/>
      <c r="F121" s="8"/>
      <c r="G121" s="8"/>
      <c r="H121" s="8"/>
      <c r="I121" s="26"/>
      <c r="J121" s="30"/>
      <c r="K121" s="30"/>
      <c r="L121" s="8"/>
    </row>
    <row r="122" spans="1:12" x14ac:dyDescent="0.2">
      <c r="A122" s="8"/>
      <c r="B122" s="8"/>
      <c r="C122" s="8"/>
      <c r="D122" s="8"/>
      <c r="E122" s="8"/>
      <c r="F122" s="8"/>
      <c r="G122" s="8"/>
      <c r="H122" s="8"/>
      <c r="I122" s="26"/>
      <c r="J122" s="30"/>
      <c r="K122" s="30"/>
      <c r="L122" s="8"/>
    </row>
    <row r="123" spans="1:12" x14ac:dyDescent="0.2">
      <c r="A123" s="8"/>
      <c r="B123" s="8"/>
      <c r="C123" s="8"/>
      <c r="D123" s="8"/>
      <c r="E123" s="8"/>
      <c r="F123" s="8"/>
      <c r="G123" s="8"/>
      <c r="H123" s="8"/>
      <c r="I123" s="26"/>
      <c r="J123" s="30"/>
      <c r="K123" s="30"/>
      <c r="L123" s="8"/>
    </row>
    <row r="124" spans="1:12" x14ac:dyDescent="0.2">
      <c r="A124" s="8"/>
      <c r="B124" s="8"/>
      <c r="C124" s="8"/>
      <c r="D124" s="8"/>
      <c r="E124" s="8"/>
      <c r="F124" s="8"/>
      <c r="G124" s="8"/>
      <c r="H124" s="8"/>
      <c r="I124" s="26"/>
      <c r="J124" s="30"/>
      <c r="K124" s="30"/>
      <c r="L124" s="8"/>
    </row>
    <row r="125" spans="1:12" x14ac:dyDescent="0.2">
      <c r="A125" s="8"/>
      <c r="B125" s="8"/>
      <c r="C125" s="8"/>
      <c r="D125" s="8"/>
      <c r="E125" s="8"/>
      <c r="F125" s="8"/>
      <c r="G125" s="8"/>
      <c r="H125" s="8"/>
      <c r="I125" s="26"/>
      <c r="J125" s="30"/>
      <c r="K125" s="30"/>
      <c r="L125" s="8"/>
    </row>
    <row r="126" spans="1:12" x14ac:dyDescent="0.2">
      <c r="A126" s="8"/>
      <c r="B126" s="8"/>
      <c r="C126" s="8"/>
      <c r="D126" s="8"/>
      <c r="E126" s="8"/>
      <c r="F126" s="8"/>
      <c r="G126" s="8"/>
      <c r="H126" s="8"/>
      <c r="I126" s="26"/>
      <c r="J126" s="30"/>
      <c r="K126" s="30"/>
      <c r="L126" s="8"/>
    </row>
    <row r="127" spans="1:12" x14ac:dyDescent="0.2">
      <c r="A127" s="8"/>
      <c r="B127" s="8"/>
      <c r="C127" s="8"/>
      <c r="D127" s="8"/>
      <c r="E127" s="8"/>
      <c r="F127" s="8"/>
      <c r="G127" s="8"/>
      <c r="H127" s="8"/>
      <c r="I127" s="26"/>
      <c r="J127" s="30"/>
      <c r="K127" s="30"/>
      <c r="L127" s="8"/>
    </row>
    <row r="128" spans="1:12" x14ac:dyDescent="0.2">
      <c r="A128" s="8"/>
      <c r="B128" s="8"/>
      <c r="C128" s="8"/>
      <c r="D128" s="8"/>
      <c r="E128" s="8"/>
      <c r="F128" s="8"/>
      <c r="G128" s="8"/>
      <c r="H128" s="8"/>
      <c r="I128" s="26"/>
      <c r="J128" s="30"/>
      <c r="K128" s="30"/>
      <c r="L128" s="8"/>
    </row>
    <row r="129" spans="1:12" x14ac:dyDescent="0.2">
      <c r="A129" s="8"/>
      <c r="B129" s="8"/>
      <c r="C129" s="8"/>
      <c r="D129" s="8"/>
      <c r="E129" s="8"/>
      <c r="F129" s="8"/>
      <c r="G129" s="8"/>
      <c r="H129" s="8"/>
      <c r="I129" s="26"/>
      <c r="J129" s="30"/>
      <c r="K129" s="30"/>
      <c r="L129" s="8"/>
    </row>
    <row r="130" spans="1:12" x14ac:dyDescent="0.2">
      <c r="A130" s="8"/>
      <c r="B130" s="8"/>
      <c r="C130" s="8"/>
      <c r="D130" s="8"/>
      <c r="E130" s="8"/>
      <c r="F130" s="8"/>
      <c r="G130" s="8"/>
      <c r="H130" s="8"/>
      <c r="I130" s="26"/>
      <c r="J130" s="30"/>
      <c r="K130" s="30"/>
      <c r="L130" s="8"/>
    </row>
    <row r="131" spans="1:12" x14ac:dyDescent="0.2">
      <c r="A131" s="8"/>
      <c r="B131" s="8"/>
      <c r="C131" s="8"/>
      <c r="D131" s="8"/>
      <c r="E131" s="8"/>
      <c r="F131" s="8"/>
      <c r="G131" s="8"/>
      <c r="H131" s="8"/>
      <c r="I131" s="26"/>
      <c r="J131" s="30"/>
      <c r="K131" s="30"/>
      <c r="L131" s="8"/>
    </row>
    <row r="132" spans="1:12" x14ac:dyDescent="0.2">
      <c r="A132" s="8"/>
      <c r="B132" s="8"/>
      <c r="C132" s="8"/>
      <c r="D132" s="8"/>
      <c r="E132" s="8"/>
      <c r="F132" s="8"/>
      <c r="G132" s="8"/>
      <c r="H132" s="8"/>
      <c r="I132" s="26"/>
      <c r="J132" s="30"/>
      <c r="K132" s="30"/>
      <c r="L132" s="8"/>
    </row>
    <row r="133" spans="1:12" x14ac:dyDescent="0.2">
      <c r="A133" s="8"/>
      <c r="B133" s="8"/>
      <c r="C133" s="8"/>
      <c r="D133" s="8"/>
      <c r="E133" s="8"/>
      <c r="F133" s="8"/>
      <c r="G133" s="8"/>
      <c r="H133" s="8"/>
      <c r="I133" s="26"/>
      <c r="J133" s="30"/>
      <c r="K133" s="30"/>
      <c r="L133" s="8"/>
    </row>
    <row r="134" spans="1:12" x14ac:dyDescent="0.2">
      <c r="A134" s="8"/>
      <c r="B134" s="8"/>
      <c r="C134" s="8"/>
      <c r="D134" s="8"/>
      <c r="E134" s="8"/>
      <c r="F134" s="8"/>
      <c r="G134" s="8"/>
      <c r="H134" s="8"/>
      <c r="I134" s="26"/>
      <c r="J134" s="30"/>
      <c r="K134" s="30"/>
      <c r="L134" s="8"/>
    </row>
    <row r="135" spans="1:12" x14ac:dyDescent="0.2">
      <c r="A135" s="8"/>
      <c r="B135" s="8"/>
      <c r="C135" s="8"/>
      <c r="D135" s="8"/>
      <c r="E135" s="8"/>
      <c r="F135" s="8"/>
      <c r="G135" s="8"/>
      <c r="H135" s="8"/>
      <c r="I135" s="26"/>
      <c r="J135" s="30"/>
      <c r="K135" s="30"/>
      <c r="L135" s="8"/>
    </row>
    <row r="136" spans="1:12" x14ac:dyDescent="0.2">
      <c r="A136" s="8"/>
      <c r="B136" s="8"/>
      <c r="C136" s="8"/>
      <c r="D136" s="8"/>
      <c r="E136" s="8"/>
      <c r="F136" s="8"/>
      <c r="G136" s="8"/>
      <c r="H136" s="8"/>
      <c r="I136" s="26"/>
      <c r="J136" s="30"/>
      <c r="K136" s="30"/>
      <c r="L136" s="8"/>
    </row>
    <row r="137" spans="1:12" x14ac:dyDescent="0.2">
      <c r="A137" s="8"/>
      <c r="B137" s="8"/>
      <c r="C137" s="8"/>
      <c r="D137" s="8"/>
      <c r="E137" s="8"/>
      <c r="F137" s="8"/>
      <c r="G137" s="8"/>
      <c r="H137" s="8"/>
      <c r="I137" s="26"/>
      <c r="J137" s="30"/>
      <c r="K137" s="30"/>
      <c r="L137" s="8"/>
    </row>
    <row r="138" spans="1:12" x14ac:dyDescent="0.2">
      <c r="A138" s="8"/>
      <c r="B138" s="8"/>
      <c r="C138" s="8"/>
      <c r="D138" s="8"/>
      <c r="E138" s="8"/>
      <c r="F138" s="8"/>
      <c r="G138" s="8"/>
      <c r="H138" s="8"/>
      <c r="I138" s="26"/>
      <c r="J138" s="30"/>
      <c r="K138" s="30"/>
      <c r="L138" s="8"/>
    </row>
    <row r="139" spans="1:12" x14ac:dyDescent="0.2">
      <c r="A139" s="8"/>
      <c r="B139" s="8"/>
      <c r="C139" s="8"/>
      <c r="D139" s="8"/>
      <c r="E139" s="8"/>
      <c r="F139" s="8"/>
      <c r="G139" s="8"/>
      <c r="H139" s="8"/>
      <c r="I139" s="26"/>
      <c r="J139" s="30"/>
      <c r="K139" s="30"/>
      <c r="L139" s="8"/>
    </row>
    <row r="140" spans="1:12" x14ac:dyDescent="0.2">
      <c r="A140" s="8"/>
      <c r="B140" s="8"/>
      <c r="C140" s="8"/>
      <c r="D140" s="8"/>
      <c r="E140" s="8"/>
      <c r="F140" s="8"/>
      <c r="G140" s="8"/>
      <c r="H140" s="8"/>
      <c r="I140" s="26"/>
      <c r="J140" s="30"/>
      <c r="K140" s="30"/>
      <c r="L140" s="8"/>
    </row>
    <row r="141" spans="1:12" x14ac:dyDescent="0.2">
      <c r="A141" s="8"/>
      <c r="B141" s="8"/>
      <c r="C141" s="8"/>
      <c r="D141" s="8"/>
      <c r="E141" s="8"/>
      <c r="F141" s="8"/>
      <c r="G141" s="8"/>
      <c r="H141" s="8"/>
      <c r="I141" s="26"/>
      <c r="J141" s="30"/>
      <c r="K141" s="30"/>
      <c r="L141" s="8"/>
    </row>
    <row r="142" spans="1:12" x14ac:dyDescent="0.2">
      <c r="A142" s="8"/>
      <c r="B142" s="8"/>
      <c r="C142" s="8"/>
      <c r="D142" s="8"/>
      <c r="E142" s="8"/>
      <c r="F142" s="8"/>
      <c r="G142" s="8"/>
      <c r="H142" s="8"/>
      <c r="I142" s="26"/>
      <c r="J142" s="30"/>
      <c r="K142" s="30"/>
      <c r="L142" s="8"/>
    </row>
    <row r="143" spans="1:12" x14ac:dyDescent="0.2">
      <c r="A143" s="8"/>
      <c r="B143" s="8"/>
      <c r="C143" s="8"/>
      <c r="D143" s="8"/>
      <c r="E143" s="8"/>
      <c r="F143" s="8"/>
      <c r="G143" s="8"/>
      <c r="H143" s="8"/>
      <c r="I143" s="26"/>
      <c r="J143" s="30"/>
      <c r="K143" s="30"/>
      <c r="L143" s="8"/>
    </row>
    <row r="144" spans="1:12" x14ac:dyDescent="0.2">
      <c r="A144" s="8"/>
      <c r="B144" s="8"/>
      <c r="C144" s="8"/>
      <c r="D144" s="8"/>
      <c r="E144" s="8"/>
      <c r="F144" s="8"/>
      <c r="G144" s="8"/>
      <c r="H144" s="8"/>
      <c r="I144" s="26"/>
      <c r="J144" s="30"/>
      <c r="K144" s="30"/>
      <c r="L144" s="8"/>
    </row>
    <row r="145" spans="1:12" x14ac:dyDescent="0.2">
      <c r="A145" s="8"/>
      <c r="B145" s="8"/>
      <c r="C145" s="8"/>
      <c r="D145" s="8"/>
      <c r="E145" s="8"/>
      <c r="F145" s="8"/>
      <c r="G145" s="8"/>
      <c r="H145" s="8"/>
      <c r="I145" s="26"/>
      <c r="J145" s="30"/>
      <c r="K145" s="30"/>
      <c r="L145" s="8"/>
    </row>
    <row r="146" spans="1:12" x14ac:dyDescent="0.2">
      <c r="A146" s="8"/>
      <c r="B146" s="8"/>
      <c r="C146" s="8"/>
      <c r="D146" s="8"/>
      <c r="E146" s="8"/>
      <c r="F146" s="8"/>
      <c r="G146" s="8"/>
      <c r="H146" s="8"/>
      <c r="I146" s="26"/>
      <c r="J146" s="30"/>
      <c r="K146" s="30"/>
      <c r="L146" s="8"/>
    </row>
    <row r="147" spans="1:12" x14ac:dyDescent="0.2">
      <c r="A147" s="8"/>
      <c r="B147" s="8"/>
      <c r="C147" s="8"/>
      <c r="D147" s="8"/>
      <c r="E147" s="8"/>
      <c r="F147" s="8"/>
      <c r="G147" s="8"/>
      <c r="H147" s="8"/>
      <c r="I147" s="26"/>
      <c r="J147" s="30"/>
      <c r="K147" s="30"/>
      <c r="L147" s="8"/>
    </row>
    <row r="148" spans="1:12" x14ac:dyDescent="0.2">
      <c r="A148" s="8"/>
      <c r="B148" s="8"/>
      <c r="C148" s="8"/>
      <c r="D148" s="8"/>
      <c r="E148" s="8"/>
      <c r="F148" s="8"/>
      <c r="G148" s="8"/>
      <c r="H148" s="8"/>
      <c r="I148" s="26"/>
      <c r="J148" s="30"/>
      <c r="K148" s="30"/>
      <c r="L148" s="8"/>
    </row>
    <row r="149" spans="1:12" x14ac:dyDescent="0.2">
      <c r="A149" s="8"/>
      <c r="B149" s="8"/>
      <c r="C149" s="8"/>
      <c r="D149" s="8"/>
      <c r="E149" s="8"/>
      <c r="F149" s="8"/>
      <c r="G149" s="8"/>
      <c r="H149" s="8"/>
      <c r="I149" s="26"/>
      <c r="J149" s="30"/>
      <c r="K149" s="30"/>
      <c r="L149" s="8"/>
    </row>
    <row r="150" spans="1:12" x14ac:dyDescent="0.2">
      <c r="A150" s="8"/>
      <c r="B150" s="8"/>
      <c r="C150" s="8"/>
      <c r="D150" s="8"/>
      <c r="E150" s="8"/>
      <c r="F150" s="8"/>
      <c r="G150" s="8"/>
      <c r="H150" s="8"/>
      <c r="I150" s="26"/>
      <c r="J150" s="30"/>
      <c r="K150" s="30"/>
      <c r="L150" s="8"/>
    </row>
    <row r="151" spans="1:12" x14ac:dyDescent="0.2">
      <c r="A151" s="8"/>
      <c r="B151" s="8"/>
      <c r="C151" s="8"/>
      <c r="D151" s="8"/>
      <c r="E151" s="8"/>
      <c r="F151" s="8"/>
      <c r="G151" s="8"/>
      <c r="H151" s="8"/>
      <c r="I151" s="26"/>
      <c r="J151" s="30"/>
      <c r="K151" s="30"/>
      <c r="L151" s="8"/>
    </row>
    <row r="152" spans="1:12" x14ac:dyDescent="0.2">
      <c r="A152" s="8"/>
      <c r="B152" s="8"/>
      <c r="C152" s="8"/>
      <c r="D152" s="8"/>
      <c r="E152" s="8"/>
      <c r="F152" s="8"/>
      <c r="G152" s="8"/>
      <c r="H152" s="8"/>
      <c r="I152" s="26"/>
      <c r="J152" s="30"/>
      <c r="K152" s="30"/>
      <c r="L152" s="8"/>
    </row>
    <row r="153" spans="1:12" x14ac:dyDescent="0.2">
      <c r="A153" s="8"/>
      <c r="B153" s="8"/>
      <c r="C153" s="8"/>
      <c r="D153" s="8"/>
      <c r="E153" s="8"/>
      <c r="F153" s="8"/>
      <c r="G153" s="8"/>
      <c r="H153" s="8"/>
      <c r="I153" s="26"/>
      <c r="J153" s="30"/>
      <c r="K153" s="30"/>
      <c r="L153" s="8"/>
    </row>
    <row r="154" spans="1:12" x14ac:dyDescent="0.2">
      <c r="A154" s="8"/>
      <c r="B154" s="8"/>
      <c r="C154" s="8"/>
      <c r="D154" s="8"/>
      <c r="E154" s="8"/>
      <c r="F154" s="8"/>
      <c r="G154" s="8"/>
      <c r="H154" s="8"/>
      <c r="I154" s="26"/>
      <c r="J154" s="30"/>
      <c r="K154" s="30"/>
      <c r="L154" s="8"/>
    </row>
    <row r="155" spans="1:12" x14ac:dyDescent="0.2">
      <c r="A155" s="8"/>
      <c r="B155" s="8"/>
      <c r="C155" s="8"/>
      <c r="D155" s="8"/>
      <c r="E155" s="8"/>
      <c r="F155" s="8"/>
      <c r="G155" s="8"/>
      <c r="H155" s="8"/>
      <c r="I155" s="26"/>
      <c r="J155" s="30"/>
      <c r="K155" s="30"/>
      <c r="L155" s="8"/>
    </row>
    <row r="156" spans="1:12" x14ac:dyDescent="0.2">
      <c r="A156" s="8"/>
      <c r="B156" s="8"/>
      <c r="C156" s="8"/>
      <c r="D156" s="8"/>
      <c r="E156" s="8"/>
      <c r="F156" s="8"/>
      <c r="G156" s="8"/>
      <c r="H156" s="8"/>
      <c r="I156" s="26"/>
      <c r="J156" s="30"/>
      <c r="K156" s="30"/>
      <c r="L156" s="8"/>
    </row>
    <row r="157" spans="1:12" x14ac:dyDescent="0.2">
      <c r="A157" s="8"/>
      <c r="B157" s="8"/>
      <c r="C157" s="8"/>
      <c r="D157" s="8"/>
      <c r="E157" s="8"/>
      <c r="F157" s="8"/>
      <c r="G157" s="8"/>
      <c r="H157" s="8"/>
      <c r="I157" s="26"/>
      <c r="J157" s="30"/>
      <c r="K157" s="30"/>
      <c r="L157" s="8"/>
    </row>
    <row r="158" spans="1:12" x14ac:dyDescent="0.2">
      <c r="A158" s="8"/>
      <c r="B158" s="8"/>
      <c r="C158" s="8"/>
      <c r="D158" s="8"/>
      <c r="E158" s="8"/>
      <c r="F158" s="8"/>
      <c r="G158" s="8"/>
      <c r="H158" s="8"/>
      <c r="I158" s="26"/>
      <c r="J158" s="30"/>
      <c r="K158" s="30"/>
      <c r="L158" s="8"/>
    </row>
    <row r="159" spans="1:12" x14ac:dyDescent="0.2">
      <c r="A159" s="8"/>
      <c r="B159" s="8"/>
      <c r="C159" s="8"/>
      <c r="D159" s="8"/>
      <c r="E159" s="8"/>
      <c r="F159" s="8"/>
      <c r="G159" s="8"/>
      <c r="H159" s="8"/>
      <c r="I159" s="26"/>
      <c r="J159" s="30"/>
      <c r="K159" s="30"/>
      <c r="L159" s="8"/>
    </row>
    <row r="160" spans="1:12" x14ac:dyDescent="0.2">
      <c r="A160" s="8"/>
      <c r="B160" s="8"/>
      <c r="C160" s="8"/>
      <c r="D160" s="8"/>
      <c r="E160" s="8"/>
      <c r="F160" s="8"/>
      <c r="G160" s="8"/>
      <c r="H160" s="8"/>
      <c r="I160" s="26"/>
      <c r="J160" s="30"/>
      <c r="K160" s="30"/>
      <c r="L160" s="8"/>
    </row>
    <row r="161" spans="1:12" x14ac:dyDescent="0.2">
      <c r="A161" s="8"/>
      <c r="B161" s="8"/>
      <c r="C161" s="8"/>
      <c r="D161" s="8"/>
      <c r="E161" s="8"/>
      <c r="F161" s="8"/>
      <c r="G161" s="8"/>
      <c r="H161" s="8"/>
      <c r="I161" s="26"/>
      <c r="J161" s="30"/>
      <c r="K161" s="30"/>
      <c r="L161" s="8"/>
    </row>
    <row r="162" spans="1:12" x14ac:dyDescent="0.2">
      <c r="A162" s="8"/>
      <c r="B162" s="8"/>
      <c r="C162" s="8"/>
      <c r="D162" s="8"/>
      <c r="E162" s="8"/>
      <c r="F162" s="8"/>
      <c r="G162" s="8"/>
      <c r="H162" s="8"/>
      <c r="I162" s="26"/>
      <c r="J162" s="30"/>
      <c r="K162" s="30"/>
      <c r="L162" s="8"/>
    </row>
    <row r="163" spans="1:12" x14ac:dyDescent="0.2">
      <c r="A163" s="8"/>
      <c r="B163" s="8"/>
      <c r="C163" s="8"/>
      <c r="D163" s="8"/>
      <c r="E163" s="8"/>
      <c r="F163" s="8"/>
      <c r="G163" s="8"/>
      <c r="H163" s="8"/>
      <c r="I163" s="26"/>
      <c r="J163" s="30"/>
      <c r="K163" s="30"/>
      <c r="L163" s="8"/>
    </row>
    <row r="164" spans="1:12" x14ac:dyDescent="0.2">
      <c r="A164" s="8"/>
      <c r="B164" s="8"/>
      <c r="C164" s="8"/>
      <c r="D164" s="8"/>
      <c r="E164" s="8"/>
      <c r="F164" s="8"/>
      <c r="G164" s="8"/>
      <c r="H164" s="8"/>
      <c r="I164" s="26"/>
      <c r="J164" s="30"/>
      <c r="K164" s="30"/>
      <c r="L164" s="8"/>
    </row>
    <row r="165" spans="1:12" x14ac:dyDescent="0.2">
      <c r="A165" s="8"/>
      <c r="B165" s="8"/>
      <c r="C165" s="8"/>
      <c r="D165" s="8"/>
      <c r="E165" s="8"/>
      <c r="F165" s="8"/>
      <c r="G165" s="8"/>
      <c r="H165" s="8"/>
      <c r="I165" s="26"/>
      <c r="J165" s="30"/>
      <c r="K165" s="30"/>
      <c r="L165" s="8"/>
    </row>
    <row r="166" spans="1:12" x14ac:dyDescent="0.2">
      <c r="A166" s="8"/>
      <c r="B166" s="8"/>
      <c r="C166" s="8"/>
      <c r="D166" s="8"/>
      <c r="E166" s="8"/>
      <c r="F166" s="8"/>
      <c r="G166" s="8"/>
      <c r="H166" s="8"/>
      <c r="I166" s="26"/>
      <c r="J166" s="30"/>
      <c r="K166" s="30"/>
      <c r="L166" s="8"/>
    </row>
    <row r="167" spans="1:12" x14ac:dyDescent="0.2">
      <c r="A167" s="8"/>
      <c r="B167" s="8"/>
      <c r="C167" s="8"/>
      <c r="D167" s="8"/>
      <c r="E167" s="8"/>
      <c r="F167" s="8"/>
      <c r="G167" s="8"/>
      <c r="H167" s="8"/>
      <c r="I167" s="26"/>
      <c r="J167" s="30"/>
      <c r="K167" s="30"/>
      <c r="L167" s="8"/>
    </row>
    <row r="168" spans="1:12" x14ac:dyDescent="0.2">
      <c r="A168" s="8"/>
      <c r="B168" s="8"/>
      <c r="C168" s="8"/>
      <c r="D168" s="8"/>
      <c r="E168" s="8"/>
      <c r="F168" s="8"/>
      <c r="G168" s="8"/>
      <c r="H168" s="8"/>
      <c r="I168" s="26"/>
      <c r="J168" s="30"/>
      <c r="K168" s="30"/>
      <c r="L168" s="8"/>
    </row>
    <row r="169" spans="1:12" x14ac:dyDescent="0.2">
      <c r="A169" s="8"/>
      <c r="B169" s="8"/>
      <c r="C169" s="8"/>
      <c r="D169" s="8"/>
      <c r="E169" s="8"/>
      <c r="F169" s="8"/>
      <c r="G169" s="8"/>
      <c r="H169" s="8"/>
      <c r="I169" s="26"/>
      <c r="J169" s="30"/>
      <c r="K169" s="30"/>
      <c r="L169" s="8"/>
    </row>
    <row r="170" spans="1:12" x14ac:dyDescent="0.2">
      <c r="A170" s="8"/>
      <c r="B170" s="8"/>
      <c r="C170" s="8"/>
      <c r="D170" s="8"/>
      <c r="E170" s="8"/>
      <c r="F170" s="8"/>
      <c r="G170" s="8"/>
      <c r="H170" s="8"/>
      <c r="I170" s="26"/>
      <c r="J170" s="30"/>
      <c r="K170" s="30"/>
      <c r="L170" s="8"/>
    </row>
    <row r="171" spans="1:12" x14ac:dyDescent="0.2">
      <c r="A171" s="8"/>
      <c r="B171" s="8"/>
      <c r="C171" s="8"/>
      <c r="D171" s="8"/>
      <c r="E171" s="8"/>
      <c r="F171" s="8"/>
      <c r="G171" s="8"/>
      <c r="H171" s="8"/>
      <c r="I171" s="26"/>
      <c r="J171" s="30"/>
      <c r="K171" s="30"/>
      <c r="L171" s="8"/>
    </row>
    <row r="172" spans="1:12" x14ac:dyDescent="0.2">
      <c r="A172" s="8"/>
      <c r="B172" s="8"/>
      <c r="C172" s="8"/>
      <c r="D172" s="8"/>
      <c r="E172" s="8"/>
      <c r="F172" s="8"/>
      <c r="G172" s="8"/>
      <c r="H172" s="8"/>
      <c r="I172" s="26"/>
      <c r="J172" s="30"/>
      <c r="K172" s="30"/>
      <c r="L172" s="8"/>
    </row>
    <row r="173" spans="1:12" x14ac:dyDescent="0.2">
      <c r="A173" s="8"/>
      <c r="B173" s="8"/>
      <c r="C173" s="8"/>
      <c r="D173" s="8"/>
      <c r="E173" s="8"/>
      <c r="F173" s="8"/>
      <c r="G173" s="8"/>
      <c r="H173" s="8"/>
      <c r="I173" s="26"/>
      <c r="J173" s="30"/>
      <c r="K173" s="30"/>
      <c r="L173" s="8"/>
    </row>
    <row r="174" spans="1:12" x14ac:dyDescent="0.2">
      <c r="A174" s="8"/>
      <c r="B174" s="8"/>
      <c r="C174" s="8"/>
      <c r="D174" s="8"/>
      <c r="E174" s="8"/>
      <c r="F174" s="8"/>
      <c r="G174" s="8"/>
      <c r="H174" s="8"/>
      <c r="I174" s="26"/>
      <c r="J174" s="30"/>
      <c r="K174" s="30"/>
      <c r="L174" s="8"/>
    </row>
    <row r="175" spans="1:12" x14ac:dyDescent="0.2">
      <c r="A175" s="8"/>
      <c r="B175" s="8"/>
      <c r="C175" s="8"/>
      <c r="D175" s="8"/>
      <c r="E175" s="8"/>
      <c r="F175" s="8"/>
      <c r="G175" s="8"/>
      <c r="H175" s="8"/>
      <c r="I175" s="26"/>
      <c r="J175" s="30"/>
      <c r="K175" s="30"/>
      <c r="L175" s="8"/>
    </row>
    <row r="176" spans="1:12" x14ac:dyDescent="0.2">
      <c r="A176" s="8"/>
      <c r="B176" s="8"/>
      <c r="C176" s="8"/>
      <c r="D176" s="8"/>
      <c r="E176" s="8"/>
      <c r="F176" s="8"/>
      <c r="G176" s="8"/>
      <c r="H176" s="8"/>
      <c r="I176" s="26"/>
      <c r="J176" s="30"/>
      <c r="K176" s="30"/>
      <c r="L176" s="8"/>
    </row>
    <row r="177" spans="1:12" x14ac:dyDescent="0.2">
      <c r="A177" s="8"/>
      <c r="B177" s="8"/>
      <c r="C177" s="8"/>
      <c r="D177" s="8"/>
      <c r="E177" s="8"/>
      <c r="F177" s="8"/>
      <c r="G177" s="8"/>
      <c r="H177" s="8"/>
      <c r="I177" s="26"/>
      <c r="J177" s="30"/>
      <c r="K177" s="30"/>
      <c r="L177" s="8"/>
    </row>
    <row r="178" spans="1:12" x14ac:dyDescent="0.2">
      <c r="A178" s="8"/>
      <c r="B178" s="8"/>
      <c r="C178" s="8"/>
      <c r="D178" s="8"/>
      <c r="E178" s="8"/>
      <c r="F178" s="8"/>
      <c r="G178" s="8"/>
      <c r="H178" s="8"/>
      <c r="I178" s="26"/>
      <c r="J178" s="30"/>
      <c r="K178" s="30"/>
      <c r="L178" s="8"/>
    </row>
    <row r="179" spans="1:12" x14ac:dyDescent="0.2">
      <c r="A179" s="8"/>
      <c r="B179" s="8"/>
      <c r="C179" s="8"/>
      <c r="D179" s="8"/>
      <c r="E179" s="8"/>
      <c r="F179" s="8"/>
      <c r="G179" s="8"/>
      <c r="H179" s="8"/>
      <c r="I179" s="26"/>
      <c r="J179" s="30"/>
      <c r="K179" s="30"/>
      <c r="L179" s="8"/>
    </row>
    <row r="180" spans="1:12" x14ac:dyDescent="0.2">
      <c r="A180" s="8"/>
      <c r="B180" s="8"/>
      <c r="C180" s="8"/>
      <c r="D180" s="8"/>
      <c r="E180" s="8"/>
      <c r="F180" s="8"/>
      <c r="G180" s="8"/>
      <c r="H180" s="8"/>
      <c r="I180" s="26"/>
      <c r="J180" s="30"/>
      <c r="K180" s="30"/>
      <c r="L180" s="8"/>
    </row>
    <row r="181" spans="1:12" x14ac:dyDescent="0.2">
      <c r="A181" s="8"/>
      <c r="B181" s="8"/>
      <c r="C181" s="8"/>
      <c r="D181" s="8"/>
      <c r="E181" s="8"/>
      <c r="F181" s="8"/>
      <c r="G181" s="8"/>
      <c r="H181" s="8"/>
      <c r="I181" s="26"/>
      <c r="J181" s="30"/>
      <c r="K181" s="30"/>
      <c r="L181" s="8"/>
    </row>
    <row r="182" spans="1:12" x14ac:dyDescent="0.2">
      <c r="A182" s="8"/>
      <c r="B182" s="8"/>
      <c r="C182" s="8"/>
      <c r="D182" s="8"/>
      <c r="E182" s="8"/>
      <c r="F182" s="8"/>
      <c r="G182" s="8"/>
      <c r="H182" s="8"/>
      <c r="I182" s="26"/>
      <c r="J182" s="30"/>
      <c r="K182" s="30"/>
      <c r="L182" s="8"/>
    </row>
    <row r="183" spans="1:12" x14ac:dyDescent="0.2">
      <c r="A183" s="8"/>
      <c r="B183" s="8"/>
      <c r="C183" s="8"/>
      <c r="D183" s="8"/>
      <c r="E183" s="8"/>
      <c r="F183" s="8"/>
      <c r="G183" s="8"/>
      <c r="H183" s="8"/>
      <c r="I183" s="26"/>
      <c r="J183" s="30"/>
      <c r="K183" s="30"/>
      <c r="L183" s="8"/>
    </row>
    <row r="184" spans="1:12" x14ac:dyDescent="0.2">
      <c r="A184" s="8"/>
      <c r="B184" s="8"/>
      <c r="C184" s="8"/>
      <c r="D184" s="8"/>
      <c r="E184" s="8"/>
      <c r="F184" s="8"/>
      <c r="G184" s="8"/>
      <c r="H184" s="8"/>
      <c r="I184" s="26"/>
      <c r="J184" s="30"/>
      <c r="K184" s="30"/>
      <c r="L184" s="8"/>
    </row>
    <row r="185" spans="1:12" x14ac:dyDescent="0.2">
      <c r="A185" s="8"/>
      <c r="B185" s="8"/>
      <c r="C185" s="8"/>
      <c r="D185" s="8"/>
      <c r="E185" s="8"/>
      <c r="F185" s="8"/>
      <c r="G185" s="8"/>
      <c r="H185" s="8"/>
      <c r="I185" s="26"/>
      <c r="J185" s="30"/>
      <c r="K185" s="30"/>
      <c r="L185" s="8"/>
    </row>
    <row r="186" spans="1:12" x14ac:dyDescent="0.2">
      <c r="A186" s="8"/>
      <c r="B186" s="8"/>
      <c r="C186" s="8"/>
      <c r="D186" s="8"/>
      <c r="E186" s="8"/>
      <c r="F186" s="8"/>
      <c r="G186" s="8"/>
      <c r="H186" s="8"/>
      <c r="I186" s="26"/>
      <c r="J186" s="30"/>
      <c r="K186" s="30"/>
      <c r="L186" s="8"/>
    </row>
    <row r="187" spans="1:12" x14ac:dyDescent="0.2">
      <c r="A187" s="8"/>
      <c r="B187" s="8"/>
      <c r="C187" s="8"/>
      <c r="D187" s="8"/>
      <c r="E187" s="8"/>
      <c r="F187" s="8"/>
      <c r="G187" s="8"/>
      <c r="H187" s="8"/>
      <c r="I187" s="26"/>
      <c r="J187" s="30"/>
      <c r="K187" s="30"/>
      <c r="L187" s="8"/>
    </row>
    <row r="188" spans="1:12" x14ac:dyDescent="0.2">
      <c r="A188" s="8"/>
      <c r="B188" s="8"/>
      <c r="C188" s="8"/>
      <c r="D188" s="8"/>
      <c r="E188" s="8"/>
      <c r="F188" s="8"/>
      <c r="G188" s="8"/>
      <c r="H188" s="8"/>
      <c r="I188" s="26"/>
      <c r="J188" s="30"/>
      <c r="K188" s="30"/>
      <c r="L188" s="8"/>
    </row>
    <row r="189" spans="1:12" x14ac:dyDescent="0.2">
      <c r="A189" s="8"/>
      <c r="B189" s="8"/>
      <c r="C189" s="8"/>
      <c r="D189" s="8"/>
      <c r="E189" s="8"/>
      <c r="F189" s="8"/>
      <c r="G189" s="8"/>
      <c r="H189" s="8"/>
      <c r="I189" s="26"/>
      <c r="J189" s="30"/>
      <c r="K189" s="30"/>
      <c r="L189" s="8"/>
    </row>
    <row r="190" spans="1:12" x14ac:dyDescent="0.2">
      <c r="A190" s="8"/>
      <c r="B190" s="8"/>
      <c r="C190" s="8"/>
      <c r="D190" s="8"/>
      <c r="E190" s="8"/>
      <c r="F190" s="8"/>
      <c r="G190" s="8"/>
      <c r="H190" s="8"/>
      <c r="I190" s="26"/>
      <c r="J190" s="30"/>
      <c r="K190" s="30"/>
      <c r="L190" s="8"/>
    </row>
    <row r="191" spans="1:12" x14ac:dyDescent="0.2">
      <c r="A191" s="8"/>
      <c r="B191" s="8"/>
      <c r="C191" s="8"/>
      <c r="D191" s="8"/>
      <c r="E191" s="8"/>
      <c r="F191" s="8"/>
      <c r="G191" s="8"/>
      <c r="H191" s="8"/>
      <c r="I191" s="26"/>
      <c r="J191" s="30"/>
      <c r="K191" s="30"/>
      <c r="L191" s="8"/>
    </row>
    <row r="192" spans="1:12" x14ac:dyDescent="0.2">
      <c r="A192" s="8"/>
      <c r="B192" s="8"/>
      <c r="C192" s="8"/>
      <c r="D192" s="8"/>
      <c r="E192" s="8"/>
      <c r="F192" s="8"/>
      <c r="G192" s="8"/>
      <c r="H192" s="8"/>
      <c r="I192" s="26"/>
      <c r="J192" s="30"/>
      <c r="K192" s="30"/>
      <c r="L192" s="8"/>
    </row>
    <row r="193" spans="1:12" x14ac:dyDescent="0.2">
      <c r="A193" s="8"/>
      <c r="B193" s="8"/>
      <c r="C193" s="8"/>
      <c r="D193" s="8"/>
      <c r="E193" s="8"/>
      <c r="F193" s="8"/>
      <c r="G193" s="8"/>
      <c r="H193" s="8"/>
      <c r="I193" s="26"/>
      <c r="J193" s="30"/>
      <c r="K193" s="30"/>
      <c r="L193" s="8"/>
    </row>
    <row r="194" spans="1:12" x14ac:dyDescent="0.2">
      <c r="A194" s="8"/>
      <c r="B194" s="8"/>
      <c r="C194" s="8"/>
      <c r="D194" s="8"/>
      <c r="E194" s="8"/>
      <c r="F194" s="8"/>
      <c r="G194" s="8"/>
      <c r="H194" s="8"/>
      <c r="I194" s="26"/>
      <c r="J194" s="30"/>
      <c r="K194" s="30"/>
      <c r="L194" s="8"/>
    </row>
    <row r="195" spans="1:12" x14ac:dyDescent="0.2">
      <c r="A195" s="8"/>
      <c r="B195" s="8"/>
      <c r="C195" s="8"/>
      <c r="D195" s="8"/>
      <c r="E195" s="8"/>
      <c r="F195" s="8"/>
      <c r="G195" s="8"/>
      <c r="H195" s="8"/>
      <c r="I195" s="26"/>
      <c r="J195" s="30"/>
      <c r="K195" s="30"/>
      <c r="L195" s="8"/>
    </row>
    <row r="196" spans="1:12" x14ac:dyDescent="0.2">
      <c r="A196" s="8"/>
      <c r="B196" s="8"/>
      <c r="C196" s="8"/>
      <c r="D196" s="8"/>
      <c r="E196" s="8"/>
      <c r="F196" s="8"/>
      <c r="G196" s="8"/>
      <c r="H196" s="8"/>
      <c r="I196" s="26"/>
      <c r="J196" s="30"/>
      <c r="K196" s="30"/>
      <c r="L196" s="8"/>
    </row>
    <row r="197" spans="1:12" x14ac:dyDescent="0.2">
      <c r="A197" s="8"/>
      <c r="B197" s="8"/>
      <c r="C197" s="8"/>
      <c r="D197" s="8"/>
      <c r="E197" s="8"/>
      <c r="F197" s="8"/>
      <c r="G197" s="8"/>
      <c r="H197" s="8"/>
      <c r="I197" s="26"/>
      <c r="J197" s="30"/>
      <c r="K197" s="30"/>
      <c r="L197" s="8"/>
    </row>
    <row r="198" spans="1:12" x14ac:dyDescent="0.2">
      <c r="A198" s="8"/>
      <c r="B198" s="8"/>
      <c r="C198" s="8"/>
      <c r="D198" s="8"/>
      <c r="E198" s="8"/>
      <c r="F198" s="8"/>
      <c r="G198" s="8"/>
      <c r="H198" s="8"/>
      <c r="I198" s="26"/>
      <c r="J198" s="30"/>
      <c r="K198" s="30"/>
      <c r="L198" s="8"/>
    </row>
    <row r="199" spans="1:12" x14ac:dyDescent="0.2">
      <c r="A199" s="8"/>
      <c r="B199" s="8"/>
      <c r="C199" s="8"/>
      <c r="D199" s="8"/>
      <c r="E199" s="8"/>
      <c r="F199" s="8"/>
      <c r="G199" s="8"/>
      <c r="H199" s="8"/>
      <c r="I199" s="26"/>
      <c r="J199" s="30"/>
      <c r="K199" s="30"/>
      <c r="L199" s="8"/>
    </row>
    <row r="200" spans="1:12" x14ac:dyDescent="0.2">
      <c r="A200" s="8"/>
      <c r="B200" s="8"/>
      <c r="C200" s="8"/>
      <c r="D200" s="8"/>
      <c r="E200" s="8"/>
      <c r="F200" s="8"/>
      <c r="G200" s="8"/>
      <c r="H200" s="8"/>
      <c r="I200" s="26"/>
      <c r="J200" s="30"/>
      <c r="K200" s="30"/>
      <c r="L200" s="8"/>
    </row>
    <row r="201" spans="1:12" x14ac:dyDescent="0.2">
      <c r="A201" s="8"/>
      <c r="B201" s="8"/>
      <c r="C201" s="8"/>
      <c r="D201" s="8"/>
      <c r="E201" s="8"/>
      <c r="F201" s="8"/>
      <c r="G201" s="8"/>
      <c r="H201" s="8"/>
      <c r="I201" s="26"/>
      <c r="J201" s="30"/>
      <c r="K201" s="30"/>
      <c r="L201" s="8"/>
    </row>
    <row r="202" spans="1:12" x14ac:dyDescent="0.2">
      <c r="A202" s="8"/>
      <c r="B202" s="8"/>
      <c r="C202" s="8"/>
      <c r="D202" s="8"/>
      <c r="E202" s="8"/>
      <c r="F202" s="8"/>
      <c r="G202" s="8"/>
      <c r="H202" s="8"/>
      <c r="I202" s="26"/>
      <c r="J202" s="30"/>
      <c r="K202" s="30"/>
      <c r="L202" s="8"/>
    </row>
    <row r="203" spans="1:12" x14ac:dyDescent="0.2">
      <c r="A203" s="8"/>
      <c r="B203" s="8"/>
      <c r="C203" s="8"/>
      <c r="D203" s="8"/>
      <c r="E203" s="8"/>
      <c r="F203" s="8"/>
      <c r="G203" s="8"/>
      <c r="H203" s="8"/>
      <c r="I203" s="26"/>
      <c r="J203" s="30"/>
      <c r="K203" s="30"/>
      <c r="L203" s="8"/>
    </row>
    <row r="204" spans="1:12" x14ac:dyDescent="0.2">
      <c r="A204" s="8"/>
      <c r="B204" s="8"/>
      <c r="C204" s="8"/>
      <c r="D204" s="8"/>
      <c r="E204" s="8"/>
      <c r="F204" s="8"/>
      <c r="G204" s="8"/>
      <c r="H204" s="8"/>
      <c r="I204" s="26"/>
      <c r="J204" s="30"/>
      <c r="K204" s="30"/>
      <c r="L204" s="8"/>
    </row>
    <row r="205" spans="1:12" x14ac:dyDescent="0.2">
      <c r="A205" s="8"/>
      <c r="B205" s="8"/>
      <c r="C205" s="8"/>
      <c r="D205" s="8"/>
      <c r="E205" s="8"/>
      <c r="F205" s="8"/>
      <c r="G205" s="8"/>
      <c r="H205" s="8"/>
      <c r="I205" s="26"/>
      <c r="J205" s="30"/>
      <c r="K205" s="30"/>
      <c r="L205" s="8"/>
    </row>
    <row r="206" spans="1:12" x14ac:dyDescent="0.2">
      <c r="A206" s="8"/>
      <c r="B206" s="8"/>
      <c r="C206" s="8"/>
      <c r="D206" s="8"/>
      <c r="E206" s="8"/>
      <c r="F206" s="8"/>
      <c r="G206" s="8"/>
      <c r="H206" s="8"/>
      <c r="I206" s="26"/>
      <c r="J206" s="30"/>
      <c r="K206" s="30"/>
      <c r="L206" s="8"/>
    </row>
    <row r="207" spans="1:12" x14ac:dyDescent="0.2">
      <c r="A207" s="8"/>
      <c r="B207" s="8"/>
      <c r="C207" s="8"/>
      <c r="D207" s="8"/>
      <c r="E207" s="8"/>
      <c r="F207" s="8"/>
      <c r="G207" s="8"/>
      <c r="H207" s="8"/>
      <c r="I207" s="26"/>
      <c r="J207" s="30"/>
      <c r="K207" s="30"/>
      <c r="L207" s="8"/>
    </row>
    <row r="208" spans="1:12" x14ac:dyDescent="0.2">
      <c r="A208" s="8"/>
      <c r="B208" s="8"/>
      <c r="C208" s="8"/>
      <c r="D208" s="8"/>
      <c r="E208" s="8"/>
      <c r="F208" s="8"/>
      <c r="G208" s="8"/>
      <c r="H208" s="8"/>
      <c r="I208" s="26"/>
      <c r="J208" s="30"/>
      <c r="K208" s="30"/>
      <c r="L208" s="8"/>
    </row>
    <row r="209" spans="1:12" x14ac:dyDescent="0.2">
      <c r="A209" s="8"/>
      <c r="B209" s="8"/>
      <c r="C209" s="8"/>
      <c r="D209" s="8"/>
      <c r="E209" s="8"/>
      <c r="F209" s="8"/>
      <c r="G209" s="8"/>
      <c r="H209" s="8"/>
      <c r="I209" s="26"/>
      <c r="J209" s="30"/>
      <c r="K209" s="30"/>
      <c r="L209" s="8"/>
    </row>
    <row r="210" spans="1:12" x14ac:dyDescent="0.2">
      <c r="A210" s="8"/>
      <c r="B210" s="8"/>
      <c r="C210" s="8"/>
      <c r="D210" s="8"/>
      <c r="E210" s="8"/>
      <c r="F210" s="8"/>
      <c r="G210" s="8"/>
      <c r="H210" s="8"/>
      <c r="I210" s="26"/>
      <c r="J210" s="30"/>
      <c r="K210" s="30"/>
      <c r="L210" s="8"/>
    </row>
    <row r="211" spans="1:12" x14ac:dyDescent="0.2">
      <c r="A211" s="8"/>
      <c r="B211" s="8"/>
      <c r="C211" s="8"/>
      <c r="D211" s="8"/>
      <c r="E211" s="8"/>
      <c r="F211" s="8"/>
      <c r="G211" s="8"/>
      <c r="H211" s="8"/>
      <c r="I211" s="26"/>
      <c r="J211" s="30"/>
      <c r="K211" s="30"/>
      <c r="L211" s="8"/>
    </row>
    <row r="212" spans="1:12" x14ac:dyDescent="0.2">
      <c r="A212" s="8"/>
      <c r="B212" s="8"/>
      <c r="C212" s="8"/>
      <c r="D212" s="8"/>
      <c r="E212" s="8"/>
      <c r="F212" s="8"/>
      <c r="G212" s="8"/>
      <c r="H212" s="8"/>
      <c r="I212" s="26"/>
      <c r="J212" s="30"/>
      <c r="K212" s="30"/>
      <c r="L212" s="8"/>
    </row>
    <row r="213" spans="1:12" x14ac:dyDescent="0.2">
      <c r="A213" s="8"/>
      <c r="B213" s="8"/>
      <c r="C213" s="8"/>
      <c r="D213" s="8"/>
      <c r="E213" s="8"/>
      <c r="F213" s="8"/>
      <c r="G213" s="8"/>
      <c r="H213" s="8"/>
      <c r="I213" s="26"/>
      <c r="J213" s="30"/>
      <c r="K213" s="30"/>
      <c r="L213" s="8"/>
    </row>
    <row r="214" spans="1:12" x14ac:dyDescent="0.2">
      <c r="A214" s="8"/>
      <c r="B214" s="8"/>
      <c r="C214" s="8"/>
      <c r="D214" s="8"/>
      <c r="E214" s="8"/>
      <c r="F214" s="8"/>
      <c r="G214" s="8"/>
      <c r="H214" s="8"/>
      <c r="I214" s="26"/>
      <c r="J214" s="30"/>
      <c r="K214" s="30"/>
      <c r="L214" s="8"/>
    </row>
    <row r="215" spans="1:12" x14ac:dyDescent="0.2">
      <c r="A215" s="8"/>
      <c r="B215" s="8"/>
      <c r="C215" s="8"/>
      <c r="D215" s="8"/>
      <c r="E215" s="8"/>
      <c r="F215" s="8"/>
      <c r="G215" s="8"/>
      <c r="H215" s="8"/>
      <c r="I215" s="26"/>
      <c r="J215" s="30"/>
      <c r="K215" s="30"/>
      <c r="L215" s="8"/>
    </row>
    <row r="216" spans="1:12" x14ac:dyDescent="0.2">
      <c r="A216" s="8"/>
      <c r="B216" s="8"/>
      <c r="C216" s="8"/>
      <c r="D216" s="8"/>
      <c r="E216" s="8"/>
      <c r="F216" s="8"/>
      <c r="G216" s="8"/>
      <c r="H216" s="8"/>
      <c r="I216" s="26"/>
      <c r="J216" s="30"/>
      <c r="K216" s="30"/>
      <c r="L216" s="8"/>
    </row>
    <row r="217" spans="1:12" x14ac:dyDescent="0.2">
      <c r="A217" s="8"/>
      <c r="B217" s="8"/>
      <c r="C217" s="8"/>
      <c r="D217" s="8"/>
      <c r="E217" s="8"/>
      <c r="F217" s="8"/>
      <c r="G217" s="8"/>
      <c r="H217" s="8"/>
      <c r="I217" s="26"/>
      <c r="J217" s="30"/>
      <c r="K217" s="30"/>
      <c r="L217" s="8"/>
    </row>
    <row r="218" spans="1:12" x14ac:dyDescent="0.2">
      <c r="A218" s="8"/>
      <c r="B218" s="8"/>
      <c r="C218" s="8"/>
      <c r="D218" s="8"/>
      <c r="E218" s="8"/>
      <c r="F218" s="8"/>
      <c r="G218" s="8"/>
      <c r="H218" s="8"/>
      <c r="I218" s="26"/>
      <c r="J218" s="30"/>
      <c r="K218" s="30"/>
      <c r="L218" s="8"/>
    </row>
    <row r="219" spans="1:12" x14ac:dyDescent="0.2">
      <c r="A219" s="8"/>
      <c r="B219" s="8"/>
      <c r="C219" s="8"/>
      <c r="D219" s="8"/>
      <c r="E219" s="8"/>
      <c r="F219" s="8"/>
      <c r="G219" s="8"/>
      <c r="H219" s="8"/>
      <c r="I219" s="26"/>
      <c r="J219" s="30"/>
      <c r="K219" s="30"/>
      <c r="L219" s="8"/>
    </row>
    <row r="220" spans="1:12" x14ac:dyDescent="0.2">
      <c r="A220" s="8"/>
      <c r="B220" s="8"/>
      <c r="C220" s="8"/>
      <c r="D220" s="8"/>
      <c r="E220" s="8"/>
      <c r="F220" s="8"/>
      <c r="G220" s="8"/>
      <c r="H220" s="8"/>
      <c r="I220" s="26"/>
      <c r="J220" s="30"/>
      <c r="K220" s="30"/>
      <c r="L220" s="8"/>
    </row>
    <row r="221" spans="1:12" x14ac:dyDescent="0.2">
      <c r="A221" s="8"/>
      <c r="B221" s="8"/>
      <c r="C221" s="8"/>
      <c r="D221" s="8"/>
      <c r="E221" s="8"/>
      <c r="F221" s="8"/>
      <c r="G221" s="8"/>
      <c r="H221" s="8"/>
      <c r="I221" s="26"/>
      <c r="J221" s="30"/>
      <c r="K221" s="30"/>
      <c r="L221" s="8"/>
    </row>
    <row r="222" spans="1:12" x14ac:dyDescent="0.2">
      <c r="A222" s="8"/>
      <c r="B222" s="8"/>
      <c r="C222" s="8"/>
      <c r="D222" s="8"/>
      <c r="E222" s="8"/>
      <c r="F222" s="8"/>
      <c r="G222" s="8"/>
      <c r="H222" s="8"/>
      <c r="I222" s="26"/>
      <c r="J222" s="30"/>
      <c r="K222" s="30"/>
      <c r="L222" s="8"/>
    </row>
    <row r="223" spans="1:12" x14ac:dyDescent="0.2">
      <c r="A223" s="8"/>
      <c r="B223" s="8"/>
      <c r="C223" s="8"/>
      <c r="D223" s="8"/>
      <c r="E223" s="8"/>
      <c r="F223" s="8"/>
      <c r="G223" s="8"/>
      <c r="H223" s="8"/>
      <c r="I223" s="26"/>
      <c r="J223" s="30"/>
      <c r="K223" s="30"/>
      <c r="L223" s="8"/>
    </row>
    <row r="224" spans="1:12" x14ac:dyDescent="0.2">
      <c r="A224" s="8"/>
      <c r="B224" s="8"/>
      <c r="C224" s="8"/>
      <c r="D224" s="8"/>
      <c r="E224" s="8"/>
      <c r="F224" s="8"/>
      <c r="G224" s="8"/>
      <c r="H224" s="8"/>
      <c r="I224" s="26"/>
      <c r="J224" s="30"/>
      <c r="K224" s="30"/>
      <c r="L224" s="8"/>
    </row>
    <row r="225" spans="1:12" x14ac:dyDescent="0.2">
      <c r="A225" s="8"/>
      <c r="B225" s="8"/>
      <c r="C225" s="8"/>
      <c r="D225" s="8"/>
      <c r="E225" s="8"/>
      <c r="F225" s="8"/>
      <c r="G225" s="8"/>
      <c r="H225" s="8"/>
      <c r="I225" s="26"/>
      <c r="J225" s="30"/>
      <c r="K225" s="30"/>
      <c r="L225" s="8"/>
    </row>
    <row r="226" spans="1:12" x14ac:dyDescent="0.2">
      <c r="A226" s="8"/>
      <c r="B226" s="8"/>
      <c r="C226" s="8"/>
      <c r="D226" s="8"/>
      <c r="E226" s="8"/>
      <c r="F226" s="8"/>
      <c r="G226" s="8"/>
      <c r="H226" s="8"/>
      <c r="I226" s="26"/>
      <c r="J226" s="30"/>
      <c r="K226" s="30"/>
      <c r="L226" s="8"/>
    </row>
    <row r="227" spans="1:12" x14ac:dyDescent="0.2">
      <c r="A227" s="8"/>
      <c r="B227" s="8"/>
      <c r="C227" s="8"/>
      <c r="D227" s="8"/>
      <c r="E227" s="8"/>
      <c r="F227" s="8"/>
      <c r="G227" s="8"/>
      <c r="H227" s="8"/>
      <c r="I227" s="26"/>
      <c r="J227" s="30"/>
      <c r="K227" s="30"/>
      <c r="L227" s="8"/>
    </row>
    <row r="228" spans="1:12" x14ac:dyDescent="0.2">
      <c r="A228" s="8"/>
      <c r="B228" s="8"/>
      <c r="C228" s="8"/>
      <c r="D228" s="8"/>
      <c r="E228" s="8"/>
      <c r="F228" s="8"/>
      <c r="G228" s="8"/>
      <c r="H228" s="8"/>
      <c r="I228" s="26"/>
      <c r="J228" s="30"/>
      <c r="K228" s="30"/>
      <c r="L228" s="8"/>
    </row>
    <row r="229" spans="1:12" x14ac:dyDescent="0.2">
      <c r="A229" s="8"/>
      <c r="B229" s="8"/>
      <c r="C229" s="8"/>
      <c r="D229" s="8"/>
      <c r="E229" s="8"/>
      <c r="F229" s="8"/>
      <c r="G229" s="8"/>
      <c r="H229" s="8"/>
      <c r="I229" s="26"/>
      <c r="J229" s="30"/>
      <c r="K229" s="30"/>
      <c r="L229" s="8"/>
    </row>
    <row r="230" spans="1:12" x14ac:dyDescent="0.2">
      <c r="A230" s="8"/>
      <c r="B230" s="8"/>
      <c r="C230" s="8"/>
      <c r="D230" s="8"/>
      <c r="E230" s="8"/>
      <c r="F230" s="8"/>
      <c r="G230" s="8"/>
      <c r="H230" s="8"/>
      <c r="I230" s="26"/>
      <c r="J230" s="30"/>
      <c r="K230" s="30"/>
      <c r="L230" s="8"/>
    </row>
    <row r="231" spans="1:12" x14ac:dyDescent="0.2">
      <c r="A231" s="8"/>
      <c r="B231" s="8"/>
      <c r="C231" s="8"/>
      <c r="D231" s="8"/>
      <c r="E231" s="8"/>
      <c r="F231" s="8"/>
      <c r="G231" s="8"/>
      <c r="H231" s="8"/>
      <c r="I231" s="26"/>
      <c r="J231" s="30"/>
      <c r="K231" s="30"/>
      <c r="L231" s="8"/>
    </row>
    <row r="232" spans="1:12" x14ac:dyDescent="0.2">
      <c r="A232" s="8"/>
      <c r="B232" s="8"/>
      <c r="C232" s="8"/>
      <c r="D232" s="8"/>
      <c r="E232" s="8"/>
      <c r="F232" s="8"/>
      <c r="G232" s="8"/>
      <c r="H232" s="8"/>
      <c r="I232" s="26"/>
      <c r="J232" s="30"/>
      <c r="K232" s="30"/>
      <c r="L232" s="8"/>
    </row>
    <row r="233" spans="1:12" x14ac:dyDescent="0.2">
      <c r="A233" s="8"/>
      <c r="B233" s="8"/>
      <c r="C233" s="8"/>
      <c r="D233" s="8"/>
      <c r="E233" s="8"/>
      <c r="F233" s="8"/>
      <c r="G233" s="8"/>
      <c r="H233" s="8"/>
      <c r="I233" s="26"/>
      <c r="J233" s="30"/>
      <c r="K233" s="30"/>
      <c r="L233" s="8"/>
    </row>
    <row r="234" spans="1:12" x14ac:dyDescent="0.2">
      <c r="A234" s="8"/>
      <c r="B234" s="8"/>
      <c r="C234" s="8"/>
      <c r="D234" s="8"/>
      <c r="E234" s="8"/>
      <c r="F234" s="8"/>
      <c r="G234" s="8"/>
      <c r="H234" s="8"/>
      <c r="I234" s="26"/>
      <c r="J234" s="30"/>
      <c r="K234" s="30"/>
      <c r="L234" s="8"/>
    </row>
    <row r="235" spans="1:12" x14ac:dyDescent="0.2">
      <c r="A235" s="8"/>
      <c r="B235" s="8"/>
      <c r="C235" s="8"/>
      <c r="D235" s="8"/>
      <c r="E235" s="8"/>
      <c r="F235" s="8"/>
      <c r="G235" s="8"/>
      <c r="H235" s="8"/>
      <c r="I235" s="26"/>
      <c r="J235" s="30"/>
      <c r="K235" s="30"/>
      <c r="L235" s="8"/>
    </row>
    <row r="236" spans="1:12" x14ac:dyDescent="0.2">
      <c r="A236" s="8"/>
      <c r="B236" s="8"/>
      <c r="C236" s="8"/>
      <c r="D236" s="8"/>
      <c r="E236" s="8"/>
      <c r="F236" s="8"/>
      <c r="G236" s="8"/>
      <c r="H236" s="8"/>
      <c r="I236" s="26"/>
      <c r="J236" s="30"/>
      <c r="K236" s="30"/>
      <c r="L236" s="8"/>
    </row>
    <row r="237" spans="1:12" x14ac:dyDescent="0.2">
      <c r="A237" s="8"/>
      <c r="B237" s="8"/>
      <c r="C237" s="8"/>
      <c r="D237" s="8"/>
      <c r="E237" s="8"/>
      <c r="F237" s="8"/>
      <c r="G237" s="8"/>
      <c r="H237" s="8"/>
      <c r="I237" s="26"/>
      <c r="J237" s="30"/>
      <c r="K237" s="30"/>
      <c r="L237" s="8"/>
    </row>
    <row r="238" spans="1:12" x14ac:dyDescent="0.2">
      <c r="A238" s="8"/>
      <c r="B238" s="8"/>
      <c r="C238" s="8"/>
      <c r="D238" s="8"/>
      <c r="E238" s="8"/>
      <c r="F238" s="8"/>
      <c r="G238" s="8"/>
      <c r="H238" s="8"/>
      <c r="I238" s="26"/>
      <c r="J238" s="30"/>
      <c r="K238" s="30"/>
      <c r="L238" s="8"/>
    </row>
    <row r="239" spans="1:12" x14ac:dyDescent="0.2">
      <c r="A239" s="8"/>
      <c r="B239" s="8"/>
      <c r="C239" s="8"/>
      <c r="D239" s="8"/>
      <c r="E239" s="8"/>
      <c r="F239" s="8"/>
      <c r="G239" s="8"/>
      <c r="H239" s="8"/>
      <c r="I239" s="26"/>
      <c r="J239" s="30"/>
      <c r="K239" s="30"/>
      <c r="L239" s="8"/>
    </row>
    <row r="240" spans="1:12" x14ac:dyDescent="0.2">
      <c r="A240" s="8"/>
      <c r="B240" s="8"/>
      <c r="C240" s="8"/>
      <c r="D240" s="8"/>
      <c r="E240" s="8"/>
      <c r="F240" s="8"/>
      <c r="G240" s="8"/>
      <c r="H240" s="8"/>
      <c r="I240" s="26"/>
      <c r="J240" s="30"/>
      <c r="K240" s="30"/>
      <c r="L240" s="8"/>
    </row>
    <row r="241" spans="1:12" x14ac:dyDescent="0.2">
      <c r="A241" s="8"/>
      <c r="B241" s="8"/>
      <c r="C241" s="8"/>
      <c r="D241" s="8"/>
      <c r="E241" s="8"/>
      <c r="F241" s="8"/>
      <c r="G241" s="8"/>
      <c r="H241" s="8"/>
      <c r="I241" s="26"/>
      <c r="J241" s="30"/>
      <c r="K241" s="30"/>
      <c r="L241" s="8"/>
    </row>
    <row r="242" spans="1:12" x14ac:dyDescent="0.2">
      <c r="A242" s="8"/>
      <c r="B242" s="8"/>
      <c r="C242" s="8"/>
      <c r="D242" s="8"/>
      <c r="E242" s="8"/>
      <c r="F242" s="8"/>
      <c r="G242" s="8"/>
      <c r="H242" s="8"/>
      <c r="I242" s="26"/>
      <c r="J242" s="30"/>
      <c r="K242" s="30"/>
      <c r="L242" s="8"/>
    </row>
    <row r="243" spans="1:12" x14ac:dyDescent="0.2">
      <c r="A243" s="8"/>
      <c r="B243" s="8"/>
      <c r="C243" s="8"/>
      <c r="D243" s="8"/>
      <c r="E243" s="8"/>
      <c r="F243" s="8"/>
      <c r="G243" s="8"/>
      <c r="H243" s="8"/>
      <c r="I243" s="26"/>
      <c r="J243" s="30"/>
      <c r="K243" s="30"/>
      <c r="L243" s="8"/>
    </row>
    <row r="244" spans="1:12" x14ac:dyDescent="0.2">
      <c r="A244" s="8"/>
      <c r="B244" s="8"/>
      <c r="C244" s="8"/>
      <c r="D244" s="8"/>
      <c r="E244" s="8"/>
      <c r="F244" s="8"/>
      <c r="G244" s="8"/>
      <c r="H244" s="8"/>
      <c r="I244" s="26"/>
      <c r="J244" s="30"/>
      <c r="K244" s="30"/>
      <c r="L244" s="8"/>
    </row>
    <row r="245" spans="1:12" x14ac:dyDescent="0.2">
      <c r="A245" s="8"/>
      <c r="B245" s="8"/>
      <c r="C245" s="8"/>
      <c r="D245" s="8"/>
      <c r="E245" s="8"/>
      <c r="F245" s="8"/>
      <c r="G245" s="8"/>
      <c r="H245" s="8"/>
      <c r="I245" s="26"/>
      <c r="J245" s="30"/>
      <c r="K245" s="30"/>
      <c r="L245" s="8"/>
    </row>
    <row r="246" spans="1:12" x14ac:dyDescent="0.2">
      <c r="A246" s="8"/>
      <c r="B246" s="8"/>
      <c r="C246" s="8"/>
      <c r="D246" s="8"/>
      <c r="E246" s="8"/>
      <c r="F246" s="8"/>
      <c r="G246" s="8"/>
      <c r="H246" s="8"/>
      <c r="I246" s="26"/>
      <c r="J246" s="30"/>
      <c r="K246" s="30"/>
      <c r="L246" s="8"/>
    </row>
    <row r="247" spans="1:12" x14ac:dyDescent="0.2">
      <c r="A247" s="8"/>
      <c r="B247" s="8"/>
      <c r="C247" s="8"/>
      <c r="D247" s="8"/>
      <c r="E247" s="8"/>
      <c r="F247" s="8"/>
      <c r="G247" s="8"/>
      <c r="H247" s="8"/>
      <c r="I247" s="26"/>
      <c r="J247" s="30"/>
      <c r="K247" s="30"/>
      <c r="L247" s="8"/>
    </row>
    <row r="248" spans="1:12" x14ac:dyDescent="0.2">
      <c r="A248" s="8"/>
      <c r="B248" s="8"/>
      <c r="C248" s="8"/>
      <c r="D248" s="8"/>
      <c r="E248" s="8"/>
      <c r="F248" s="8"/>
      <c r="G248" s="8"/>
      <c r="H248" s="8"/>
      <c r="I248" s="26"/>
      <c r="J248" s="30"/>
      <c r="K248" s="30"/>
      <c r="L248" s="8"/>
    </row>
    <row r="249" spans="1:12" x14ac:dyDescent="0.2">
      <c r="A249" s="8"/>
      <c r="B249" s="8"/>
      <c r="C249" s="8"/>
      <c r="D249" s="8"/>
      <c r="E249" s="8"/>
      <c r="F249" s="8"/>
      <c r="G249" s="8"/>
      <c r="H249" s="8"/>
      <c r="I249" s="26"/>
      <c r="J249" s="30"/>
      <c r="K249" s="30"/>
      <c r="L249" s="8"/>
    </row>
    <row r="250" spans="1:12" x14ac:dyDescent="0.2">
      <c r="A250" s="8"/>
      <c r="B250" s="8"/>
      <c r="C250" s="8"/>
      <c r="D250" s="8"/>
      <c r="E250" s="8"/>
      <c r="F250" s="8"/>
      <c r="G250" s="8"/>
      <c r="H250" s="8"/>
      <c r="I250" s="26"/>
      <c r="J250" s="30"/>
      <c r="K250" s="30"/>
      <c r="L250" s="8"/>
    </row>
    <row r="251" spans="1:12" x14ac:dyDescent="0.2">
      <c r="A251" s="8"/>
      <c r="B251" s="8"/>
      <c r="C251" s="8"/>
      <c r="D251" s="8"/>
      <c r="E251" s="8"/>
      <c r="F251" s="8"/>
      <c r="G251" s="8"/>
      <c r="H251" s="8"/>
      <c r="I251" s="26"/>
      <c r="J251" s="30"/>
      <c r="K251" s="30"/>
      <c r="L251" s="8"/>
    </row>
    <row r="252" spans="1:12" x14ac:dyDescent="0.2">
      <c r="A252" s="8"/>
      <c r="B252" s="8"/>
      <c r="C252" s="8"/>
      <c r="D252" s="8"/>
      <c r="E252" s="8"/>
      <c r="F252" s="8"/>
      <c r="G252" s="8"/>
      <c r="H252" s="8"/>
      <c r="I252" s="26"/>
      <c r="J252" s="30"/>
      <c r="K252" s="30"/>
      <c r="L252" s="8"/>
    </row>
    <row r="253" spans="1:12" x14ac:dyDescent="0.2">
      <c r="A253" s="8"/>
      <c r="B253" s="8"/>
      <c r="C253" s="8"/>
      <c r="D253" s="8"/>
      <c r="E253" s="8"/>
      <c r="F253" s="8"/>
      <c r="G253" s="8"/>
      <c r="H253" s="8"/>
      <c r="I253" s="26"/>
      <c r="J253" s="30"/>
      <c r="K253" s="30"/>
      <c r="L253" s="8"/>
    </row>
    <row r="254" spans="1:12" x14ac:dyDescent="0.2">
      <c r="A254" s="8"/>
      <c r="B254" s="8"/>
      <c r="C254" s="8"/>
      <c r="D254" s="8"/>
      <c r="E254" s="8"/>
      <c r="F254" s="8"/>
      <c r="G254" s="8"/>
      <c r="H254" s="8"/>
      <c r="I254" s="26"/>
      <c r="J254" s="30"/>
      <c r="K254" s="30"/>
      <c r="L254" s="8"/>
    </row>
    <row r="255" spans="1:12" x14ac:dyDescent="0.2">
      <c r="A255" s="8"/>
      <c r="B255" s="8"/>
      <c r="C255" s="8"/>
      <c r="D255" s="8"/>
      <c r="E255" s="8"/>
      <c r="F255" s="8"/>
      <c r="G255" s="8"/>
      <c r="H255" s="8"/>
      <c r="I255" s="26"/>
      <c r="J255" s="30"/>
      <c r="K255" s="30"/>
      <c r="L255" s="8"/>
    </row>
    <row r="256" spans="1:12" x14ac:dyDescent="0.2">
      <c r="A256" s="8"/>
      <c r="B256" s="8"/>
      <c r="C256" s="8"/>
      <c r="D256" s="8"/>
      <c r="E256" s="8"/>
      <c r="F256" s="8"/>
      <c r="G256" s="8"/>
      <c r="H256" s="8"/>
      <c r="I256" s="26"/>
      <c r="J256" s="30"/>
      <c r="K256" s="30"/>
      <c r="L256" s="8"/>
    </row>
    <row r="257" spans="1:12" x14ac:dyDescent="0.2">
      <c r="A257" s="8"/>
      <c r="B257" s="8"/>
      <c r="C257" s="8"/>
      <c r="D257" s="8"/>
      <c r="E257" s="8"/>
      <c r="F257" s="8"/>
      <c r="G257" s="8"/>
      <c r="H257" s="8"/>
      <c r="I257" s="26"/>
      <c r="J257" s="30"/>
      <c r="K257" s="30"/>
      <c r="L257" s="8"/>
    </row>
    <row r="258" spans="1:12" x14ac:dyDescent="0.2">
      <c r="A258" s="8"/>
      <c r="B258" s="8"/>
      <c r="C258" s="8"/>
      <c r="D258" s="8"/>
      <c r="E258" s="8"/>
      <c r="F258" s="8"/>
      <c r="G258" s="8"/>
      <c r="H258" s="8"/>
      <c r="I258" s="26"/>
      <c r="J258" s="30"/>
      <c r="K258" s="30"/>
      <c r="L258" s="8"/>
    </row>
    <row r="259" spans="1:12" x14ac:dyDescent="0.2">
      <c r="A259" s="8"/>
      <c r="B259" s="8"/>
      <c r="C259" s="8"/>
      <c r="D259" s="8"/>
      <c r="E259" s="8"/>
      <c r="F259" s="8"/>
      <c r="G259" s="8"/>
      <c r="H259" s="8"/>
      <c r="I259" s="26"/>
      <c r="J259" s="30"/>
      <c r="K259" s="30"/>
      <c r="L259" s="8"/>
    </row>
    <row r="260" spans="1:12" x14ac:dyDescent="0.2">
      <c r="A260" s="8"/>
      <c r="B260" s="8"/>
      <c r="C260" s="8"/>
      <c r="D260" s="8"/>
      <c r="E260" s="8"/>
      <c r="F260" s="8"/>
      <c r="G260" s="8"/>
      <c r="H260" s="8"/>
      <c r="I260" s="26"/>
      <c r="J260" s="30"/>
      <c r="K260" s="30"/>
      <c r="L260" s="8"/>
    </row>
    <row r="261" spans="1:12" x14ac:dyDescent="0.2">
      <c r="A261" s="8"/>
      <c r="B261" s="8"/>
      <c r="C261" s="8"/>
      <c r="D261" s="8"/>
      <c r="E261" s="8"/>
      <c r="F261" s="8"/>
      <c r="G261" s="8"/>
      <c r="H261" s="8"/>
      <c r="I261" s="26"/>
      <c r="J261" s="30"/>
      <c r="K261" s="30"/>
      <c r="L261" s="8"/>
    </row>
    <row r="262" spans="1:12" x14ac:dyDescent="0.2">
      <c r="A262" s="8"/>
      <c r="B262" s="8"/>
      <c r="C262" s="8"/>
      <c r="D262" s="8"/>
      <c r="E262" s="8"/>
      <c r="F262" s="8"/>
      <c r="G262" s="8"/>
      <c r="H262" s="8"/>
      <c r="I262" s="26"/>
      <c r="J262" s="30"/>
      <c r="K262" s="30"/>
      <c r="L262" s="8"/>
    </row>
    <row r="263" spans="1:12" x14ac:dyDescent="0.2">
      <c r="A263" s="8"/>
      <c r="B263" s="8"/>
      <c r="C263" s="8"/>
      <c r="D263" s="8"/>
      <c r="E263" s="8"/>
      <c r="F263" s="8"/>
      <c r="G263" s="8"/>
      <c r="H263" s="8"/>
      <c r="I263" s="26"/>
      <c r="J263" s="30"/>
      <c r="K263" s="30"/>
      <c r="L263" s="8"/>
    </row>
    <row r="264" spans="1:12" x14ac:dyDescent="0.2">
      <c r="A264" s="8"/>
      <c r="B264" s="8"/>
      <c r="C264" s="8"/>
      <c r="D264" s="8"/>
      <c r="E264" s="8"/>
      <c r="F264" s="8"/>
      <c r="G264" s="8"/>
      <c r="H264" s="8"/>
      <c r="I264" s="26"/>
      <c r="J264" s="30"/>
      <c r="K264" s="30"/>
      <c r="L264" s="8"/>
    </row>
    <row r="265" spans="1:12" x14ac:dyDescent="0.2">
      <c r="A265" s="8"/>
      <c r="B265" s="8"/>
      <c r="C265" s="8"/>
      <c r="D265" s="8"/>
      <c r="E265" s="8"/>
      <c r="F265" s="8"/>
      <c r="G265" s="8"/>
      <c r="H265" s="8"/>
      <c r="I265" s="26"/>
      <c r="J265" s="30"/>
      <c r="K265" s="30"/>
      <c r="L265" s="8"/>
    </row>
    <row r="266" spans="1:12" x14ac:dyDescent="0.2">
      <c r="A266" s="8"/>
      <c r="B266" s="8"/>
      <c r="C266" s="8"/>
      <c r="D266" s="8"/>
      <c r="E266" s="8"/>
      <c r="F266" s="8"/>
      <c r="G266" s="8"/>
      <c r="H266" s="8"/>
      <c r="I266" s="26"/>
      <c r="J266" s="30"/>
      <c r="K266" s="30"/>
      <c r="L266" s="8"/>
    </row>
    <row r="267" spans="1:12" x14ac:dyDescent="0.2">
      <c r="A267" s="8"/>
      <c r="B267" s="8"/>
      <c r="C267" s="8"/>
      <c r="D267" s="8"/>
      <c r="E267" s="8"/>
      <c r="F267" s="8"/>
      <c r="G267" s="8"/>
      <c r="H267" s="8"/>
      <c r="I267" s="26"/>
      <c r="J267" s="30"/>
      <c r="K267" s="30"/>
      <c r="L267" s="8"/>
    </row>
    <row r="268" spans="1:12" x14ac:dyDescent="0.2">
      <c r="A268" s="8"/>
      <c r="B268" s="8"/>
      <c r="C268" s="8"/>
      <c r="D268" s="8"/>
      <c r="E268" s="8"/>
      <c r="F268" s="8"/>
      <c r="G268" s="8"/>
      <c r="H268" s="8"/>
      <c r="I268" s="26"/>
      <c r="J268" s="30"/>
      <c r="K268" s="30"/>
      <c r="L268" s="8"/>
    </row>
    <row r="269" spans="1:12" x14ac:dyDescent="0.2">
      <c r="A269" s="8"/>
      <c r="B269" s="8"/>
      <c r="C269" s="8"/>
      <c r="D269" s="8"/>
      <c r="E269" s="8"/>
      <c r="F269" s="8"/>
      <c r="G269" s="8"/>
      <c r="H269" s="8"/>
      <c r="I269" s="26"/>
      <c r="J269" s="30"/>
      <c r="K269" s="30"/>
      <c r="L269" s="8"/>
    </row>
    <row r="270" spans="1:12" x14ac:dyDescent="0.2">
      <c r="A270" s="8"/>
      <c r="B270" s="8"/>
      <c r="C270" s="8"/>
      <c r="D270" s="8"/>
      <c r="E270" s="8"/>
      <c r="F270" s="8"/>
      <c r="G270" s="8"/>
      <c r="H270" s="8"/>
      <c r="I270" s="26"/>
      <c r="J270" s="30"/>
      <c r="K270" s="30"/>
      <c r="L270" s="8"/>
    </row>
    <row r="271" spans="1:12" x14ac:dyDescent="0.2">
      <c r="A271" s="8"/>
      <c r="B271" s="8"/>
      <c r="C271" s="8"/>
      <c r="D271" s="8"/>
      <c r="E271" s="8"/>
      <c r="F271" s="8"/>
      <c r="G271" s="8"/>
      <c r="H271" s="8"/>
      <c r="I271" s="26"/>
      <c r="J271" s="30"/>
      <c r="K271" s="30"/>
      <c r="L271" s="8"/>
    </row>
    <row r="272" spans="1:12" x14ac:dyDescent="0.2">
      <c r="A272" s="8"/>
      <c r="B272" s="8"/>
      <c r="C272" s="8"/>
      <c r="D272" s="8"/>
      <c r="E272" s="8"/>
      <c r="F272" s="8"/>
      <c r="G272" s="8"/>
      <c r="H272" s="8"/>
      <c r="I272" s="26"/>
      <c r="J272" s="30"/>
      <c r="K272" s="30"/>
      <c r="L272" s="8"/>
    </row>
    <row r="273" spans="1:12" x14ac:dyDescent="0.2">
      <c r="A273" s="8"/>
      <c r="B273" s="8"/>
      <c r="C273" s="8"/>
      <c r="D273" s="8"/>
      <c r="E273" s="8"/>
      <c r="F273" s="8"/>
      <c r="G273" s="8"/>
      <c r="H273" s="8"/>
      <c r="I273" s="26"/>
      <c r="J273" s="30"/>
      <c r="K273" s="30"/>
      <c r="L273" s="8"/>
    </row>
    <row r="274" spans="1:12" x14ac:dyDescent="0.2">
      <c r="A274" s="8"/>
      <c r="B274" s="8"/>
      <c r="C274" s="8"/>
      <c r="D274" s="8"/>
      <c r="E274" s="8"/>
      <c r="F274" s="8"/>
      <c r="G274" s="8"/>
      <c r="H274" s="8"/>
      <c r="I274" s="26"/>
      <c r="J274" s="30"/>
      <c r="K274" s="30"/>
      <c r="L274" s="8"/>
    </row>
    <row r="275" spans="1:12" x14ac:dyDescent="0.2">
      <c r="A275" s="8"/>
      <c r="B275" s="8"/>
      <c r="C275" s="8"/>
      <c r="D275" s="8"/>
      <c r="E275" s="8"/>
      <c r="F275" s="8"/>
      <c r="G275" s="8"/>
      <c r="H275" s="8"/>
      <c r="I275" s="26"/>
      <c r="J275" s="30"/>
      <c r="K275" s="30"/>
      <c r="L275" s="8"/>
    </row>
    <row r="276" spans="1:12" x14ac:dyDescent="0.2">
      <c r="A276" s="8"/>
      <c r="B276" s="8"/>
      <c r="C276" s="8"/>
      <c r="D276" s="8"/>
      <c r="E276" s="8"/>
      <c r="F276" s="8"/>
      <c r="G276" s="8"/>
      <c r="H276" s="8"/>
      <c r="I276" s="26"/>
      <c r="J276" s="30"/>
      <c r="K276" s="30"/>
      <c r="L276" s="8"/>
    </row>
    <row r="277" spans="1:12" x14ac:dyDescent="0.2">
      <c r="A277" s="8"/>
      <c r="B277" s="8"/>
      <c r="C277" s="8"/>
      <c r="D277" s="8"/>
      <c r="E277" s="8"/>
      <c r="F277" s="8"/>
      <c r="G277" s="8"/>
      <c r="H277" s="8"/>
      <c r="I277" s="26"/>
      <c r="J277" s="30"/>
      <c r="K277" s="30"/>
      <c r="L277" s="8"/>
    </row>
    <row r="278" spans="1:12" x14ac:dyDescent="0.2">
      <c r="A278" s="8"/>
      <c r="B278" s="8"/>
      <c r="C278" s="8"/>
      <c r="D278" s="8"/>
      <c r="E278" s="8"/>
      <c r="F278" s="8"/>
      <c r="G278" s="8"/>
      <c r="H278" s="8"/>
      <c r="I278" s="26"/>
      <c r="J278" s="30"/>
      <c r="K278" s="30"/>
      <c r="L278" s="8"/>
    </row>
    <row r="279" spans="1:12" x14ac:dyDescent="0.2">
      <c r="A279" s="8"/>
      <c r="B279" s="8"/>
      <c r="C279" s="8"/>
      <c r="D279" s="8"/>
      <c r="E279" s="8"/>
      <c r="F279" s="8"/>
      <c r="G279" s="8"/>
      <c r="H279" s="8"/>
      <c r="I279" s="26"/>
      <c r="J279" s="30"/>
      <c r="K279" s="30"/>
      <c r="L279" s="8"/>
    </row>
    <row r="280" spans="1:12" x14ac:dyDescent="0.2">
      <c r="A280" s="8"/>
      <c r="B280" s="8"/>
      <c r="C280" s="8"/>
      <c r="D280" s="8"/>
      <c r="E280" s="8"/>
      <c r="F280" s="8"/>
      <c r="G280" s="8"/>
      <c r="H280" s="8"/>
      <c r="I280" s="26"/>
      <c r="J280" s="30"/>
      <c r="K280" s="30"/>
      <c r="L280" s="8"/>
    </row>
    <row r="281" spans="1:12" x14ac:dyDescent="0.2">
      <c r="A281" s="8"/>
      <c r="B281" s="8"/>
      <c r="C281" s="8"/>
      <c r="D281" s="8"/>
      <c r="E281" s="8"/>
      <c r="F281" s="8"/>
      <c r="G281" s="8"/>
      <c r="H281" s="8"/>
      <c r="I281" s="26"/>
      <c r="J281" s="30"/>
      <c r="K281" s="30"/>
      <c r="L281" s="8"/>
    </row>
    <row r="282" spans="1:12" x14ac:dyDescent="0.2">
      <c r="A282" s="8"/>
      <c r="B282" s="8"/>
      <c r="C282" s="8"/>
      <c r="D282" s="8"/>
      <c r="E282" s="8"/>
      <c r="F282" s="8"/>
      <c r="G282" s="8"/>
      <c r="H282" s="8"/>
      <c r="I282" s="26"/>
      <c r="J282" s="30"/>
      <c r="K282" s="30"/>
      <c r="L282" s="8"/>
    </row>
    <row r="283" spans="1:12" x14ac:dyDescent="0.2">
      <c r="A283" s="8"/>
      <c r="B283" s="8"/>
      <c r="C283" s="8"/>
      <c r="D283" s="8"/>
      <c r="E283" s="8"/>
      <c r="F283" s="8"/>
      <c r="G283" s="8"/>
      <c r="H283" s="8"/>
      <c r="I283" s="26"/>
      <c r="J283" s="30"/>
      <c r="K283" s="30"/>
      <c r="L283" s="8"/>
    </row>
    <row r="284" spans="1:12" x14ac:dyDescent="0.2">
      <c r="A284" s="8"/>
      <c r="B284" s="8"/>
      <c r="C284" s="8"/>
      <c r="D284" s="8"/>
      <c r="E284" s="8"/>
      <c r="F284" s="8"/>
      <c r="G284" s="8"/>
      <c r="H284" s="8"/>
      <c r="I284" s="26"/>
      <c r="J284" s="30"/>
      <c r="K284" s="30"/>
      <c r="L284" s="8"/>
    </row>
    <row r="285" spans="1:12" x14ac:dyDescent="0.2">
      <c r="A285" s="8"/>
      <c r="B285" s="8"/>
      <c r="C285" s="8"/>
      <c r="D285" s="8"/>
      <c r="E285" s="8"/>
      <c r="F285" s="8"/>
      <c r="G285" s="8"/>
      <c r="H285" s="8"/>
      <c r="I285" s="26"/>
      <c r="J285" s="30"/>
      <c r="K285" s="30"/>
      <c r="L285" s="8"/>
    </row>
    <row r="286" spans="1:12" x14ac:dyDescent="0.2">
      <c r="A286" s="8"/>
      <c r="B286" s="8"/>
      <c r="C286" s="8"/>
      <c r="D286" s="8"/>
      <c r="E286" s="8"/>
      <c r="F286" s="8"/>
      <c r="G286" s="8"/>
      <c r="H286" s="8"/>
      <c r="I286" s="26"/>
      <c r="J286" s="30"/>
      <c r="K286" s="30"/>
      <c r="L286" s="8"/>
    </row>
    <row r="287" spans="1:12" x14ac:dyDescent="0.2">
      <c r="A287" s="8"/>
      <c r="B287" s="8"/>
      <c r="C287" s="8"/>
      <c r="D287" s="8"/>
      <c r="E287" s="8"/>
      <c r="F287" s="8"/>
      <c r="G287" s="8"/>
      <c r="H287" s="8"/>
      <c r="I287" s="26"/>
      <c r="J287" s="30"/>
      <c r="K287" s="30"/>
      <c r="L287" s="8"/>
    </row>
    <row r="288" spans="1:12" x14ac:dyDescent="0.2">
      <c r="A288" s="8"/>
      <c r="B288" s="8"/>
      <c r="C288" s="8"/>
      <c r="D288" s="8"/>
      <c r="E288" s="8"/>
      <c r="F288" s="8"/>
      <c r="G288" s="8"/>
      <c r="H288" s="8"/>
      <c r="I288" s="26"/>
      <c r="J288" s="30"/>
      <c r="K288" s="30"/>
      <c r="L288" s="8"/>
    </row>
    <row r="289" spans="1:12" x14ac:dyDescent="0.2">
      <c r="A289" s="8"/>
      <c r="B289" s="8"/>
      <c r="C289" s="8"/>
      <c r="D289" s="8"/>
      <c r="E289" s="8"/>
      <c r="F289" s="8"/>
      <c r="G289" s="8"/>
      <c r="H289" s="8"/>
      <c r="I289" s="26"/>
      <c r="J289" s="30"/>
      <c r="K289" s="30"/>
      <c r="L289" s="8"/>
    </row>
    <row r="290" spans="1:12" x14ac:dyDescent="0.2">
      <c r="A290" s="8"/>
      <c r="B290" s="8"/>
      <c r="C290" s="8"/>
      <c r="D290" s="8"/>
      <c r="E290" s="8"/>
      <c r="F290" s="8"/>
      <c r="G290" s="8"/>
      <c r="H290" s="8"/>
      <c r="I290" s="26"/>
      <c r="J290" s="30"/>
      <c r="K290" s="30"/>
      <c r="L290" s="8"/>
    </row>
    <row r="291" spans="1:12" x14ac:dyDescent="0.2">
      <c r="A291" s="8"/>
      <c r="B291" s="8"/>
      <c r="C291" s="8"/>
      <c r="D291" s="8"/>
      <c r="E291" s="8"/>
      <c r="F291" s="8"/>
      <c r="G291" s="8"/>
      <c r="H291" s="8"/>
      <c r="I291" s="26"/>
      <c r="J291" s="30"/>
      <c r="K291" s="30"/>
      <c r="L291" s="8"/>
    </row>
    <row r="292" spans="1:12" x14ac:dyDescent="0.2">
      <c r="A292" s="8"/>
      <c r="B292" s="8"/>
      <c r="C292" s="8"/>
      <c r="D292" s="8"/>
      <c r="E292" s="8"/>
      <c r="F292" s="8"/>
      <c r="G292" s="8"/>
      <c r="H292" s="8"/>
      <c r="I292" s="26"/>
      <c r="J292" s="30"/>
      <c r="K292" s="30"/>
      <c r="L292" s="8"/>
    </row>
    <row r="293" spans="1:12" x14ac:dyDescent="0.2">
      <c r="A293" s="8"/>
      <c r="B293" s="8"/>
      <c r="C293" s="8"/>
      <c r="D293" s="8"/>
      <c r="E293" s="8"/>
      <c r="F293" s="8"/>
      <c r="G293" s="8"/>
      <c r="H293" s="8"/>
      <c r="I293" s="26"/>
      <c r="J293" s="30"/>
      <c r="K293" s="30"/>
      <c r="L293" s="8"/>
    </row>
    <row r="294" spans="1:12" x14ac:dyDescent="0.2">
      <c r="A294" s="8"/>
      <c r="B294" s="8"/>
      <c r="C294" s="8"/>
      <c r="D294" s="8"/>
      <c r="E294" s="8"/>
      <c r="F294" s="8"/>
      <c r="G294" s="8"/>
      <c r="H294" s="8"/>
      <c r="I294" s="26"/>
      <c r="J294" s="30"/>
      <c r="K294" s="30"/>
      <c r="L294" s="8"/>
    </row>
    <row r="295" spans="1:12" x14ac:dyDescent="0.2">
      <c r="A295" s="8"/>
      <c r="B295" s="8"/>
      <c r="C295" s="8"/>
      <c r="D295" s="8"/>
      <c r="E295" s="8"/>
      <c r="F295" s="8"/>
      <c r="G295" s="8"/>
      <c r="H295" s="8"/>
      <c r="I295" s="26"/>
      <c r="J295" s="30"/>
      <c r="K295" s="30"/>
      <c r="L295" s="8"/>
    </row>
    <row r="296" spans="1:12" x14ac:dyDescent="0.2">
      <c r="A296" s="8"/>
      <c r="B296" s="8"/>
      <c r="C296" s="8"/>
      <c r="D296" s="8"/>
      <c r="E296" s="8"/>
      <c r="F296" s="8"/>
      <c r="G296" s="8"/>
      <c r="H296" s="8"/>
      <c r="I296" s="26"/>
      <c r="J296" s="30"/>
      <c r="K296" s="30"/>
      <c r="L296" s="8"/>
    </row>
    <row r="297" spans="1:12" x14ac:dyDescent="0.2">
      <c r="A297" s="8"/>
      <c r="B297" s="8"/>
      <c r="C297" s="8"/>
      <c r="D297" s="8"/>
      <c r="E297" s="8"/>
      <c r="F297" s="8"/>
      <c r="G297" s="8"/>
      <c r="H297" s="8"/>
      <c r="I297" s="26"/>
      <c r="J297" s="30"/>
      <c r="K297" s="30"/>
      <c r="L297" s="8"/>
    </row>
    <row r="298" spans="1:12" x14ac:dyDescent="0.2">
      <c r="A298" s="8"/>
      <c r="B298" s="8"/>
      <c r="C298" s="8"/>
      <c r="D298" s="8"/>
      <c r="E298" s="8"/>
      <c r="F298" s="8"/>
      <c r="G298" s="8"/>
      <c r="H298" s="8"/>
      <c r="I298" s="26"/>
      <c r="J298" s="30"/>
      <c r="K298" s="30"/>
      <c r="L298" s="8"/>
    </row>
    <row r="299" spans="1:12" x14ac:dyDescent="0.2">
      <c r="A299" s="8"/>
      <c r="B299" s="8"/>
      <c r="C299" s="8"/>
      <c r="D299" s="8"/>
      <c r="E299" s="8"/>
      <c r="F299" s="8"/>
      <c r="G299" s="8"/>
      <c r="H299" s="8"/>
      <c r="I299" s="26"/>
      <c r="J299" s="30"/>
      <c r="K299" s="30"/>
      <c r="L299" s="8"/>
    </row>
    <row r="300" spans="1:12" x14ac:dyDescent="0.2">
      <c r="A300" s="8"/>
      <c r="B300" s="8"/>
      <c r="C300" s="8"/>
      <c r="D300" s="8"/>
      <c r="E300" s="8"/>
      <c r="F300" s="8"/>
      <c r="G300" s="8"/>
      <c r="H300" s="8"/>
      <c r="I300" s="26"/>
      <c r="J300" s="30"/>
      <c r="K300" s="30"/>
      <c r="L300" s="8"/>
    </row>
    <row r="301" spans="1:12" x14ac:dyDescent="0.2">
      <c r="A301" s="8"/>
      <c r="B301" s="8"/>
      <c r="C301" s="8"/>
      <c r="D301" s="8"/>
      <c r="E301" s="8"/>
      <c r="F301" s="8"/>
      <c r="G301" s="8"/>
      <c r="H301" s="8"/>
      <c r="I301" s="26"/>
      <c r="J301" s="30"/>
      <c r="K301" s="30"/>
      <c r="L301" s="8"/>
    </row>
    <row r="302" spans="1:12" x14ac:dyDescent="0.2">
      <c r="A302" s="8"/>
      <c r="B302" s="8"/>
      <c r="C302" s="8"/>
      <c r="D302" s="8"/>
      <c r="E302" s="8"/>
      <c r="F302" s="8"/>
      <c r="G302" s="8"/>
      <c r="H302" s="8"/>
      <c r="I302" s="26"/>
      <c r="J302" s="30"/>
      <c r="K302" s="30"/>
      <c r="L302" s="8"/>
    </row>
    <row r="303" spans="1:12" x14ac:dyDescent="0.2">
      <c r="A303" s="8"/>
      <c r="B303" s="8"/>
      <c r="C303" s="8"/>
      <c r="D303" s="8"/>
      <c r="E303" s="8"/>
      <c r="F303" s="8"/>
      <c r="G303" s="8"/>
      <c r="H303" s="8"/>
      <c r="I303" s="26"/>
      <c r="J303" s="30"/>
      <c r="K303" s="30"/>
      <c r="L303" s="8"/>
    </row>
    <row r="304" spans="1:12" x14ac:dyDescent="0.2">
      <c r="A304" s="8"/>
      <c r="B304" s="8"/>
      <c r="C304" s="8"/>
      <c r="D304" s="8"/>
      <c r="E304" s="8"/>
      <c r="F304" s="8"/>
      <c r="G304" s="8"/>
      <c r="H304" s="8"/>
      <c r="I304" s="26"/>
      <c r="J304" s="30"/>
      <c r="K304" s="30"/>
      <c r="L304" s="8"/>
    </row>
    <row r="305" spans="1:12" x14ac:dyDescent="0.2">
      <c r="A305" s="8"/>
      <c r="B305" s="8"/>
      <c r="C305" s="8"/>
      <c r="D305" s="8"/>
      <c r="E305" s="8"/>
      <c r="F305" s="8"/>
      <c r="G305" s="8"/>
      <c r="H305" s="8"/>
      <c r="I305" s="26"/>
      <c r="J305" s="30"/>
      <c r="K305" s="30"/>
      <c r="L305" s="8"/>
    </row>
    <row r="306" spans="1:12" x14ac:dyDescent="0.2">
      <c r="A306" s="8"/>
      <c r="B306" s="8"/>
      <c r="C306" s="8"/>
      <c r="D306" s="8"/>
      <c r="E306" s="8"/>
      <c r="F306" s="8"/>
      <c r="G306" s="8"/>
      <c r="H306" s="8"/>
      <c r="I306" s="26"/>
      <c r="J306" s="30"/>
      <c r="K306" s="30"/>
      <c r="L306" s="8"/>
    </row>
    <row r="307" spans="1:12" x14ac:dyDescent="0.2">
      <c r="A307" s="8"/>
      <c r="B307" s="8"/>
      <c r="C307" s="8"/>
      <c r="D307" s="8"/>
      <c r="E307" s="8"/>
      <c r="F307" s="8"/>
      <c r="G307" s="8"/>
      <c r="H307" s="8"/>
      <c r="I307" s="26"/>
      <c r="J307" s="30"/>
      <c r="K307" s="30"/>
      <c r="L307" s="8"/>
    </row>
    <row r="308" spans="1:12" x14ac:dyDescent="0.2">
      <c r="A308" s="8"/>
      <c r="B308" s="8"/>
      <c r="C308" s="8"/>
      <c r="D308" s="8"/>
      <c r="E308" s="8"/>
      <c r="F308" s="8"/>
      <c r="G308" s="8"/>
      <c r="H308" s="8"/>
      <c r="I308" s="26"/>
      <c r="J308" s="30"/>
      <c r="K308" s="30"/>
      <c r="L308" s="8"/>
    </row>
    <row r="309" spans="1:12" x14ac:dyDescent="0.2">
      <c r="A309" s="8"/>
      <c r="B309" s="8"/>
      <c r="C309" s="8"/>
      <c r="D309" s="8"/>
      <c r="E309" s="8"/>
      <c r="F309" s="8"/>
      <c r="G309" s="8"/>
      <c r="H309" s="8"/>
      <c r="I309" s="26"/>
      <c r="J309" s="30"/>
      <c r="K309" s="30"/>
      <c r="L309" s="8"/>
    </row>
    <row r="310" spans="1:12" x14ac:dyDescent="0.2">
      <c r="A310" s="8"/>
      <c r="B310" s="8"/>
      <c r="C310" s="8"/>
      <c r="D310" s="8"/>
      <c r="E310" s="8"/>
      <c r="F310" s="8"/>
      <c r="G310" s="8"/>
      <c r="H310" s="8"/>
      <c r="I310" s="26"/>
      <c r="J310" s="30"/>
      <c r="K310" s="30"/>
      <c r="L310" s="8"/>
    </row>
    <row r="311" spans="1:12" x14ac:dyDescent="0.2">
      <c r="A311" s="8"/>
      <c r="B311" s="8"/>
      <c r="C311" s="8"/>
      <c r="D311" s="8"/>
      <c r="E311" s="8"/>
      <c r="F311" s="8"/>
      <c r="G311" s="8"/>
      <c r="H311" s="8"/>
      <c r="I311" s="26"/>
      <c r="J311" s="30"/>
      <c r="K311" s="30"/>
      <c r="L311" s="8"/>
    </row>
    <row r="312" spans="1:12" x14ac:dyDescent="0.2">
      <c r="A312" s="8"/>
      <c r="B312" s="8"/>
      <c r="C312" s="8"/>
      <c r="D312" s="8"/>
      <c r="E312" s="8"/>
      <c r="F312" s="8"/>
      <c r="G312" s="8"/>
      <c r="H312" s="8"/>
      <c r="I312" s="26"/>
      <c r="J312" s="30"/>
      <c r="K312" s="30"/>
      <c r="L312" s="8"/>
    </row>
    <row r="313" spans="1:12" x14ac:dyDescent="0.2">
      <c r="A313" s="8"/>
      <c r="B313" s="8"/>
      <c r="C313" s="8"/>
      <c r="D313" s="8"/>
      <c r="E313" s="8"/>
      <c r="F313" s="8"/>
      <c r="G313" s="8"/>
      <c r="H313" s="8"/>
      <c r="I313" s="26"/>
      <c r="J313" s="30"/>
      <c r="K313" s="30"/>
      <c r="L313" s="8"/>
    </row>
    <row r="314" spans="1:12" x14ac:dyDescent="0.2">
      <c r="A314" s="8"/>
      <c r="B314" s="8"/>
      <c r="C314" s="8"/>
      <c r="D314" s="8"/>
      <c r="E314" s="8"/>
      <c r="F314" s="8"/>
      <c r="G314" s="8"/>
      <c r="H314" s="8"/>
      <c r="I314" s="26"/>
      <c r="J314" s="30"/>
      <c r="K314" s="30"/>
      <c r="L314" s="8"/>
    </row>
    <row r="315" spans="1:12" x14ac:dyDescent="0.2">
      <c r="A315" s="8"/>
      <c r="B315" s="8"/>
      <c r="C315" s="8"/>
      <c r="D315" s="8"/>
      <c r="E315" s="8"/>
      <c r="F315" s="8"/>
      <c r="G315" s="8"/>
      <c r="H315" s="8"/>
      <c r="I315" s="26"/>
      <c r="J315" s="30"/>
      <c r="K315" s="30"/>
      <c r="L315" s="8"/>
    </row>
    <row r="316" spans="1:12" x14ac:dyDescent="0.2">
      <c r="A316" s="8"/>
      <c r="B316" s="8"/>
      <c r="C316" s="8"/>
      <c r="D316" s="8"/>
      <c r="E316" s="8"/>
      <c r="F316" s="8"/>
      <c r="G316" s="8"/>
      <c r="H316" s="8"/>
      <c r="I316" s="26"/>
      <c r="J316" s="30"/>
      <c r="K316" s="30"/>
      <c r="L316" s="8"/>
    </row>
    <row r="317" spans="1:12" x14ac:dyDescent="0.2">
      <c r="A317" s="8"/>
      <c r="B317" s="8"/>
      <c r="C317" s="8"/>
      <c r="D317" s="8"/>
      <c r="E317" s="8"/>
      <c r="F317" s="8"/>
      <c r="G317" s="8"/>
      <c r="H317" s="8"/>
      <c r="I317" s="26"/>
      <c r="J317" s="30"/>
      <c r="K317" s="30"/>
      <c r="L317" s="8"/>
    </row>
    <row r="318" spans="1:12" x14ac:dyDescent="0.2">
      <c r="A318" s="8"/>
      <c r="B318" s="8"/>
      <c r="C318" s="8"/>
      <c r="D318" s="8"/>
      <c r="E318" s="8"/>
      <c r="F318" s="8"/>
      <c r="G318" s="8"/>
      <c r="H318" s="8"/>
      <c r="I318" s="26"/>
      <c r="J318" s="30"/>
      <c r="K318" s="30"/>
      <c r="L318" s="8"/>
    </row>
    <row r="319" spans="1:12" x14ac:dyDescent="0.2">
      <c r="A319" s="8"/>
      <c r="B319" s="8"/>
      <c r="C319" s="8"/>
      <c r="D319" s="8"/>
      <c r="E319" s="8"/>
      <c r="F319" s="8"/>
      <c r="G319" s="8"/>
      <c r="H319" s="8"/>
      <c r="I319" s="26"/>
      <c r="J319" s="30"/>
      <c r="K319" s="30"/>
      <c r="L319" s="8"/>
    </row>
    <row r="320" spans="1:12" x14ac:dyDescent="0.2">
      <c r="A320" s="8"/>
      <c r="B320" s="8"/>
      <c r="C320" s="8"/>
      <c r="D320" s="8"/>
      <c r="E320" s="8"/>
      <c r="F320" s="8"/>
      <c r="G320" s="8"/>
      <c r="H320" s="8"/>
      <c r="I320" s="26"/>
      <c r="J320" s="30"/>
      <c r="K320" s="30"/>
      <c r="L320" s="8"/>
    </row>
    <row r="321" spans="1:12" x14ac:dyDescent="0.2">
      <c r="A321" s="8"/>
      <c r="B321" s="8"/>
      <c r="C321" s="8"/>
      <c r="D321" s="8"/>
      <c r="E321" s="8"/>
      <c r="F321" s="8"/>
      <c r="G321" s="8"/>
      <c r="H321" s="8"/>
      <c r="I321" s="26"/>
      <c r="J321" s="30"/>
      <c r="K321" s="30"/>
      <c r="L321" s="8"/>
    </row>
    <row r="322" spans="1:12" x14ac:dyDescent="0.2">
      <c r="A322" s="8"/>
      <c r="B322" s="8"/>
      <c r="C322" s="8"/>
      <c r="D322" s="8"/>
      <c r="E322" s="8"/>
      <c r="F322" s="8"/>
      <c r="G322" s="8"/>
      <c r="H322" s="8"/>
      <c r="I322" s="26"/>
      <c r="J322" s="30"/>
      <c r="K322" s="30"/>
      <c r="L322" s="8"/>
    </row>
    <row r="323" spans="1:12" x14ac:dyDescent="0.2">
      <c r="A323" s="8"/>
      <c r="B323" s="8"/>
      <c r="C323" s="8"/>
      <c r="D323" s="8"/>
      <c r="E323" s="8"/>
      <c r="F323" s="8"/>
      <c r="G323" s="8"/>
      <c r="H323" s="8"/>
      <c r="I323" s="26"/>
      <c r="J323" s="30"/>
      <c r="K323" s="30"/>
      <c r="L323" s="8"/>
    </row>
    <row r="324" spans="1:12" x14ac:dyDescent="0.2">
      <c r="A324" s="8"/>
      <c r="B324" s="8"/>
      <c r="C324" s="8"/>
      <c r="D324" s="8"/>
      <c r="E324" s="8"/>
      <c r="F324" s="8"/>
      <c r="G324" s="8"/>
      <c r="H324" s="8"/>
      <c r="I324" s="26"/>
      <c r="J324" s="30"/>
      <c r="K324" s="30"/>
      <c r="L324" s="8"/>
    </row>
    <row r="325" spans="1:12" x14ac:dyDescent="0.2">
      <c r="A325" s="8"/>
      <c r="B325" s="8"/>
      <c r="C325" s="8"/>
      <c r="D325" s="8"/>
      <c r="E325" s="8"/>
      <c r="F325" s="8"/>
      <c r="G325" s="8"/>
      <c r="H325" s="8"/>
      <c r="I325" s="26"/>
      <c r="J325" s="30"/>
      <c r="K325" s="30"/>
      <c r="L325" s="8"/>
    </row>
    <row r="326" spans="1:12" x14ac:dyDescent="0.2">
      <c r="A326" s="8"/>
      <c r="B326" s="8"/>
      <c r="C326" s="8"/>
      <c r="D326" s="8"/>
      <c r="E326" s="8"/>
      <c r="F326" s="8"/>
      <c r="G326" s="8"/>
      <c r="H326" s="8"/>
      <c r="I326" s="26"/>
      <c r="J326" s="30"/>
      <c r="K326" s="30"/>
      <c r="L326" s="8"/>
    </row>
    <row r="327" spans="1:12" x14ac:dyDescent="0.2">
      <c r="A327" s="8"/>
      <c r="B327" s="8"/>
      <c r="C327" s="8"/>
      <c r="D327" s="8"/>
      <c r="E327" s="8"/>
      <c r="F327" s="8"/>
      <c r="G327" s="8"/>
      <c r="H327" s="8"/>
      <c r="I327" s="26"/>
      <c r="J327" s="30"/>
      <c r="K327" s="30"/>
      <c r="L327" s="8"/>
    </row>
    <row r="328" spans="1:12" x14ac:dyDescent="0.2">
      <c r="A328" s="8"/>
      <c r="B328" s="8"/>
      <c r="C328" s="8"/>
      <c r="D328" s="8"/>
      <c r="E328" s="8"/>
      <c r="F328" s="8"/>
      <c r="G328" s="8"/>
      <c r="H328" s="8"/>
      <c r="I328" s="26"/>
      <c r="J328" s="30"/>
      <c r="K328" s="30"/>
      <c r="L328" s="8"/>
    </row>
    <row r="329" spans="1:12" x14ac:dyDescent="0.2">
      <c r="A329" s="8"/>
      <c r="B329" s="8"/>
      <c r="C329" s="8"/>
      <c r="D329" s="8"/>
      <c r="E329" s="8"/>
      <c r="F329" s="8"/>
      <c r="G329" s="8"/>
      <c r="H329" s="8"/>
      <c r="I329" s="26"/>
      <c r="J329" s="30"/>
      <c r="K329" s="30"/>
      <c r="L329" s="8"/>
    </row>
    <row r="330" spans="1:12" x14ac:dyDescent="0.2">
      <c r="A330" s="8"/>
      <c r="B330" s="8"/>
      <c r="C330" s="8"/>
      <c r="D330" s="8"/>
      <c r="E330" s="8"/>
      <c r="F330" s="8"/>
      <c r="G330" s="8"/>
      <c r="H330" s="8"/>
      <c r="I330" s="26"/>
      <c r="J330" s="30"/>
      <c r="K330" s="30"/>
      <c r="L330" s="8"/>
    </row>
    <row r="331" spans="1:12" x14ac:dyDescent="0.2">
      <c r="A331" s="8"/>
      <c r="B331" s="8"/>
      <c r="C331" s="8"/>
      <c r="D331" s="8"/>
      <c r="E331" s="8"/>
      <c r="F331" s="8"/>
      <c r="G331" s="8"/>
      <c r="H331" s="8"/>
      <c r="I331" s="26"/>
      <c r="J331" s="30"/>
      <c r="K331" s="30"/>
      <c r="L331" s="8"/>
    </row>
    <row r="332" spans="1:12" x14ac:dyDescent="0.2">
      <c r="A332" s="8"/>
      <c r="B332" s="8"/>
      <c r="C332" s="8"/>
      <c r="D332" s="8"/>
      <c r="E332" s="8"/>
      <c r="F332" s="8"/>
      <c r="G332" s="8"/>
      <c r="H332" s="8"/>
      <c r="I332" s="26"/>
      <c r="J332" s="30"/>
      <c r="K332" s="30"/>
      <c r="L332" s="8"/>
    </row>
    <row r="333" spans="1:12" x14ac:dyDescent="0.2">
      <c r="A333" s="8"/>
      <c r="B333" s="8"/>
      <c r="C333" s="8"/>
      <c r="D333" s="8"/>
      <c r="E333" s="8"/>
      <c r="F333" s="8"/>
      <c r="G333" s="8"/>
      <c r="H333" s="8"/>
      <c r="I333" s="26"/>
      <c r="J333" s="30"/>
      <c r="K333" s="30"/>
      <c r="L333" s="8"/>
    </row>
    <row r="334" spans="1:12" x14ac:dyDescent="0.2">
      <c r="A334" s="8"/>
      <c r="B334" s="8"/>
      <c r="C334" s="8"/>
      <c r="D334" s="8"/>
      <c r="E334" s="8"/>
      <c r="F334" s="8"/>
      <c r="G334" s="8"/>
      <c r="H334" s="8"/>
      <c r="I334" s="26"/>
      <c r="J334" s="30"/>
      <c r="K334" s="30"/>
      <c r="L334" s="8"/>
    </row>
    <row r="335" spans="1:12" x14ac:dyDescent="0.2">
      <c r="A335" s="8"/>
      <c r="B335" s="8"/>
      <c r="C335" s="8"/>
      <c r="D335" s="8"/>
      <c r="E335" s="8"/>
      <c r="F335" s="8"/>
      <c r="G335" s="8"/>
      <c r="H335" s="8"/>
      <c r="I335" s="26"/>
      <c r="J335" s="30"/>
      <c r="K335" s="30"/>
      <c r="L335" s="8"/>
    </row>
    <row r="336" spans="1:12" x14ac:dyDescent="0.2">
      <c r="A336" s="8"/>
      <c r="B336" s="8"/>
      <c r="C336" s="8"/>
      <c r="D336" s="8"/>
      <c r="E336" s="8"/>
      <c r="F336" s="8"/>
      <c r="G336" s="8"/>
      <c r="H336" s="8"/>
      <c r="I336" s="26"/>
      <c r="J336" s="30"/>
      <c r="K336" s="30"/>
      <c r="L336" s="8"/>
    </row>
    <row r="337" spans="1:12" x14ac:dyDescent="0.2">
      <c r="A337" s="8"/>
      <c r="B337" s="8"/>
      <c r="C337" s="8"/>
      <c r="D337" s="8"/>
      <c r="E337" s="8"/>
      <c r="F337" s="8"/>
      <c r="G337" s="8"/>
      <c r="H337" s="8"/>
      <c r="I337" s="26"/>
      <c r="J337" s="30"/>
      <c r="K337" s="30"/>
      <c r="L337" s="8"/>
    </row>
    <row r="338" spans="1:12" x14ac:dyDescent="0.2">
      <c r="A338" s="8"/>
      <c r="B338" s="8"/>
      <c r="C338" s="8"/>
      <c r="D338" s="8"/>
      <c r="E338" s="8"/>
      <c r="F338" s="8"/>
      <c r="G338" s="8"/>
      <c r="H338" s="8"/>
      <c r="I338" s="26"/>
      <c r="J338" s="30"/>
      <c r="K338" s="30"/>
      <c r="L338" s="8"/>
    </row>
    <row r="339" spans="1:12" x14ac:dyDescent="0.2">
      <c r="A339" s="8"/>
      <c r="B339" s="8"/>
      <c r="C339" s="8"/>
      <c r="D339" s="8"/>
      <c r="E339" s="8"/>
      <c r="F339" s="8"/>
      <c r="G339" s="8"/>
      <c r="H339" s="8"/>
      <c r="I339" s="26"/>
      <c r="J339" s="30"/>
      <c r="K339" s="30"/>
      <c r="L339" s="8"/>
    </row>
    <row r="340" spans="1:12" x14ac:dyDescent="0.2">
      <c r="A340" s="8"/>
      <c r="B340" s="8"/>
      <c r="C340" s="8"/>
      <c r="D340" s="8"/>
      <c r="E340" s="8"/>
      <c r="F340" s="8"/>
      <c r="G340" s="8"/>
      <c r="H340" s="8"/>
      <c r="I340" s="26"/>
      <c r="J340" s="30"/>
      <c r="K340" s="30"/>
      <c r="L340" s="8"/>
    </row>
    <row r="341" spans="1:12" x14ac:dyDescent="0.2">
      <c r="A341" s="8"/>
      <c r="B341" s="8"/>
      <c r="C341" s="8"/>
      <c r="D341" s="8"/>
      <c r="E341" s="8"/>
      <c r="F341" s="8"/>
      <c r="G341" s="8"/>
      <c r="H341" s="8"/>
      <c r="I341" s="26"/>
      <c r="J341" s="30"/>
      <c r="K341" s="30"/>
      <c r="L341" s="8"/>
    </row>
    <row r="342" spans="1:12" x14ac:dyDescent="0.2">
      <c r="A342" s="8"/>
      <c r="B342" s="8"/>
      <c r="C342" s="8"/>
      <c r="D342" s="8"/>
      <c r="E342" s="8"/>
      <c r="F342" s="8"/>
      <c r="G342" s="8"/>
      <c r="H342" s="8"/>
      <c r="I342" s="26"/>
      <c r="J342" s="30"/>
      <c r="K342" s="30"/>
      <c r="L342" s="8"/>
    </row>
    <row r="343" spans="1:12" x14ac:dyDescent="0.2">
      <c r="A343" s="8"/>
      <c r="B343" s="8"/>
      <c r="C343" s="8"/>
      <c r="D343" s="8"/>
      <c r="E343" s="8"/>
      <c r="F343" s="8"/>
      <c r="G343" s="8"/>
      <c r="H343" s="8"/>
      <c r="I343" s="26"/>
      <c r="J343" s="30"/>
      <c r="K343" s="30"/>
      <c r="L343" s="8"/>
    </row>
    <row r="344" spans="1:12" x14ac:dyDescent="0.2">
      <c r="A344" s="8"/>
      <c r="B344" s="8"/>
      <c r="C344" s="8"/>
      <c r="D344" s="8"/>
      <c r="E344" s="8"/>
      <c r="F344" s="8"/>
      <c r="G344" s="8"/>
      <c r="H344" s="8"/>
      <c r="I344" s="26"/>
      <c r="J344" s="30"/>
      <c r="K344" s="30"/>
      <c r="L344" s="8"/>
    </row>
    <row r="345" spans="1:12" x14ac:dyDescent="0.2">
      <c r="A345" s="8"/>
      <c r="B345" s="8"/>
      <c r="C345" s="8"/>
      <c r="D345" s="8"/>
      <c r="E345" s="8"/>
      <c r="F345" s="8"/>
      <c r="G345" s="8"/>
      <c r="H345" s="8"/>
      <c r="I345" s="26"/>
      <c r="J345" s="30"/>
      <c r="K345" s="30"/>
      <c r="L345" s="8"/>
    </row>
    <row r="346" spans="1:12" x14ac:dyDescent="0.2">
      <c r="A346" s="8"/>
      <c r="B346" s="8"/>
      <c r="C346" s="8"/>
      <c r="D346" s="8"/>
      <c r="E346" s="8"/>
      <c r="F346" s="8"/>
      <c r="G346" s="8"/>
      <c r="H346" s="8"/>
      <c r="I346" s="26"/>
      <c r="J346" s="30"/>
      <c r="K346" s="30"/>
      <c r="L346" s="8"/>
    </row>
    <row r="347" spans="1:12" x14ac:dyDescent="0.2">
      <c r="A347" s="8"/>
      <c r="B347" s="8"/>
      <c r="C347" s="8"/>
      <c r="D347" s="8"/>
      <c r="E347" s="8"/>
      <c r="F347" s="8"/>
      <c r="G347" s="8"/>
      <c r="H347" s="8"/>
      <c r="I347" s="26"/>
      <c r="J347" s="30"/>
      <c r="K347" s="30"/>
      <c r="L347" s="8"/>
    </row>
    <row r="348" spans="1:12" x14ac:dyDescent="0.2">
      <c r="A348" s="8"/>
      <c r="B348" s="8"/>
      <c r="C348" s="8"/>
      <c r="D348" s="8"/>
      <c r="E348" s="8"/>
      <c r="F348" s="8"/>
      <c r="G348" s="8"/>
      <c r="H348" s="8"/>
      <c r="I348" s="26"/>
      <c r="J348" s="30"/>
      <c r="K348" s="30"/>
      <c r="L348" s="8"/>
    </row>
    <row r="349" spans="1:12" x14ac:dyDescent="0.2">
      <c r="A349" s="8"/>
      <c r="B349" s="8"/>
      <c r="C349" s="8"/>
      <c r="D349" s="8"/>
      <c r="E349" s="8"/>
      <c r="F349" s="8"/>
      <c r="G349" s="8"/>
      <c r="H349" s="8"/>
      <c r="I349" s="26"/>
      <c r="J349" s="30"/>
      <c r="K349" s="30"/>
      <c r="L349" s="8"/>
    </row>
    <row r="350" spans="1:12" x14ac:dyDescent="0.2">
      <c r="A350" s="8"/>
      <c r="B350" s="8"/>
      <c r="C350" s="8"/>
      <c r="D350" s="8"/>
      <c r="E350" s="8"/>
      <c r="F350" s="8"/>
      <c r="G350" s="8"/>
      <c r="H350" s="8"/>
      <c r="I350" s="26"/>
      <c r="J350" s="30"/>
      <c r="K350" s="30"/>
      <c r="L350" s="8"/>
    </row>
    <row r="351" spans="1:12" x14ac:dyDescent="0.2">
      <c r="A351" s="8"/>
      <c r="B351" s="8"/>
      <c r="C351" s="8"/>
      <c r="D351" s="8"/>
      <c r="E351" s="8"/>
      <c r="F351" s="8"/>
      <c r="G351" s="8"/>
      <c r="H351" s="8"/>
      <c r="I351" s="26"/>
      <c r="J351" s="30"/>
      <c r="K351" s="30"/>
      <c r="L351" s="8"/>
    </row>
    <row r="352" spans="1:12" x14ac:dyDescent="0.2">
      <c r="A352" s="8"/>
      <c r="B352" s="8"/>
      <c r="C352" s="8"/>
      <c r="D352" s="8"/>
      <c r="E352" s="8"/>
      <c r="F352" s="8"/>
      <c r="G352" s="8"/>
      <c r="H352" s="8"/>
      <c r="I352" s="26"/>
      <c r="J352" s="30"/>
      <c r="K352" s="30"/>
      <c r="L352" s="8"/>
    </row>
    <row r="353" spans="1:12" x14ac:dyDescent="0.2">
      <c r="A353" s="8"/>
      <c r="B353" s="8"/>
      <c r="C353" s="8"/>
      <c r="D353" s="8"/>
      <c r="E353" s="8"/>
      <c r="F353" s="8"/>
      <c r="G353" s="8"/>
      <c r="H353" s="8"/>
      <c r="I353" s="26"/>
      <c r="J353" s="30"/>
      <c r="K353" s="30"/>
      <c r="L353" s="8"/>
    </row>
    <row r="354" spans="1:12" x14ac:dyDescent="0.2">
      <c r="A354" s="8"/>
      <c r="B354" s="8"/>
      <c r="C354" s="8"/>
      <c r="D354" s="8"/>
      <c r="E354" s="8"/>
      <c r="F354" s="8"/>
      <c r="G354" s="8"/>
      <c r="H354" s="8"/>
      <c r="I354" s="26"/>
      <c r="J354" s="30"/>
      <c r="K354" s="30"/>
      <c r="L354" s="8"/>
    </row>
    <row r="355" spans="1:12" x14ac:dyDescent="0.2">
      <c r="A355" s="8"/>
      <c r="B355" s="8"/>
      <c r="C355" s="8"/>
      <c r="D355" s="8"/>
      <c r="E355" s="8"/>
      <c r="F355" s="8"/>
      <c r="G355" s="8"/>
      <c r="H355" s="8"/>
      <c r="I355" s="26"/>
      <c r="J355" s="30"/>
      <c r="K355" s="30"/>
      <c r="L355" s="8"/>
    </row>
    <row r="356" spans="1:12" x14ac:dyDescent="0.2">
      <c r="A356" s="8"/>
      <c r="B356" s="8"/>
      <c r="C356" s="8"/>
      <c r="D356" s="8"/>
      <c r="E356" s="8"/>
      <c r="F356" s="8"/>
      <c r="G356" s="8"/>
      <c r="H356" s="8"/>
      <c r="I356" s="26"/>
      <c r="J356" s="30"/>
      <c r="K356" s="30"/>
      <c r="L356" s="8"/>
    </row>
    <row r="357" spans="1:12" x14ac:dyDescent="0.2">
      <c r="A357" s="8"/>
      <c r="B357" s="8"/>
      <c r="C357" s="8"/>
      <c r="D357" s="8"/>
      <c r="E357" s="8"/>
      <c r="F357" s="8"/>
      <c r="G357" s="8"/>
      <c r="H357" s="8"/>
      <c r="I357" s="26"/>
      <c r="J357" s="30"/>
      <c r="K357" s="30"/>
      <c r="L357" s="8"/>
    </row>
    <row r="358" spans="1:12" x14ac:dyDescent="0.2">
      <c r="A358" s="8"/>
      <c r="B358" s="8"/>
      <c r="C358" s="8"/>
      <c r="D358" s="8"/>
      <c r="E358" s="8"/>
      <c r="F358" s="8"/>
      <c r="G358" s="8"/>
      <c r="H358" s="8"/>
      <c r="I358" s="26"/>
      <c r="J358" s="30"/>
      <c r="K358" s="30"/>
      <c r="L358" s="8"/>
    </row>
    <row r="359" spans="1:12" x14ac:dyDescent="0.2">
      <c r="A359" s="8"/>
      <c r="B359" s="8"/>
      <c r="C359" s="8"/>
      <c r="D359" s="8"/>
      <c r="E359" s="8"/>
      <c r="F359" s="8"/>
      <c r="G359" s="8"/>
      <c r="H359" s="8"/>
      <c r="I359" s="26"/>
      <c r="J359" s="30"/>
      <c r="K359" s="30"/>
      <c r="L359" s="8"/>
    </row>
    <row r="360" spans="1:12" x14ac:dyDescent="0.2">
      <c r="A360" s="8"/>
      <c r="B360" s="8"/>
      <c r="C360" s="8"/>
      <c r="D360" s="8"/>
      <c r="E360" s="8"/>
      <c r="F360" s="8"/>
      <c r="G360" s="8"/>
      <c r="H360" s="8"/>
      <c r="I360" s="26"/>
      <c r="J360" s="30"/>
      <c r="K360" s="30"/>
      <c r="L360" s="8"/>
    </row>
    <row r="361" spans="1:12" x14ac:dyDescent="0.2">
      <c r="A361" s="8"/>
      <c r="B361" s="8"/>
      <c r="C361" s="8"/>
      <c r="D361" s="8"/>
      <c r="E361" s="8"/>
      <c r="F361" s="8"/>
      <c r="G361" s="8"/>
      <c r="H361" s="8"/>
      <c r="I361" s="26"/>
      <c r="J361" s="30"/>
      <c r="K361" s="30"/>
      <c r="L361" s="8"/>
    </row>
    <row r="362" spans="1:12" x14ac:dyDescent="0.2">
      <c r="A362" s="8"/>
      <c r="B362" s="8"/>
      <c r="C362" s="8"/>
      <c r="D362" s="8"/>
      <c r="E362" s="8"/>
      <c r="F362" s="8"/>
      <c r="G362" s="8"/>
      <c r="H362" s="8"/>
      <c r="I362" s="26"/>
      <c r="J362" s="30"/>
      <c r="K362" s="30"/>
      <c r="L362" s="8"/>
    </row>
    <row r="363" spans="1:12" x14ac:dyDescent="0.2">
      <c r="A363" s="8"/>
      <c r="B363" s="8"/>
      <c r="C363" s="8"/>
      <c r="D363" s="8"/>
      <c r="E363" s="8"/>
      <c r="F363" s="8"/>
      <c r="G363" s="8"/>
      <c r="H363" s="8"/>
      <c r="I363" s="26"/>
      <c r="J363" s="30"/>
      <c r="K363" s="30"/>
      <c r="L363" s="8"/>
    </row>
    <row r="364" spans="1:12" x14ac:dyDescent="0.2">
      <c r="A364" s="8"/>
      <c r="B364" s="8"/>
      <c r="C364" s="8"/>
      <c r="D364" s="8"/>
      <c r="E364" s="8"/>
      <c r="F364" s="8"/>
      <c r="G364" s="8"/>
      <c r="H364" s="8"/>
      <c r="I364" s="26"/>
      <c r="J364" s="30"/>
      <c r="K364" s="30"/>
      <c r="L364" s="8"/>
    </row>
    <row r="365" spans="1:12" x14ac:dyDescent="0.2">
      <c r="A365" s="8"/>
      <c r="B365" s="8"/>
      <c r="C365" s="8"/>
      <c r="D365" s="8"/>
      <c r="E365" s="8"/>
      <c r="F365" s="8"/>
      <c r="G365" s="8"/>
      <c r="H365" s="8"/>
      <c r="I365" s="26"/>
      <c r="J365" s="30"/>
      <c r="K365" s="30"/>
      <c r="L365" s="8"/>
    </row>
    <row r="366" spans="1:12" x14ac:dyDescent="0.2">
      <c r="A366" s="8"/>
      <c r="B366" s="8"/>
      <c r="C366" s="8"/>
      <c r="D366" s="8"/>
      <c r="E366" s="8"/>
      <c r="F366" s="8"/>
      <c r="G366" s="8"/>
      <c r="H366" s="8"/>
      <c r="I366" s="26"/>
      <c r="J366" s="30"/>
      <c r="K366" s="30"/>
      <c r="L366" s="8"/>
    </row>
    <row r="367" spans="1:12" x14ac:dyDescent="0.2">
      <c r="A367" s="8"/>
      <c r="B367" s="8"/>
      <c r="C367" s="8"/>
      <c r="D367" s="8"/>
      <c r="E367" s="8"/>
      <c r="F367" s="8"/>
      <c r="G367" s="8"/>
      <c r="H367" s="8"/>
      <c r="I367" s="26"/>
      <c r="J367" s="30"/>
      <c r="K367" s="30"/>
      <c r="L367" s="8"/>
    </row>
    <row r="368" spans="1:12" x14ac:dyDescent="0.2">
      <c r="A368" s="8"/>
      <c r="B368" s="8"/>
      <c r="C368" s="8"/>
      <c r="D368" s="8"/>
      <c r="E368" s="8"/>
      <c r="F368" s="8"/>
      <c r="G368" s="8"/>
      <c r="H368" s="8"/>
      <c r="I368" s="26"/>
      <c r="J368" s="30"/>
      <c r="K368" s="30"/>
      <c r="L368" s="8"/>
    </row>
    <row r="369" spans="1:12" x14ac:dyDescent="0.2">
      <c r="A369" s="8"/>
      <c r="B369" s="8"/>
      <c r="C369" s="8"/>
      <c r="D369" s="8"/>
      <c r="E369" s="8"/>
      <c r="F369" s="8"/>
      <c r="G369" s="8"/>
      <c r="H369" s="8"/>
      <c r="I369" s="26"/>
      <c r="J369" s="30"/>
      <c r="K369" s="30"/>
      <c r="L369" s="8"/>
    </row>
    <row r="370" spans="1:12" x14ac:dyDescent="0.2">
      <c r="A370" s="8"/>
      <c r="B370" s="8"/>
      <c r="C370" s="8"/>
      <c r="D370" s="8"/>
      <c r="E370" s="8"/>
      <c r="F370" s="8"/>
      <c r="G370" s="8"/>
      <c r="H370" s="8"/>
      <c r="I370" s="26"/>
      <c r="J370" s="30"/>
      <c r="K370" s="30"/>
      <c r="L370" s="8"/>
    </row>
    <row r="371" spans="1:12" x14ac:dyDescent="0.2">
      <c r="A371" s="8"/>
      <c r="B371" s="8"/>
      <c r="C371" s="8"/>
      <c r="D371" s="8"/>
      <c r="E371" s="8"/>
      <c r="F371" s="8"/>
      <c r="G371" s="8"/>
      <c r="H371" s="8"/>
      <c r="I371" s="26"/>
      <c r="J371" s="30"/>
      <c r="K371" s="30"/>
      <c r="L371" s="8"/>
    </row>
    <row r="372" spans="1:12" x14ac:dyDescent="0.2">
      <c r="A372" s="8"/>
      <c r="B372" s="8"/>
      <c r="C372" s="8"/>
      <c r="D372" s="8"/>
      <c r="E372" s="8"/>
      <c r="F372" s="8"/>
      <c r="G372" s="8"/>
      <c r="H372" s="8"/>
      <c r="I372" s="26"/>
      <c r="J372" s="30"/>
      <c r="K372" s="30"/>
      <c r="L372" s="8"/>
    </row>
    <row r="373" spans="1:12" x14ac:dyDescent="0.2">
      <c r="A373" s="8"/>
      <c r="B373" s="8"/>
      <c r="C373" s="8"/>
      <c r="D373" s="8"/>
      <c r="E373" s="8"/>
      <c r="F373" s="8"/>
      <c r="G373" s="8"/>
      <c r="H373" s="8"/>
      <c r="I373" s="26"/>
      <c r="J373" s="30"/>
      <c r="K373" s="30"/>
      <c r="L373" s="8"/>
    </row>
    <row r="374" spans="1:12" x14ac:dyDescent="0.2">
      <c r="A374" s="8"/>
      <c r="B374" s="8"/>
      <c r="C374" s="8"/>
      <c r="D374" s="8"/>
      <c r="E374" s="8"/>
      <c r="F374" s="8"/>
      <c r="G374" s="8"/>
      <c r="H374" s="8"/>
      <c r="I374" s="26"/>
      <c r="J374" s="30"/>
      <c r="K374" s="30"/>
      <c r="L374" s="8"/>
    </row>
    <row r="375" spans="1:12" x14ac:dyDescent="0.2">
      <c r="A375" s="8"/>
      <c r="B375" s="8"/>
      <c r="C375" s="8"/>
      <c r="D375" s="8"/>
      <c r="E375" s="8"/>
      <c r="F375" s="8"/>
      <c r="G375" s="8"/>
      <c r="H375" s="8"/>
      <c r="I375" s="26"/>
      <c r="J375" s="30"/>
      <c r="K375" s="30"/>
      <c r="L375" s="8"/>
    </row>
    <row r="376" spans="1:12" x14ac:dyDescent="0.2">
      <c r="A376" s="8"/>
      <c r="B376" s="8"/>
      <c r="C376" s="8"/>
      <c r="D376" s="8"/>
      <c r="E376" s="8"/>
      <c r="F376" s="8"/>
      <c r="G376" s="8"/>
      <c r="H376" s="8"/>
      <c r="I376" s="26"/>
      <c r="J376" s="30"/>
      <c r="K376" s="30"/>
      <c r="L376" s="8"/>
    </row>
    <row r="377" spans="1:12" x14ac:dyDescent="0.2">
      <c r="A377" s="8"/>
      <c r="B377" s="8"/>
      <c r="C377" s="8"/>
      <c r="D377" s="8"/>
      <c r="E377" s="8"/>
      <c r="F377" s="8"/>
      <c r="G377" s="8"/>
      <c r="H377" s="8"/>
      <c r="I377" s="26"/>
      <c r="J377" s="30"/>
      <c r="K377" s="30"/>
      <c r="L377" s="8"/>
    </row>
    <row r="378" spans="1:12" x14ac:dyDescent="0.2">
      <c r="A378" s="8"/>
      <c r="B378" s="8"/>
      <c r="C378" s="8"/>
      <c r="D378" s="8"/>
      <c r="E378" s="8"/>
      <c r="F378" s="8"/>
      <c r="G378" s="8"/>
      <c r="H378" s="8"/>
      <c r="I378" s="26"/>
      <c r="J378" s="30"/>
      <c r="K378" s="30"/>
      <c r="L378" s="8"/>
    </row>
    <row r="379" spans="1:12" x14ac:dyDescent="0.2">
      <c r="A379" s="8"/>
      <c r="B379" s="8"/>
      <c r="C379" s="8"/>
      <c r="D379" s="8"/>
      <c r="E379" s="8"/>
      <c r="F379" s="8"/>
      <c r="G379" s="8"/>
      <c r="H379" s="8"/>
      <c r="I379" s="26"/>
      <c r="J379" s="30"/>
      <c r="K379" s="30"/>
      <c r="L379" s="8"/>
    </row>
    <row r="380" spans="1:12" x14ac:dyDescent="0.2">
      <c r="A380" s="8"/>
      <c r="B380" s="8"/>
      <c r="C380" s="8"/>
      <c r="D380" s="8"/>
      <c r="E380" s="8"/>
      <c r="F380" s="8"/>
      <c r="G380" s="8"/>
      <c r="H380" s="8"/>
      <c r="I380" s="26"/>
      <c r="J380" s="30"/>
      <c r="K380" s="30"/>
      <c r="L380" s="8"/>
    </row>
    <row r="381" spans="1:12" x14ac:dyDescent="0.2">
      <c r="A381" s="8"/>
      <c r="B381" s="8"/>
      <c r="C381" s="8"/>
      <c r="D381" s="8"/>
      <c r="E381" s="8"/>
      <c r="F381" s="8"/>
      <c r="G381" s="8"/>
      <c r="H381" s="8"/>
      <c r="I381" s="26"/>
      <c r="J381" s="30"/>
      <c r="K381" s="30"/>
      <c r="L381" s="8"/>
    </row>
    <row r="382" spans="1:12" x14ac:dyDescent="0.2">
      <c r="A382" s="8"/>
      <c r="B382" s="8"/>
      <c r="C382" s="8"/>
      <c r="D382" s="8"/>
      <c r="E382" s="8"/>
      <c r="F382" s="8"/>
      <c r="G382" s="8"/>
      <c r="H382" s="8"/>
      <c r="I382" s="26"/>
      <c r="J382" s="30"/>
      <c r="K382" s="30"/>
      <c r="L382" s="8"/>
    </row>
    <row r="383" spans="1:12" x14ac:dyDescent="0.2">
      <c r="A383" s="8"/>
      <c r="B383" s="8"/>
      <c r="C383" s="8"/>
      <c r="D383" s="8"/>
      <c r="E383" s="8"/>
      <c r="F383" s="8"/>
      <c r="G383" s="8"/>
      <c r="H383" s="8"/>
      <c r="I383" s="26"/>
      <c r="J383" s="30"/>
      <c r="K383" s="30"/>
      <c r="L383" s="8"/>
    </row>
    <row r="384" spans="1:12" x14ac:dyDescent="0.2">
      <c r="A384" s="8"/>
      <c r="B384" s="8"/>
      <c r="C384" s="8"/>
      <c r="D384" s="8"/>
      <c r="E384" s="8"/>
      <c r="F384" s="8"/>
      <c r="G384" s="8"/>
      <c r="H384" s="8"/>
      <c r="I384" s="26"/>
      <c r="J384" s="30"/>
      <c r="K384" s="30"/>
      <c r="L384" s="8"/>
    </row>
    <row r="385" spans="1:12" x14ac:dyDescent="0.2">
      <c r="A385" s="8"/>
      <c r="B385" s="8"/>
      <c r="C385" s="8"/>
      <c r="D385" s="8"/>
      <c r="E385" s="8"/>
      <c r="F385" s="8"/>
      <c r="G385" s="8"/>
      <c r="H385" s="8"/>
      <c r="I385" s="26"/>
      <c r="J385" s="30"/>
      <c r="K385" s="30"/>
      <c r="L385" s="8"/>
    </row>
    <row r="386" spans="1:12" x14ac:dyDescent="0.2">
      <c r="A386" s="8"/>
      <c r="B386" s="8"/>
      <c r="C386" s="8"/>
      <c r="D386" s="8"/>
      <c r="E386" s="8"/>
      <c r="F386" s="8"/>
      <c r="G386" s="8"/>
      <c r="H386" s="8"/>
      <c r="I386" s="26"/>
      <c r="J386" s="30"/>
      <c r="K386" s="30"/>
      <c r="L386" s="8"/>
    </row>
    <row r="387" spans="1:12" x14ac:dyDescent="0.2">
      <c r="A387" s="8"/>
      <c r="B387" s="8"/>
      <c r="C387" s="8"/>
      <c r="D387" s="8"/>
      <c r="E387" s="8"/>
      <c r="F387" s="8"/>
      <c r="G387" s="8"/>
      <c r="H387" s="8"/>
      <c r="I387" s="26"/>
      <c r="J387" s="30"/>
      <c r="K387" s="30"/>
      <c r="L387" s="8"/>
    </row>
    <row r="388" spans="1:12" x14ac:dyDescent="0.2">
      <c r="A388" s="8"/>
      <c r="B388" s="8"/>
      <c r="C388" s="8"/>
      <c r="D388" s="8"/>
      <c r="E388" s="8"/>
      <c r="F388" s="8"/>
      <c r="G388" s="8"/>
      <c r="H388" s="8"/>
      <c r="I388" s="26"/>
      <c r="J388" s="30"/>
      <c r="K388" s="30"/>
      <c r="L388" s="8"/>
    </row>
    <row r="389" spans="1:12" x14ac:dyDescent="0.2">
      <c r="A389" s="8"/>
      <c r="B389" s="8"/>
      <c r="C389" s="8"/>
      <c r="D389" s="8"/>
      <c r="E389" s="8"/>
      <c r="F389" s="8"/>
      <c r="G389" s="8"/>
      <c r="H389" s="8"/>
      <c r="I389" s="26"/>
      <c r="J389" s="30"/>
      <c r="K389" s="30"/>
      <c r="L389" s="8"/>
    </row>
    <row r="390" spans="1:12" x14ac:dyDescent="0.2">
      <c r="A390" s="8"/>
      <c r="B390" s="8"/>
      <c r="C390" s="8"/>
      <c r="D390" s="8"/>
      <c r="E390" s="8"/>
      <c r="F390" s="8"/>
      <c r="G390" s="8"/>
      <c r="H390" s="8"/>
      <c r="I390" s="26"/>
      <c r="J390" s="30"/>
      <c r="K390" s="30"/>
      <c r="L390" s="8"/>
    </row>
    <row r="391" spans="1:12" x14ac:dyDescent="0.2">
      <c r="A391" s="8"/>
      <c r="B391" s="8"/>
      <c r="C391" s="8"/>
      <c r="D391" s="8"/>
      <c r="E391" s="8"/>
      <c r="F391" s="8"/>
      <c r="G391" s="8"/>
      <c r="H391" s="8"/>
      <c r="I391" s="26"/>
      <c r="J391" s="30"/>
      <c r="K391" s="30"/>
      <c r="L391" s="8"/>
    </row>
    <row r="392" spans="1:12" x14ac:dyDescent="0.2">
      <c r="A392" s="8"/>
      <c r="B392" s="8"/>
      <c r="C392" s="8"/>
      <c r="D392" s="8"/>
      <c r="E392" s="8"/>
      <c r="F392" s="8"/>
      <c r="G392" s="8"/>
      <c r="H392" s="8"/>
      <c r="I392" s="26"/>
      <c r="J392" s="30"/>
      <c r="K392" s="30"/>
      <c r="L392" s="8"/>
    </row>
    <row r="393" spans="1:12" x14ac:dyDescent="0.2">
      <c r="A393" s="8"/>
      <c r="B393" s="8"/>
      <c r="C393" s="8"/>
      <c r="D393" s="8"/>
      <c r="E393" s="8"/>
      <c r="F393" s="8"/>
      <c r="G393" s="8"/>
      <c r="H393" s="8"/>
      <c r="I393" s="26"/>
      <c r="J393" s="30"/>
      <c r="K393" s="30"/>
      <c r="L393" s="8"/>
    </row>
    <row r="394" spans="1:12" x14ac:dyDescent="0.2">
      <c r="A394" s="8"/>
      <c r="B394" s="8"/>
      <c r="C394" s="8"/>
      <c r="D394" s="8"/>
      <c r="E394" s="8"/>
      <c r="F394" s="8"/>
      <c r="G394" s="8"/>
      <c r="H394" s="8"/>
      <c r="I394" s="26"/>
      <c r="J394" s="30"/>
      <c r="K394" s="30"/>
      <c r="L394" s="8"/>
    </row>
    <row r="395" spans="1:12" x14ac:dyDescent="0.2">
      <c r="A395" s="8"/>
      <c r="B395" s="8"/>
      <c r="C395" s="8"/>
      <c r="D395" s="8"/>
      <c r="E395" s="8"/>
      <c r="F395" s="8"/>
      <c r="G395" s="8"/>
      <c r="H395" s="8"/>
      <c r="I395" s="26"/>
      <c r="J395" s="30"/>
      <c r="K395" s="30"/>
      <c r="L395" s="8"/>
    </row>
    <row r="396" spans="1:12" x14ac:dyDescent="0.2">
      <c r="A396" s="8"/>
      <c r="B396" s="8"/>
      <c r="C396" s="8"/>
      <c r="D396" s="8"/>
      <c r="E396" s="8"/>
      <c r="F396" s="8"/>
      <c r="G396" s="8"/>
      <c r="H396" s="8"/>
      <c r="I396" s="26"/>
      <c r="J396" s="30"/>
      <c r="K396" s="30"/>
      <c r="L396" s="8"/>
    </row>
    <row r="397" spans="1:12" x14ac:dyDescent="0.2">
      <c r="A397" s="8"/>
      <c r="B397" s="8"/>
      <c r="C397" s="8"/>
      <c r="D397" s="8"/>
      <c r="E397" s="8"/>
      <c r="F397" s="8"/>
      <c r="G397" s="8"/>
      <c r="H397" s="8"/>
      <c r="I397" s="26"/>
      <c r="J397" s="30"/>
      <c r="K397" s="30"/>
      <c r="L397" s="8"/>
    </row>
    <row r="398" spans="1:12" x14ac:dyDescent="0.2">
      <c r="A398" s="8"/>
      <c r="B398" s="8"/>
      <c r="C398" s="8"/>
      <c r="D398" s="8"/>
      <c r="E398" s="8"/>
      <c r="F398" s="8"/>
      <c r="G398" s="8"/>
      <c r="H398" s="8"/>
      <c r="I398" s="26"/>
      <c r="J398" s="30"/>
      <c r="K398" s="30"/>
      <c r="L398" s="8"/>
    </row>
    <row r="399" spans="1:12" x14ac:dyDescent="0.2">
      <c r="A399" s="8"/>
      <c r="B399" s="8"/>
      <c r="C399" s="8"/>
      <c r="D399" s="8"/>
      <c r="E399" s="8"/>
      <c r="F399" s="8"/>
      <c r="G399" s="8"/>
      <c r="H399" s="8"/>
      <c r="I399" s="26"/>
      <c r="J399" s="30"/>
      <c r="K399" s="30"/>
      <c r="L399" s="8"/>
    </row>
    <row r="400" spans="1:12" x14ac:dyDescent="0.2">
      <c r="A400" s="8"/>
      <c r="B400" s="8"/>
      <c r="C400" s="8"/>
      <c r="D400" s="8"/>
      <c r="E400" s="8"/>
      <c r="F400" s="8"/>
      <c r="G400" s="8"/>
      <c r="H400" s="8"/>
      <c r="I400" s="26"/>
      <c r="J400" s="30"/>
      <c r="K400" s="30"/>
      <c r="L400" s="8"/>
    </row>
    <row r="401" spans="1:12" x14ac:dyDescent="0.2">
      <c r="A401" s="8"/>
      <c r="B401" s="8"/>
      <c r="C401" s="8"/>
      <c r="D401" s="8"/>
      <c r="E401" s="8"/>
      <c r="F401" s="8"/>
      <c r="G401" s="8"/>
      <c r="H401" s="8"/>
      <c r="I401" s="26"/>
      <c r="J401" s="30"/>
      <c r="K401" s="30"/>
      <c r="L401" s="8"/>
    </row>
    <row r="402" spans="1:12" x14ac:dyDescent="0.2">
      <c r="A402" s="8"/>
      <c r="B402" s="8"/>
      <c r="C402" s="8"/>
      <c r="D402" s="8"/>
      <c r="E402" s="8"/>
      <c r="F402" s="8"/>
      <c r="G402" s="8"/>
      <c r="H402" s="8"/>
      <c r="I402" s="26"/>
      <c r="J402" s="30"/>
      <c r="K402" s="30"/>
      <c r="L402" s="8"/>
    </row>
    <row r="403" spans="1:12" x14ac:dyDescent="0.2">
      <c r="A403" s="8"/>
      <c r="B403" s="8"/>
      <c r="C403" s="8"/>
      <c r="D403" s="8"/>
      <c r="E403" s="8"/>
      <c r="F403" s="8"/>
      <c r="G403" s="8"/>
      <c r="H403" s="8"/>
      <c r="I403" s="26"/>
      <c r="J403" s="30"/>
      <c r="K403" s="30"/>
      <c r="L403" s="8"/>
    </row>
    <row r="404" spans="1:12" x14ac:dyDescent="0.2">
      <c r="A404" s="8"/>
      <c r="B404" s="8"/>
      <c r="C404" s="8"/>
      <c r="D404" s="8"/>
      <c r="E404" s="8"/>
      <c r="F404" s="8"/>
      <c r="G404" s="8"/>
      <c r="H404" s="8"/>
      <c r="I404" s="26"/>
      <c r="J404" s="30"/>
      <c r="K404" s="30"/>
      <c r="L404" s="8"/>
    </row>
    <row r="405" spans="1:12" x14ac:dyDescent="0.2">
      <c r="A405" s="8"/>
      <c r="B405" s="8"/>
      <c r="C405" s="8"/>
      <c r="D405" s="8"/>
      <c r="E405" s="8"/>
      <c r="F405" s="8"/>
      <c r="G405" s="8"/>
      <c r="H405" s="8"/>
      <c r="I405" s="26"/>
      <c r="J405" s="30"/>
      <c r="K405" s="30"/>
      <c r="L405" s="8"/>
    </row>
    <row r="406" spans="1:12" x14ac:dyDescent="0.2">
      <c r="A406" s="8"/>
      <c r="B406" s="8"/>
      <c r="C406" s="8"/>
      <c r="D406" s="8"/>
      <c r="E406" s="8"/>
      <c r="F406" s="8"/>
      <c r="G406" s="8"/>
      <c r="H406" s="8"/>
      <c r="I406" s="26"/>
      <c r="J406" s="30"/>
      <c r="K406" s="30"/>
      <c r="L406" s="8"/>
    </row>
    <row r="407" spans="1:12" x14ac:dyDescent="0.2">
      <c r="A407" s="8"/>
      <c r="B407" s="8"/>
      <c r="C407" s="8"/>
      <c r="D407" s="8"/>
      <c r="E407" s="8"/>
      <c r="F407" s="8"/>
      <c r="G407" s="8"/>
      <c r="H407" s="8"/>
      <c r="I407" s="26"/>
      <c r="J407" s="30"/>
      <c r="K407" s="30"/>
      <c r="L407" s="8"/>
    </row>
    <row r="408" spans="1:12" x14ac:dyDescent="0.2">
      <c r="A408" s="8"/>
      <c r="B408" s="8"/>
      <c r="C408" s="8"/>
      <c r="D408" s="8"/>
      <c r="E408" s="8"/>
      <c r="F408" s="8"/>
      <c r="G408" s="8"/>
      <c r="H408" s="8"/>
      <c r="I408" s="26"/>
      <c r="J408" s="30"/>
      <c r="K408" s="30"/>
      <c r="L408" s="8"/>
    </row>
    <row r="409" spans="1:12" x14ac:dyDescent="0.2">
      <c r="A409" s="8"/>
      <c r="B409" s="8"/>
      <c r="C409" s="8"/>
      <c r="D409" s="8"/>
      <c r="E409" s="8"/>
      <c r="F409" s="8"/>
      <c r="G409" s="8"/>
      <c r="H409" s="8"/>
      <c r="I409" s="26"/>
      <c r="J409" s="30"/>
      <c r="K409" s="30"/>
      <c r="L409" s="8"/>
    </row>
    <row r="410" spans="1:12" x14ac:dyDescent="0.2">
      <c r="A410" s="8"/>
      <c r="B410" s="8"/>
      <c r="C410" s="8"/>
      <c r="D410" s="8"/>
      <c r="E410" s="8"/>
      <c r="F410" s="8"/>
      <c r="G410" s="8"/>
      <c r="H410" s="8"/>
      <c r="I410" s="26"/>
      <c r="J410" s="30"/>
      <c r="K410" s="30"/>
      <c r="L410" s="8"/>
    </row>
    <row r="411" spans="1:12" x14ac:dyDescent="0.2">
      <c r="A411" s="8"/>
      <c r="B411" s="8"/>
      <c r="C411" s="8"/>
      <c r="D411" s="8"/>
      <c r="E411" s="8"/>
      <c r="F411" s="8"/>
      <c r="G411" s="8"/>
      <c r="H411" s="8"/>
      <c r="I411" s="26"/>
      <c r="J411" s="30"/>
      <c r="K411" s="30"/>
      <c r="L411" s="8"/>
    </row>
    <row r="412" spans="1:12" x14ac:dyDescent="0.2">
      <c r="A412" s="8"/>
      <c r="B412" s="8"/>
      <c r="C412" s="8"/>
      <c r="D412" s="8"/>
      <c r="E412" s="8"/>
      <c r="F412" s="8"/>
      <c r="G412" s="8"/>
      <c r="H412" s="8"/>
      <c r="I412" s="26"/>
      <c r="J412" s="30"/>
      <c r="K412" s="30"/>
      <c r="L412" s="8"/>
    </row>
    <row r="413" spans="1:12" x14ac:dyDescent="0.2">
      <c r="A413" s="8"/>
      <c r="B413" s="8"/>
      <c r="C413" s="8"/>
      <c r="D413" s="8"/>
      <c r="E413" s="8"/>
      <c r="F413" s="8"/>
      <c r="G413" s="8"/>
      <c r="H413" s="8"/>
      <c r="I413" s="26"/>
      <c r="J413" s="30"/>
      <c r="K413" s="30"/>
      <c r="L413" s="8"/>
    </row>
    <row r="414" spans="1:12" x14ac:dyDescent="0.2">
      <c r="A414" s="8"/>
      <c r="B414" s="8"/>
      <c r="C414" s="8"/>
      <c r="D414" s="8"/>
      <c r="E414" s="8"/>
      <c r="F414" s="8"/>
      <c r="G414" s="8"/>
      <c r="H414" s="8"/>
      <c r="I414" s="26"/>
      <c r="J414" s="30"/>
      <c r="K414" s="30"/>
      <c r="L414" s="8"/>
    </row>
    <row r="415" spans="1:12" x14ac:dyDescent="0.2">
      <c r="A415" s="8"/>
      <c r="B415" s="8"/>
      <c r="C415" s="8"/>
      <c r="D415" s="8"/>
      <c r="E415" s="8"/>
      <c r="F415" s="8"/>
      <c r="G415" s="8"/>
      <c r="H415" s="8"/>
      <c r="I415" s="26"/>
      <c r="J415" s="30"/>
      <c r="K415" s="30"/>
      <c r="L415" s="8"/>
    </row>
    <row r="416" spans="1:12" x14ac:dyDescent="0.2">
      <c r="A416" s="8"/>
      <c r="B416" s="8"/>
      <c r="C416" s="8"/>
      <c r="D416" s="8"/>
      <c r="E416" s="8"/>
      <c r="F416" s="8"/>
      <c r="G416" s="8"/>
      <c r="H416" s="8"/>
      <c r="I416" s="26"/>
      <c r="J416" s="30"/>
      <c r="K416" s="30"/>
      <c r="L416" s="8"/>
    </row>
    <row r="417" spans="1:12" x14ac:dyDescent="0.2">
      <c r="A417" s="8"/>
      <c r="B417" s="8"/>
      <c r="C417" s="8"/>
      <c r="D417" s="8"/>
      <c r="E417" s="8"/>
      <c r="F417" s="8"/>
      <c r="G417" s="8"/>
      <c r="H417" s="8"/>
      <c r="I417" s="26"/>
      <c r="J417" s="30"/>
      <c r="K417" s="30"/>
      <c r="L417" s="8"/>
    </row>
    <row r="418" spans="1:12" x14ac:dyDescent="0.2">
      <c r="A418" s="8"/>
      <c r="B418" s="8"/>
      <c r="C418" s="8"/>
      <c r="D418" s="8"/>
      <c r="E418" s="8"/>
      <c r="F418" s="8"/>
      <c r="G418" s="8"/>
      <c r="H418" s="8"/>
      <c r="I418" s="26"/>
      <c r="J418" s="30"/>
      <c r="K418" s="30"/>
      <c r="L418" s="8"/>
    </row>
    <row r="419" spans="1:12" x14ac:dyDescent="0.2">
      <c r="A419" s="8"/>
      <c r="B419" s="8"/>
      <c r="C419" s="8"/>
      <c r="D419" s="8"/>
      <c r="E419" s="8"/>
      <c r="F419" s="8"/>
      <c r="G419" s="8"/>
      <c r="H419" s="8"/>
      <c r="I419" s="26"/>
      <c r="J419" s="30"/>
      <c r="K419" s="30"/>
      <c r="L419" s="8"/>
    </row>
    <row r="420" spans="1:12" x14ac:dyDescent="0.2">
      <c r="A420" s="8"/>
      <c r="B420" s="8"/>
      <c r="C420" s="8"/>
      <c r="D420" s="8"/>
      <c r="E420" s="8"/>
      <c r="F420" s="8"/>
      <c r="G420" s="8"/>
      <c r="H420" s="8"/>
      <c r="I420" s="26"/>
      <c r="J420" s="30"/>
      <c r="K420" s="30"/>
      <c r="L420" s="8"/>
    </row>
    <row r="421" spans="1:12" x14ac:dyDescent="0.2">
      <c r="A421" s="8"/>
      <c r="B421" s="8"/>
      <c r="C421" s="8"/>
      <c r="D421" s="8"/>
      <c r="E421" s="8"/>
      <c r="F421" s="8"/>
      <c r="G421" s="8"/>
      <c r="H421" s="8"/>
      <c r="I421" s="26"/>
      <c r="J421" s="30"/>
      <c r="K421" s="30"/>
      <c r="L421" s="8"/>
    </row>
    <row r="422" spans="1:12" x14ac:dyDescent="0.2">
      <c r="A422" s="8"/>
      <c r="B422" s="8"/>
      <c r="C422" s="8"/>
      <c r="D422" s="8"/>
      <c r="E422" s="8"/>
      <c r="F422" s="8"/>
      <c r="G422" s="8"/>
      <c r="H422" s="8"/>
      <c r="I422" s="26"/>
      <c r="J422" s="30"/>
      <c r="K422" s="30"/>
      <c r="L422" s="8"/>
    </row>
    <row r="423" spans="1:12" x14ac:dyDescent="0.2">
      <c r="A423" s="8"/>
      <c r="B423" s="8"/>
      <c r="C423" s="8"/>
      <c r="D423" s="8"/>
      <c r="E423" s="8"/>
      <c r="F423" s="8"/>
      <c r="G423" s="8"/>
      <c r="H423" s="8"/>
      <c r="I423" s="26"/>
      <c r="J423" s="30"/>
      <c r="K423" s="30"/>
      <c r="L423" s="8"/>
    </row>
    <row r="424" spans="1:12" x14ac:dyDescent="0.2">
      <c r="A424" s="8"/>
      <c r="B424" s="8"/>
      <c r="C424" s="8"/>
      <c r="D424" s="8"/>
      <c r="E424" s="8"/>
      <c r="F424" s="8"/>
      <c r="G424" s="8"/>
      <c r="H424" s="8"/>
      <c r="I424" s="26"/>
      <c r="J424" s="30"/>
      <c r="K424" s="30"/>
      <c r="L424" s="8"/>
    </row>
    <row r="425" spans="1:12" x14ac:dyDescent="0.2">
      <c r="A425" s="8"/>
      <c r="B425" s="8"/>
      <c r="C425" s="8"/>
      <c r="D425" s="8"/>
      <c r="E425" s="8"/>
      <c r="F425" s="8"/>
      <c r="G425" s="8"/>
      <c r="H425" s="8"/>
      <c r="I425" s="26"/>
      <c r="J425" s="30"/>
      <c r="K425" s="30"/>
      <c r="L425" s="8"/>
    </row>
    <row r="426" spans="1:12" x14ac:dyDescent="0.2">
      <c r="A426" s="8"/>
      <c r="B426" s="8"/>
      <c r="C426" s="8"/>
      <c r="D426" s="8"/>
      <c r="E426" s="8"/>
      <c r="F426" s="8"/>
      <c r="G426" s="8"/>
      <c r="H426" s="8"/>
      <c r="I426" s="26"/>
      <c r="J426" s="30"/>
      <c r="K426" s="30"/>
      <c r="L426" s="8"/>
    </row>
    <row r="427" spans="1:12" x14ac:dyDescent="0.2">
      <c r="A427" s="8"/>
      <c r="B427" s="8"/>
      <c r="C427" s="8"/>
      <c r="D427" s="8"/>
      <c r="E427" s="8"/>
      <c r="F427" s="8"/>
      <c r="G427" s="8"/>
      <c r="H427" s="8"/>
      <c r="I427" s="26"/>
      <c r="J427" s="30"/>
      <c r="K427" s="30"/>
      <c r="L427" s="8"/>
    </row>
    <row r="428" spans="1:12" x14ac:dyDescent="0.2">
      <c r="A428" s="8"/>
      <c r="B428" s="8"/>
      <c r="C428" s="8"/>
      <c r="D428" s="8"/>
      <c r="E428" s="8"/>
      <c r="F428" s="8"/>
      <c r="G428" s="8"/>
      <c r="H428" s="8"/>
      <c r="I428" s="26"/>
      <c r="J428" s="30"/>
      <c r="K428" s="30"/>
      <c r="L428" s="8"/>
    </row>
    <row r="429" spans="1:12" x14ac:dyDescent="0.2">
      <c r="A429" s="8"/>
      <c r="B429" s="8"/>
      <c r="C429" s="8"/>
      <c r="D429" s="8"/>
      <c r="E429" s="8"/>
      <c r="F429" s="8"/>
      <c r="G429" s="8"/>
      <c r="H429" s="8"/>
      <c r="I429" s="26"/>
      <c r="J429" s="30"/>
      <c r="K429" s="30"/>
      <c r="L429" s="8"/>
    </row>
    <row r="430" spans="1:12" x14ac:dyDescent="0.2">
      <c r="A430" s="8"/>
      <c r="B430" s="8"/>
      <c r="C430" s="8"/>
      <c r="D430" s="8"/>
      <c r="E430" s="8"/>
      <c r="F430" s="8"/>
      <c r="G430" s="8"/>
      <c r="H430" s="8"/>
      <c r="I430" s="26"/>
      <c r="J430" s="30"/>
      <c r="K430" s="30"/>
      <c r="L430" s="8"/>
    </row>
    <row r="431" spans="1:12" x14ac:dyDescent="0.2">
      <c r="A431" s="8"/>
      <c r="B431" s="8"/>
      <c r="C431" s="8"/>
      <c r="D431" s="8"/>
      <c r="E431" s="8"/>
      <c r="F431" s="8"/>
      <c r="G431" s="8"/>
      <c r="H431" s="8"/>
      <c r="I431" s="26"/>
      <c r="J431" s="30"/>
      <c r="K431" s="30"/>
      <c r="L431" s="8"/>
    </row>
    <row r="432" spans="1:12" x14ac:dyDescent="0.2">
      <c r="A432" s="8"/>
      <c r="B432" s="8"/>
      <c r="C432" s="8"/>
      <c r="D432" s="8"/>
      <c r="E432" s="8"/>
      <c r="F432" s="8"/>
      <c r="G432" s="8"/>
      <c r="H432" s="8"/>
      <c r="I432" s="26"/>
      <c r="J432" s="30"/>
      <c r="K432" s="30"/>
      <c r="L432" s="8"/>
    </row>
    <row r="433" spans="1:12" x14ac:dyDescent="0.2">
      <c r="A433" s="8"/>
      <c r="B433" s="8"/>
      <c r="C433" s="8"/>
      <c r="D433" s="8"/>
      <c r="E433" s="8"/>
      <c r="F433" s="8"/>
      <c r="G433" s="8"/>
      <c r="H433" s="8"/>
      <c r="I433" s="26"/>
      <c r="J433" s="30"/>
      <c r="K433" s="30"/>
      <c r="L433" s="8"/>
    </row>
    <row r="434" spans="1:12" x14ac:dyDescent="0.2">
      <c r="A434" s="8"/>
      <c r="B434" s="8"/>
      <c r="C434" s="8"/>
      <c r="D434" s="8"/>
      <c r="E434" s="8"/>
      <c r="F434" s="8"/>
      <c r="G434" s="8"/>
      <c r="H434" s="8"/>
      <c r="I434" s="26"/>
      <c r="J434" s="30"/>
      <c r="K434" s="30"/>
      <c r="L434" s="8"/>
    </row>
    <row r="435" spans="1:12" x14ac:dyDescent="0.2">
      <c r="A435" s="8"/>
      <c r="B435" s="8"/>
      <c r="C435" s="8"/>
      <c r="D435" s="8"/>
      <c r="E435" s="8"/>
      <c r="F435" s="8"/>
      <c r="G435" s="8"/>
      <c r="H435" s="8"/>
      <c r="I435" s="26"/>
      <c r="J435" s="30"/>
      <c r="K435" s="30"/>
      <c r="L435" s="8"/>
    </row>
    <row r="436" spans="1:12" x14ac:dyDescent="0.2">
      <c r="A436" s="8"/>
      <c r="B436" s="8"/>
      <c r="C436" s="8"/>
      <c r="D436" s="8"/>
      <c r="E436" s="8"/>
      <c r="F436" s="8"/>
      <c r="G436" s="8"/>
      <c r="H436" s="8"/>
      <c r="I436" s="26"/>
      <c r="J436" s="30"/>
      <c r="K436" s="30"/>
      <c r="L436" s="8"/>
    </row>
    <row r="437" spans="1:12" x14ac:dyDescent="0.2">
      <c r="A437" s="8"/>
      <c r="B437" s="8"/>
      <c r="C437" s="8"/>
      <c r="D437" s="8"/>
      <c r="E437" s="8"/>
      <c r="F437" s="8"/>
      <c r="G437" s="8"/>
      <c r="H437" s="8"/>
      <c r="I437" s="26"/>
      <c r="J437" s="30"/>
      <c r="K437" s="30"/>
      <c r="L437" s="8"/>
    </row>
    <row r="438" spans="1:12" x14ac:dyDescent="0.2">
      <c r="A438" s="8"/>
      <c r="B438" s="8"/>
      <c r="C438" s="8"/>
      <c r="D438" s="8"/>
      <c r="E438" s="8"/>
      <c r="F438" s="8"/>
      <c r="G438" s="8"/>
      <c r="H438" s="8"/>
      <c r="I438" s="26"/>
      <c r="J438" s="30"/>
      <c r="K438" s="30"/>
      <c r="L438" s="8"/>
    </row>
    <row r="439" spans="1:12" x14ac:dyDescent="0.2">
      <c r="A439" s="8"/>
      <c r="B439" s="8"/>
      <c r="C439" s="8"/>
      <c r="D439" s="8"/>
      <c r="E439" s="8"/>
      <c r="F439" s="8"/>
      <c r="G439" s="8"/>
      <c r="H439" s="8"/>
      <c r="I439" s="26"/>
      <c r="J439" s="30"/>
      <c r="K439" s="30"/>
      <c r="L439" s="8"/>
    </row>
    <row r="440" spans="1:12" x14ac:dyDescent="0.2">
      <c r="A440" s="8"/>
      <c r="B440" s="8"/>
      <c r="C440" s="8"/>
      <c r="D440" s="8"/>
      <c r="E440" s="8"/>
      <c r="F440" s="8"/>
      <c r="G440" s="8"/>
      <c r="H440" s="8"/>
      <c r="I440" s="26"/>
      <c r="J440" s="30"/>
      <c r="K440" s="30"/>
      <c r="L440" s="8"/>
    </row>
    <row r="441" spans="1:12" x14ac:dyDescent="0.2">
      <c r="A441" s="8"/>
      <c r="B441" s="8"/>
      <c r="C441" s="8"/>
      <c r="D441" s="8"/>
      <c r="E441" s="8"/>
      <c r="F441" s="8"/>
      <c r="G441" s="8"/>
      <c r="H441" s="8"/>
      <c r="I441" s="26"/>
      <c r="J441" s="30"/>
      <c r="K441" s="30"/>
      <c r="L441" s="8"/>
    </row>
    <row r="442" spans="1:12" x14ac:dyDescent="0.2">
      <c r="A442" s="8"/>
      <c r="B442" s="8"/>
      <c r="C442" s="8"/>
      <c r="D442" s="8"/>
      <c r="E442" s="8"/>
      <c r="F442" s="8"/>
      <c r="G442" s="8"/>
      <c r="H442" s="8"/>
      <c r="I442" s="26"/>
      <c r="J442" s="30"/>
      <c r="K442" s="30"/>
      <c r="L442" s="8"/>
    </row>
    <row r="443" spans="1:12" x14ac:dyDescent="0.2">
      <c r="A443" s="8"/>
      <c r="B443" s="8"/>
      <c r="C443" s="8"/>
      <c r="D443" s="8"/>
      <c r="E443" s="8"/>
      <c r="F443" s="8"/>
      <c r="G443" s="8"/>
      <c r="H443" s="8"/>
      <c r="I443" s="26"/>
      <c r="J443" s="30"/>
      <c r="K443" s="30"/>
      <c r="L443" s="8"/>
    </row>
    <row r="444" spans="1:12" x14ac:dyDescent="0.2">
      <c r="A444" s="8"/>
      <c r="B444" s="8"/>
      <c r="C444" s="8"/>
      <c r="D444" s="8"/>
      <c r="E444" s="8"/>
      <c r="F444" s="8"/>
      <c r="G444" s="8"/>
      <c r="H444" s="8"/>
      <c r="I444" s="26"/>
      <c r="J444" s="30"/>
      <c r="K444" s="30"/>
      <c r="L444" s="8"/>
    </row>
    <row r="445" spans="1:12" x14ac:dyDescent="0.2">
      <c r="A445" s="8"/>
      <c r="B445" s="8"/>
      <c r="C445" s="8"/>
      <c r="D445" s="8"/>
      <c r="E445" s="8"/>
      <c r="F445" s="8"/>
      <c r="G445" s="8"/>
      <c r="H445" s="8"/>
      <c r="I445" s="26"/>
      <c r="J445" s="30"/>
      <c r="K445" s="30"/>
      <c r="L445" s="8"/>
    </row>
    <row r="446" spans="1:12" x14ac:dyDescent="0.2">
      <c r="A446" s="8"/>
      <c r="B446" s="8"/>
      <c r="C446" s="8"/>
      <c r="D446" s="8"/>
      <c r="E446" s="8"/>
      <c r="F446" s="8"/>
      <c r="G446" s="8"/>
      <c r="H446" s="8"/>
      <c r="I446" s="26"/>
      <c r="J446" s="30"/>
      <c r="K446" s="30"/>
      <c r="L446" s="8"/>
    </row>
    <row r="447" spans="1:12" x14ac:dyDescent="0.2">
      <c r="A447" s="8"/>
      <c r="B447" s="8"/>
      <c r="C447" s="8"/>
      <c r="D447" s="8"/>
      <c r="E447" s="8"/>
      <c r="F447" s="8"/>
      <c r="G447" s="8"/>
      <c r="H447" s="8"/>
      <c r="I447" s="26"/>
      <c r="J447" s="30"/>
      <c r="K447" s="30"/>
      <c r="L447" s="8"/>
    </row>
    <row r="448" spans="1:12" x14ac:dyDescent="0.2">
      <c r="A448" s="8"/>
      <c r="B448" s="8"/>
      <c r="C448" s="8"/>
      <c r="D448" s="8"/>
      <c r="E448" s="8"/>
      <c r="F448" s="8"/>
      <c r="G448" s="8"/>
      <c r="H448" s="8"/>
      <c r="I448" s="26"/>
      <c r="J448" s="30"/>
      <c r="K448" s="30"/>
      <c r="L448" s="8"/>
    </row>
    <row r="449" spans="1:12" x14ac:dyDescent="0.2">
      <c r="A449" s="8"/>
      <c r="B449" s="8"/>
      <c r="C449" s="8"/>
      <c r="D449" s="8"/>
      <c r="E449" s="8"/>
      <c r="F449" s="8"/>
      <c r="G449" s="8"/>
      <c r="H449" s="8"/>
      <c r="I449" s="26"/>
      <c r="J449" s="30"/>
      <c r="K449" s="30"/>
      <c r="L449" s="8"/>
    </row>
    <row r="450" spans="1:12" x14ac:dyDescent="0.2">
      <c r="A450" s="8"/>
      <c r="B450" s="8"/>
      <c r="C450" s="8"/>
      <c r="D450" s="8"/>
      <c r="E450" s="8"/>
      <c r="F450" s="8"/>
      <c r="G450" s="8"/>
      <c r="H450" s="8"/>
      <c r="I450" s="26"/>
      <c r="J450" s="30"/>
      <c r="K450" s="30"/>
      <c r="L450" s="8"/>
    </row>
    <row r="451" spans="1:12" x14ac:dyDescent="0.2">
      <c r="A451" s="8"/>
      <c r="B451" s="8"/>
      <c r="C451" s="8"/>
      <c r="D451" s="8"/>
      <c r="E451" s="8"/>
      <c r="F451" s="8"/>
      <c r="G451" s="8"/>
      <c r="H451" s="8"/>
      <c r="I451" s="26"/>
      <c r="J451" s="30"/>
      <c r="K451" s="30"/>
      <c r="L451" s="8"/>
    </row>
    <row r="452" spans="1:12" x14ac:dyDescent="0.2">
      <c r="A452" s="8"/>
      <c r="B452" s="8"/>
      <c r="C452" s="8"/>
      <c r="D452" s="8"/>
      <c r="E452" s="8"/>
      <c r="F452" s="8"/>
      <c r="G452" s="8"/>
      <c r="H452" s="8"/>
      <c r="I452" s="26"/>
      <c r="J452" s="30"/>
      <c r="K452" s="30"/>
      <c r="L452" s="8"/>
    </row>
    <row r="453" spans="1:12" x14ac:dyDescent="0.2">
      <c r="A453" s="8"/>
      <c r="B453" s="8"/>
      <c r="C453" s="8"/>
      <c r="D453" s="8"/>
      <c r="E453" s="8"/>
      <c r="F453" s="8"/>
      <c r="G453" s="8"/>
      <c r="H453" s="8"/>
      <c r="I453" s="26"/>
      <c r="J453" s="30"/>
      <c r="K453" s="30"/>
      <c r="L453" s="8"/>
    </row>
    <row r="454" spans="1:12" x14ac:dyDescent="0.2">
      <c r="A454" s="8"/>
      <c r="B454" s="8"/>
      <c r="C454" s="8"/>
      <c r="D454" s="8"/>
      <c r="E454" s="8"/>
      <c r="F454" s="8"/>
      <c r="G454" s="8"/>
      <c r="H454" s="8"/>
      <c r="I454" s="26"/>
      <c r="J454" s="30"/>
      <c r="K454" s="30"/>
      <c r="L454" s="8"/>
    </row>
    <row r="455" spans="1:12" x14ac:dyDescent="0.2">
      <c r="A455" s="8"/>
      <c r="B455" s="8"/>
      <c r="C455" s="8"/>
      <c r="D455" s="8"/>
      <c r="E455" s="8"/>
      <c r="F455" s="8"/>
      <c r="G455" s="8"/>
      <c r="H455" s="8"/>
      <c r="I455" s="26"/>
      <c r="J455" s="30"/>
      <c r="K455" s="30"/>
      <c r="L455" s="8"/>
    </row>
    <row r="456" spans="1:12" x14ac:dyDescent="0.2">
      <c r="A456" s="8"/>
      <c r="B456" s="8"/>
      <c r="C456" s="8"/>
      <c r="D456" s="8"/>
      <c r="E456" s="8"/>
      <c r="F456" s="8"/>
      <c r="G456" s="8"/>
      <c r="H456" s="8"/>
      <c r="I456" s="26"/>
      <c r="J456" s="30"/>
      <c r="K456" s="30"/>
      <c r="L456" s="8"/>
    </row>
    <row r="457" spans="1:12" x14ac:dyDescent="0.2">
      <c r="A457" s="8"/>
      <c r="B457" s="8"/>
      <c r="C457" s="8"/>
      <c r="D457" s="8"/>
      <c r="E457" s="8"/>
      <c r="F457" s="8"/>
      <c r="G457" s="8"/>
      <c r="H457" s="8"/>
      <c r="I457" s="26"/>
      <c r="J457" s="30"/>
      <c r="K457" s="30"/>
      <c r="L457" s="8"/>
    </row>
    <row r="458" spans="1:12" x14ac:dyDescent="0.2">
      <c r="A458" s="8"/>
      <c r="B458" s="8"/>
      <c r="C458" s="8"/>
      <c r="D458" s="8"/>
      <c r="E458" s="8"/>
      <c r="F458" s="8"/>
      <c r="G458" s="8"/>
      <c r="H458" s="8"/>
      <c r="I458" s="26"/>
      <c r="J458" s="30"/>
      <c r="K458" s="30"/>
      <c r="L458" s="8"/>
    </row>
    <row r="459" spans="1:12" x14ac:dyDescent="0.2">
      <c r="A459" s="8"/>
      <c r="B459" s="8"/>
      <c r="C459" s="8"/>
      <c r="D459" s="8"/>
      <c r="E459" s="8"/>
      <c r="F459" s="8"/>
      <c r="G459" s="8"/>
      <c r="H459" s="8"/>
      <c r="I459" s="26"/>
      <c r="J459" s="30"/>
      <c r="K459" s="30"/>
      <c r="L459" s="8"/>
    </row>
    <row r="460" spans="1:12" x14ac:dyDescent="0.2">
      <c r="A460" s="8"/>
      <c r="B460" s="8"/>
      <c r="C460" s="8"/>
      <c r="D460" s="8"/>
      <c r="E460" s="8"/>
      <c r="F460" s="8"/>
      <c r="G460" s="8"/>
      <c r="H460" s="8"/>
      <c r="I460" s="26"/>
      <c r="J460" s="30"/>
      <c r="K460" s="30"/>
      <c r="L460" s="8"/>
    </row>
    <row r="461" spans="1:12" x14ac:dyDescent="0.2">
      <c r="A461" s="8"/>
      <c r="B461" s="8"/>
      <c r="C461" s="8"/>
      <c r="D461" s="8"/>
      <c r="E461" s="8"/>
      <c r="F461" s="8"/>
      <c r="G461" s="8"/>
      <c r="H461" s="8"/>
      <c r="I461" s="26"/>
      <c r="J461" s="30"/>
      <c r="K461" s="30"/>
      <c r="L461" s="8"/>
    </row>
    <row r="462" spans="1:12" x14ac:dyDescent="0.2">
      <c r="A462" s="8"/>
      <c r="B462" s="8"/>
      <c r="C462" s="8"/>
      <c r="D462" s="8"/>
      <c r="E462" s="8"/>
      <c r="F462" s="8"/>
      <c r="G462" s="8"/>
      <c r="H462" s="8"/>
      <c r="I462" s="26"/>
      <c r="J462" s="30"/>
      <c r="K462" s="30"/>
      <c r="L462" s="8"/>
    </row>
    <row r="463" spans="1:12" x14ac:dyDescent="0.2">
      <c r="A463" s="8"/>
      <c r="B463" s="8"/>
      <c r="C463" s="8"/>
      <c r="D463" s="8"/>
      <c r="E463" s="8"/>
      <c r="F463" s="8"/>
      <c r="G463" s="8"/>
      <c r="H463" s="8"/>
      <c r="I463" s="26"/>
      <c r="J463" s="30"/>
      <c r="K463" s="30"/>
      <c r="L463" s="8"/>
    </row>
    <row r="464" spans="1:12" x14ac:dyDescent="0.2">
      <c r="A464" s="8"/>
      <c r="B464" s="8"/>
      <c r="C464" s="8"/>
      <c r="D464" s="8"/>
      <c r="E464" s="8"/>
      <c r="F464" s="8"/>
      <c r="G464" s="8"/>
      <c r="H464" s="8"/>
      <c r="I464" s="26"/>
      <c r="J464" s="30"/>
      <c r="K464" s="30"/>
      <c r="L464" s="8"/>
    </row>
    <row r="465" spans="1:12" x14ac:dyDescent="0.2">
      <c r="A465" s="8"/>
      <c r="B465" s="8"/>
      <c r="C465" s="8"/>
      <c r="D465" s="8"/>
      <c r="E465" s="8"/>
      <c r="F465" s="8"/>
      <c r="G465" s="8"/>
      <c r="H465" s="8"/>
      <c r="I465" s="26"/>
      <c r="J465" s="30"/>
      <c r="K465" s="30"/>
      <c r="L465" s="8"/>
    </row>
    <row r="466" spans="1:12" x14ac:dyDescent="0.2">
      <c r="A466" s="8"/>
      <c r="B466" s="8"/>
      <c r="C466" s="8"/>
      <c r="D466" s="8"/>
      <c r="E466" s="8"/>
      <c r="F466" s="8"/>
      <c r="G466" s="8"/>
      <c r="H466" s="8"/>
      <c r="I466" s="26"/>
      <c r="J466" s="30"/>
      <c r="K466" s="30"/>
      <c r="L466" s="8"/>
    </row>
    <row r="467" spans="1:12" x14ac:dyDescent="0.2">
      <c r="A467" s="8"/>
      <c r="B467" s="8"/>
      <c r="C467" s="8"/>
      <c r="D467" s="8"/>
      <c r="E467" s="8"/>
      <c r="F467" s="8"/>
      <c r="G467" s="8"/>
      <c r="H467" s="8"/>
      <c r="I467" s="26"/>
      <c r="J467" s="30"/>
      <c r="K467" s="30"/>
      <c r="L467" s="8"/>
    </row>
    <row r="468" spans="1:12" x14ac:dyDescent="0.2">
      <c r="A468" s="8"/>
      <c r="B468" s="8"/>
      <c r="C468" s="8"/>
      <c r="D468" s="8"/>
      <c r="E468" s="8"/>
      <c r="F468" s="8"/>
      <c r="G468" s="8"/>
      <c r="H468" s="8"/>
      <c r="I468" s="26"/>
      <c r="J468" s="30"/>
      <c r="K468" s="30"/>
      <c r="L468" s="8"/>
    </row>
    <row r="469" spans="1:12" x14ac:dyDescent="0.2">
      <c r="A469" s="8"/>
      <c r="B469" s="8"/>
      <c r="C469" s="8"/>
      <c r="D469" s="8"/>
      <c r="E469" s="8"/>
      <c r="F469" s="8"/>
      <c r="G469" s="8"/>
      <c r="H469" s="8"/>
      <c r="I469" s="26"/>
      <c r="J469" s="30"/>
      <c r="K469" s="30"/>
      <c r="L469" s="8"/>
    </row>
    <row r="470" spans="1:12" x14ac:dyDescent="0.2">
      <c r="A470" s="8"/>
      <c r="B470" s="8"/>
      <c r="C470" s="8"/>
      <c r="D470" s="8"/>
      <c r="E470" s="8"/>
      <c r="F470" s="8"/>
      <c r="G470" s="8"/>
      <c r="H470" s="8"/>
      <c r="I470" s="26"/>
      <c r="J470" s="30"/>
      <c r="K470" s="30"/>
      <c r="L470" s="8"/>
    </row>
    <row r="471" spans="1:12" x14ac:dyDescent="0.2">
      <c r="A471" s="8"/>
      <c r="B471" s="8"/>
      <c r="C471" s="8"/>
      <c r="D471" s="8"/>
      <c r="E471" s="8"/>
      <c r="F471" s="8"/>
      <c r="G471" s="8"/>
      <c r="H471" s="8"/>
      <c r="I471" s="26"/>
      <c r="J471" s="30"/>
      <c r="K471" s="30"/>
      <c r="L471" s="8"/>
    </row>
    <row r="472" spans="1:12" x14ac:dyDescent="0.2">
      <c r="A472" s="8"/>
      <c r="B472" s="8"/>
      <c r="C472" s="8"/>
      <c r="D472" s="8"/>
      <c r="E472" s="8"/>
      <c r="F472" s="8"/>
      <c r="G472" s="8"/>
      <c r="H472" s="8"/>
      <c r="I472" s="26"/>
      <c r="J472" s="30"/>
      <c r="K472" s="30"/>
      <c r="L472" s="8"/>
    </row>
    <row r="473" spans="1:12" x14ac:dyDescent="0.2">
      <c r="A473" s="8"/>
      <c r="B473" s="8"/>
      <c r="C473" s="8"/>
      <c r="D473" s="8"/>
      <c r="E473" s="8"/>
      <c r="F473" s="8"/>
      <c r="G473" s="8"/>
      <c r="H473" s="8"/>
      <c r="I473" s="26"/>
      <c r="J473" s="30"/>
      <c r="K473" s="30"/>
      <c r="L473" s="8"/>
    </row>
    <row r="474" spans="1:12" x14ac:dyDescent="0.2">
      <c r="A474" s="8"/>
      <c r="B474" s="8"/>
      <c r="C474" s="8"/>
      <c r="D474" s="8"/>
      <c r="E474" s="8"/>
      <c r="F474" s="8"/>
      <c r="G474" s="8"/>
      <c r="H474" s="8"/>
      <c r="I474" s="26"/>
      <c r="J474" s="30"/>
      <c r="K474" s="30"/>
      <c r="L474" s="8"/>
    </row>
    <row r="475" spans="1:12" x14ac:dyDescent="0.2">
      <c r="A475" s="8"/>
      <c r="B475" s="8"/>
      <c r="C475" s="8"/>
      <c r="D475" s="8"/>
      <c r="E475" s="8"/>
      <c r="F475" s="8"/>
      <c r="G475" s="8"/>
      <c r="H475" s="8"/>
      <c r="I475" s="26"/>
      <c r="J475" s="30"/>
      <c r="K475" s="30"/>
      <c r="L475" s="8"/>
    </row>
    <row r="476" spans="1:12" x14ac:dyDescent="0.2">
      <c r="A476" s="8"/>
      <c r="B476" s="8"/>
      <c r="C476" s="8"/>
      <c r="D476" s="8"/>
      <c r="E476" s="8"/>
      <c r="F476" s="8"/>
      <c r="G476" s="8"/>
      <c r="H476" s="8"/>
      <c r="I476" s="26"/>
      <c r="J476" s="30"/>
      <c r="K476" s="30"/>
      <c r="L476" s="8"/>
    </row>
    <row r="477" spans="1:12" x14ac:dyDescent="0.2">
      <c r="A477" s="8"/>
      <c r="B477" s="8"/>
      <c r="C477" s="8"/>
      <c r="D477" s="8"/>
      <c r="E477" s="8"/>
      <c r="F477" s="8"/>
      <c r="G477" s="8"/>
      <c r="H477" s="8"/>
      <c r="I477" s="26"/>
      <c r="J477" s="30"/>
      <c r="K477" s="30"/>
      <c r="L477" s="8"/>
    </row>
    <row r="478" spans="1:12" x14ac:dyDescent="0.2">
      <c r="A478" s="8"/>
      <c r="B478" s="8"/>
      <c r="C478" s="8"/>
      <c r="D478" s="8"/>
      <c r="E478" s="8"/>
      <c r="F478" s="8"/>
      <c r="G478" s="8"/>
      <c r="H478" s="8"/>
      <c r="I478" s="26"/>
      <c r="J478" s="30"/>
      <c r="K478" s="30"/>
      <c r="L478" s="8"/>
    </row>
    <row r="479" spans="1:12" x14ac:dyDescent="0.2">
      <c r="A479" s="8"/>
      <c r="B479" s="8"/>
      <c r="C479" s="8"/>
      <c r="D479" s="8"/>
      <c r="E479" s="8"/>
      <c r="F479" s="8"/>
      <c r="G479" s="8"/>
      <c r="H479" s="8"/>
      <c r="I479" s="26"/>
      <c r="J479" s="30"/>
      <c r="K479" s="30"/>
      <c r="L479" s="8"/>
    </row>
    <row r="480" spans="1:12" x14ac:dyDescent="0.2">
      <c r="A480" s="8"/>
      <c r="B480" s="8"/>
      <c r="C480" s="8"/>
      <c r="D480" s="8"/>
      <c r="E480" s="8"/>
      <c r="F480" s="8"/>
      <c r="G480" s="8"/>
      <c r="H480" s="8"/>
      <c r="I480" s="26"/>
      <c r="J480" s="30"/>
      <c r="K480" s="30"/>
      <c r="L480" s="8"/>
    </row>
    <row r="481" spans="1:12" x14ac:dyDescent="0.2">
      <c r="A481" s="8"/>
      <c r="B481" s="8"/>
      <c r="C481" s="8"/>
      <c r="D481" s="8"/>
      <c r="E481" s="8"/>
      <c r="F481" s="8"/>
      <c r="G481" s="8"/>
      <c r="H481" s="8"/>
      <c r="I481" s="26"/>
      <c r="J481" s="30"/>
      <c r="K481" s="30"/>
      <c r="L481" s="8"/>
    </row>
    <row r="482" spans="1:12" x14ac:dyDescent="0.2">
      <c r="A482" s="8"/>
      <c r="B482" s="8"/>
      <c r="C482" s="8"/>
      <c r="D482" s="8"/>
      <c r="E482" s="8"/>
      <c r="F482" s="8"/>
      <c r="G482" s="8"/>
      <c r="H482" s="8"/>
      <c r="I482" s="26"/>
      <c r="J482" s="30"/>
      <c r="K482" s="30"/>
      <c r="L482" s="8"/>
    </row>
    <row r="483" spans="1:12" x14ac:dyDescent="0.2">
      <c r="A483" s="8"/>
      <c r="B483" s="8"/>
      <c r="C483" s="8"/>
      <c r="D483" s="8"/>
      <c r="E483" s="8"/>
      <c r="F483" s="8"/>
      <c r="G483" s="8"/>
      <c r="H483" s="8"/>
      <c r="I483" s="26"/>
      <c r="J483" s="30"/>
      <c r="K483" s="30"/>
      <c r="L483" s="8"/>
    </row>
    <row r="484" spans="1:12" x14ac:dyDescent="0.2">
      <c r="A484" s="8"/>
      <c r="B484" s="8"/>
      <c r="C484" s="8"/>
      <c r="D484" s="8"/>
      <c r="E484" s="8"/>
      <c r="F484" s="8"/>
      <c r="G484" s="8"/>
      <c r="H484" s="8"/>
      <c r="I484" s="26"/>
      <c r="J484" s="30"/>
      <c r="K484" s="30"/>
      <c r="L484" s="8"/>
    </row>
    <row r="485" spans="1:12" x14ac:dyDescent="0.2">
      <c r="A485" s="8"/>
      <c r="B485" s="8"/>
      <c r="C485" s="8"/>
      <c r="D485" s="8"/>
      <c r="E485" s="8"/>
      <c r="F485" s="8"/>
      <c r="G485" s="8"/>
      <c r="H485" s="8"/>
      <c r="I485" s="26"/>
      <c r="J485" s="30"/>
      <c r="K485" s="30"/>
      <c r="L485" s="8"/>
    </row>
    <row r="486" spans="1:12" x14ac:dyDescent="0.2">
      <c r="A486" s="8"/>
      <c r="B486" s="8"/>
      <c r="C486" s="8"/>
      <c r="D486" s="8"/>
      <c r="E486" s="8"/>
      <c r="F486" s="8"/>
      <c r="G486" s="8"/>
      <c r="H486" s="8"/>
      <c r="I486" s="26"/>
      <c r="J486" s="30"/>
      <c r="K486" s="30"/>
      <c r="L486" s="8"/>
    </row>
    <row r="487" spans="1:12" x14ac:dyDescent="0.2">
      <c r="A487" s="8"/>
      <c r="B487" s="8"/>
      <c r="C487" s="8"/>
      <c r="D487" s="8"/>
      <c r="E487" s="8"/>
      <c r="F487" s="8"/>
      <c r="G487" s="8"/>
      <c r="H487" s="8"/>
      <c r="I487" s="26"/>
      <c r="J487" s="30"/>
      <c r="K487" s="30"/>
      <c r="L487" s="8"/>
    </row>
    <row r="488" spans="1:12" x14ac:dyDescent="0.2">
      <c r="A488" s="8"/>
      <c r="B488" s="8"/>
      <c r="C488" s="8"/>
      <c r="D488" s="8"/>
      <c r="E488" s="8"/>
      <c r="F488" s="8"/>
      <c r="G488" s="8"/>
      <c r="H488" s="8"/>
      <c r="I488" s="26"/>
      <c r="J488" s="30"/>
      <c r="K488" s="30"/>
      <c r="L488" s="8"/>
    </row>
    <row r="489" spans="1:12" x14ac:dyDescent="0.2">
      <c r="A489" s="8"/>
      <c r="B489" s="8"/>
      <c r="C489" s="8"/>
      <c r="D489" s="8"/>
      <c r="E489" s="8"/>
      <c r="F489" s="8"/>
      <c r="G489" s="8"/>
      <c r="H489" s="8"/>
      <c r="I489" s="26"/>
      <c r="J489" s="30"/>
      <c r="K489" s="30"/>
      <c r="L489" s="8"/>
    </row>
    <row r="490" spans="1:12" x14ac:dyDescent="0.2">
      <c r="A490" s="8"/>
      <c r="B490" s="8"/>
      <c r="C490" s="8"/>
      <c r="D490" s="8"/>
      <c r="E490" s="8"/>
      <c r="F490" s="8"/>
      <c r="G490" s="8"/>
      <c r="H490" s="8"/>
      <c r="I490" s="26"/>
      <c r="J490" s="30"/>
      <c r="K490" s="30"/>
      <c r="L490" s="8"/>
    </row>
    <row r="491" spans="1:12" x14ac:dyDescent="0.2">
      <c r="A491" s="8"/>
      <c r="B491" s="8"/>
      <c r="C491" s="8"/>
      <c r="D491" s="8"/>
      <c r="E491" s="8"/>
      <c r="F491" s="8"/>
      <c r="G491" s="8"/>
      <c r="H491" s="8"/>
      <c r="I491" s="26"/>
      <c r="J491" s="30"/>
      <c r="K491" s="30"/>
      <c r="L491" s="8"/>
    </row>
    <row r="492" spans="1:12" x14ac:dyDescent="0.2">
      <c r="A492" s="8"/>
      <c r="B492" s="8"/>
      <c r="C492" s="8"/>
      <c r="D492" s="8"/>
      <c r="E492" s="8"/>
      <c r="F492" s="8"/>
      <c r="G492" s="8"/>
      <c r="H492" s="8"/>
      <c r="I492" s="26"/>
      <c r="J492" s="30"/>
      <c r="K492" s="30"/>
      <c r="L492" s="8"/>
    </row>
    <row r="493" spans="1:12" x14ac:dyDescent="0.2">
      <c r="A493" s="8"/>
      <c r="B493" s="8"/>
      <c r="C493" s="8"/>
      <c r="D493" s="8"/>
      <c r="E493" s="8"/>
      <c r="F493" s="8"/>
      <c r="G493" s="8"/>
      <c r="H493" s="8"/>
      <c r="I493" s="26"/>
      <c r="J493" s="30"/>
      <c r="K493" s="30"/>
      <c r="L493" s="8"/>
    </row>
    <row r="494" spans="1:12" x14ac:dyDescent="0.2">
      <c r="A494" s="8"/>
      <c r="B494" s="8"/>
      <c r="C494" s="8"/>
      <c r="D494" s="8"/>
      <c r="E494" s="8"/>
      <c r="F494" s="8"/>
      <c r="G494" s="8"/>
      <c r="H494" s="8"/>
      <c r="I494" s="26"/>
      <c r="J494" s="30"/>
      <c r="K494" s="30"/>
      <c r="L494" s="8"/>
    </row>
    <row r="495" spans="1:12" x14ac:dyDescent="0.2">
      <c r="A495" s="8"/>
      <c r="B495" s="8"/>
      <c r="C495" s="8"/>
      <c r="D495" s="8"/>
      <c r="E495" s="8"/>
      <c r="F495" s="8"/>
      <c r="G495" s="8"/>
      <c r="H495" s="8"/>
      <c r="I495" s="26"/>
      <c r="J495" s="30"/>
      <c r="K495" s="30"/>
      <c r="L495" s="8"/>
    </row>
    <row r="496" spans="1:12" x14ac:dyDescent="0.2">
      <c r="A496" s="8"/>
      <c r="B496" s="8"/>
      <c r="C496" s="8"/>
      <c r="D496" s="8"/>
      <c r="E496" s="8"/>
      <c r="F496" s="8"/>
      <c r="G496" s="8"/>
      <c r="H496" s="8"/>
      <c r="I496" s="26"/>
      <c r="J496" s="30"/>
      <c r="K496" s="30"/>
      <c r="L496" s="8"/>
    </row>
    <row r="497" spans="1:12" x14ac:dyDescent="0.2">
      <c r="A497" s="8"/>
      <c r="B497" s="8"/>
      <c r="C497" s="8"/>
      <c r="D497" s="8"/>
      <c r="E497" s="8"/>
      <c r="F497" s="8"/>
      <c r="G497" s="8"/>
      <c r="H497" s="8"/>
      <c r="I497" s="26"/>
      <c r="J497" s="30"/>
      <c r="K497" s="30"/>
      <c r="L497" s="8"/>
    </row>
    <row r="498" spans="1:12" x14ac:dyDescent="0.2">
      <c r="A498" s="8"/>
      <c r="B498" s="8"/>
      <c r="C498" s="8"/>
      <c r="D498" s="8"/>
      <c r="E498" s="8"/>
      <c r="F498" s="8"/>
      <c r="G498" s="8"/>
      <c r="H498" s="8"/>
      <c r="I498" s="26"/>
      <c r="J498" s="30"/>
      <c r="K498" s="30"/>
      <c r="L498" s="8"/>
    </row>
    <row r="499" spans="1:12" x14ac:dyDescent="0.2">
      <c r="A499" s="8"/>
      <c r="B499" s="8"/>
      <c r="C499" s="8"/>
      <c r="D499" s="8"/>
      <c r="E499" s="8"/>
      <c r="F499" s="8"/>
      <c r="G499" s="8"/>
      <c r="H499" s="8"/>
      <c r="I499" s="26"/>
      <c r="J499" s="30"/>
      <c r="K499" s="30"/>
      <c r="L499" s="8"/>
    </row>
    <row r="500" spans="1:12" x14ac:dyDescent="0.2">
      <c r="A500" s="8"/>
      <c r="B500" s="8"/>
      <c r="C500" s="8"/>
      <c r="D500" s="8"/>
      <c r="E500" s="8"/>
      <c r="F500" s="8"/>
      <c r="G500" s="8"/>
      <c r="H500" s="8"/>
      <c r="I500" s="26"/>
      <c r="J500" s="30"/>
      <c r="K500" s="30"/>
      <c r="L500" s="8"/>
    </row>
    <row r="501" spans="1:12" x14ac:dyDescent="0.2">
      <c r="A501" s="8"/>
      <c r="B501" s="8"/>
      <c r="C501" s="8"/>
      <c r="D501" s="8"/>
      <c r="E501" s="8"/>
      <c r="F501" s="8"/>
      <c r="G501" s="8"/>
      <c r="H501" s="8"/>
      <c r="I501" s="26"/>
      <c r="J501" s="30"/>
      <c r="K501" s="30"/>
      <c r="L501" s="8"/>
    </row>
    <row r="502" spans="1:12" x14ac:dyDescent="0.2">
      <c r="A502" s="8"/>
      <c r="B502" s="8"/>
      <c r="C502" s="8"/>
      <c r="D502" s="8"/>
      <c r="E502" s="8"/>
      <c r="F502" s="8"/>
      <c r="G502" s="8"/>
      <c r="H502" s="8"/>
      <c r="I502" s="26"/>
      <c r="J502" s="30"/>
      <c r="K502" s="30"/>
      <c r="L502" s="8"/>
    </row>
    <row r="503" spans="1:12" x14ac:dyDescent="0.2">
      <c r="A503" s="8"/>
      <c r="B503" s="8"/>
      <c r="C503" s="8"/>
      <c r="D503" s="8"/>
      <c r="E503" s="8"/>
      <c r="F503" s="8"/>
      <c r="G503" s="8"/>
      <c r="H503" s="8"/>
      <c r="I503" s="26"/>
      <c r="J503" s="30"/>
      <c r="K503" s="30"/>
      <c r="L503" s="8"/>
    </row>
    <row r="504" spans="1:12" x14ac:dyDescent="0.2">
      <c r="A504" s="8"/>
      <c r="B504" s="8"/>
      <c r="C504" s="8"/>
      <c r="D504" s="8"/>
      <c r="E504" s="8"/>
      <c r="F504" s="8"/>
      <c r="G504" s="8"/>
      <c r="H504" s="8"/>
      <c r="I504" s="26"/>
      <c r="J504" s="30"/>
      <c r="K504" s="30"/>
      <c r="L504" s="8"/>
    </row>
    <row r="505" spans="1:12" x14ac:dyDescent="0.2">
      <c r="A505" s="8"/>
      <c r="B505" s="8"/>
      <c r="C505" s="8"/>
      <c r="D505" s="8"/>
      <c r="E505" s="8"/>
      <c r="F505" s="8"/>
      <c r="G505" s="8"/>
      <c r="H505" s="8"/>
      <c r="I505" s="26"/>
      <c r="J505" s="30"/>
      <c r="K505" s="30"/>
      <c r="L505" s="8"/>
    </row>
    <row r="506" spans="1:12" x14ac:dyDescent="0.2">
      <c r="A506" s="8"/>
      <c r="B506" s="8"/>
      <c r="C506" s="8"/>
      <c r="D506" s="8"/>
      <c r="E506" s="8"/>
      <c r="F506" s="8"/>
      <c r="G506" s="8"/>
      <c r="H506" s="8"/>
      <c r="I506" s="26"/>
      <c r="J506" s="30"/>
      <c r="K506" s="30"/>
      <c r="L506" s="8"/>
    </row>
    <row r="507" spans="1:12" x14ac:dyDescent="0.2">
      <c r="A507" s="8"/>
      <c r="B507" s="8"/>
      <c r="C507" s="8"/>
      <c r="D507" s="8"/>
      <c r="E507" s="8"/>
      <c r="F507" s="8"/>
      <c r="G507" s="8"/>
      <c r="H507" s="8"/>
      <c r="I507" s="26"/>
      <c r="J507" s="30"/>
      <c r="K507" s="30"/>
      <c r="L507" s="8"/>
    </row>
    <row r="508" spans="1:12" x14ac:dyDescent="0.2">
      <c r="A508" s="8"/>
      <c r="B508" s="8"/>
      <c r="C508" s="8"/>
      <c r="D508" s="8"/>
      <c r="E508" s="8"/>
      <c r="F508" s="8"/>
      <c r="G508" s="8"/>
      <c r="H508" s="8"/>
      <c r="I508" s="26"/>
      <c r="J508" s="30"/>
      <c r="K508" s="30"/>
      <c r="L508" s="8"/>
    </row>
    <row r="509" spans="1:12" x14ac:dyDescent="0.2">
      <c r="A509" s="8"/>
      <c r="B509" s="8"/>
      <c r="C509" s="8"/>
      <c r="D509" s="8"/>
      <c r="E509" s="8"/>
      <c r="F509" s="8"/>
      <c r="G509" s="8"/>
      <c r="H509" s="8"/>
      <c r="I509" s="26"/>
      <c r="J509" s="30"/>
      <c r="K509" s="30"/>
      <c r="L509" s="8"/>
    </row>
    <row r="510" spans="1:12" x14ac:dyDescent="0.2">
      <c r="A510" s="8"/>
      <c r="B510" s="8"/>
      <c r="C510" s="8"/>
      <c r="D510" s="8"/>
      <c r="E510" s="8"/>
      <c r="F510" s="8"/>
      <c r="G510" s="8"/>
      <c r="H510" s="8"/>
      <c r="I510" s="26"/>
      <c r="J510" s="30"/>
      <c r="K510" s="30"/>
      <c r="L510" s="8"/>
    </row>
    <row r="511" spans="1:12" x14ac:dyDescent="0.2">
      <c r="A511" s="8"/>
      <c r="B511" s="8"/>
      <c r="C511" s="8"/>
      <c r="D511" s="8"/>
      <c r="E511" s="8"/>
      <c r="F511" s="8"/>
      <c r="G511" s="8"/>
      <c r="H511" s="8"/>
      <c r="I511" s="26"/>
      <c r="J511" s="30"/>
      <c r="K511" s="30"/>
      <c r="L511" s="8"/>
    </row>
    <row r="512" spans="1:12" x14ac:dyDescent="0.2">
      <c r="A512" s="8"/>
      <c r="B512" s="8"/>
      <c r="C512" s="8"/>
      <c r="D512" s="8"/>
      <c r="E512" s="8"/>
      <c r="F512" s="8"/>
      <c r="G512" s="8"/>
      <c r="H512" s="8"/>
      <c r="I512" s="26"/>
      <c r="J512" s="30"/>
      <c r="K512" s="30"/>
      <c r="L512" s="8"/>
    </row>
    <row r="513" spans="1:12" x14ac:dyDescent="0.2">
      <c r="A513" s="8"/>
      <c r="B513" s="8"/>
      <c r="C513" s="8"/>
      <c r="D513" s="8"/>
      <c r="E513" s="8"/>
      <c r="F513" s="8"/>
      <c r="G513" s="8"/>
      <c r="H513" s="8"/>
      <c r="I513" s="26"/>
      <c r="J513" s="30"/>
      <c r="K513" s="30"/>
      <c r="L513" s="8"/>
    </row>
    <row r="514" spans="1:12" x14ac:dyDescent="0.2">
      <c r="A514" s="8"/>
      <c r="B514" s="8"/>
      <c r="C514" s="8"/>
      <c r="D514" s="8"/>
      <c r="E514" s="8"/>
      <c r="F514" s="8"/>
      <c r="G514" s="8"/>
      <c r="H514" s="8"/>
      <c r="I514" s="26"/>
      <c r="J514" s="30"/>
      <c r="K514" s="30"/>
      <c r="L514" s="8"/>
    </row>
    <row r="515" spans="1:12" x14ac:dyDescent="0.2">
      <c r="A515" s="8"/>
      <c r="B515" s="8"/>
      <c r="C515" s="8"/>
      <c r="D515" s="8"/>
      <c r="E515" s="8"/>
      <c r="F515" s="8"/>
      <c r="G515" s="8"/>
      <c r="H515" s="8"/>
      <c r="I515" s="26"/>
      <c r="J515" s="30"/>
      <c r="K515" s="30"/>
      <c r="L515" s="8"/>
    </row>
    <row r="516" spans="1:12" x14ac:dyDescent="0.2">
      <c r="A516" s="8"/>
      <c r="B516" s="8"/>
      <c r="C516" s="8"/>
      <c r="D516" s="8"/>
      <c r="E516" s="8"/>
      <c r="F516" s="8"/>
      <c r="G516" s="8"/>
      <c r="H516" s="8"/>
      <c r="I516" s="26"/>
      <c r="J516" s="30"/>
      <c r="K516" s="30"/>
      <c r="L516" s="8"/>
    </row>
    <row r="517" spans="1:12" x14ac:dyDescent="0.2">
      <c r="A517" s="8"/>
      <c r="B517" s="8"/>
      <c r="C517" s="8"/>
      <c r="D517" s="8"/>
      <c r="E517" s="8"/>
      <c r="F517" s="8"/>
      <c r="G517" s="8"/>
      <c r="H517" s="8"/>
      <c r="I517" s="26"/>
      <c r="J517" s="30"/>
      <c r="K517" s="30"/>
      <c r="L517" s="8"/>
    </row>
    <row r="518" spans="1:12" x14ac:dyDescent="0.2">
      <c r="A518" s="8"/>
      <c r="B518" s="8"/>
      <c r="C518" s="8"/>
      <c r="D518" s="8"/>
      <c r="E518" s="8"/>
      <c r="F518" s="8"/>
      <c r="G518" s="8"/>
      <c r="H518" s="8"/>
      <c r="I518" s="26"/>
      <c r="J518" s="30"/>
      <c r="K518" s="30"/>
      <c r="L518" s="8"/>
    </row>
    <row r="519" spans="1:12" x14ac:dyDescent="0.2">
      <c r="A519" s="8"/>
      <c r="B519" s="8"/>
      <c r="C519" s="8"/>
      <c r="D519" s="8"/>
      <c r="E519" s="8"/>
      <c r="F519" s="8"/>
      <c r="G519" s="8"/>
      <c r="H519" s="8"/>
      <c r="I519" s="26"/>
      <c r="J519" s="30"/>
      <c r="K519" s="30"/>
      <c r="L519" s="8"/>
    </row>
    <row r="520" spans="1:12" x14ac:dyDescent="0.2">
      <c r="A520" s="8"/>
      <c r="B520" s="8"/>
      <c r="C520" s="8"/>
      <c r="D520" s="8"/>
      <c r="E520" s="8"/>
      <c r="F520" s="8"/>
      <c r="G520" s="8"/>
      <c r="H520" s="8"/>
      <c r="I520" s="26"/>
      <c r="J520" s="30"/>
      <c r="K520" s="30"/>
      <c r="L520" s="8"/>
    </row>
    <row r="521" spans="1:12" x14ac:dyDescent="0.2">
      <c r="A521" s="8"/>
      <c r="B521" s="8"/>
      <c r="C521" s="8"/>
      <c r="D521" s="8"/>
      <c r="E521" s="8"/>
      <c r="F521" s="8"/>
      <c r="G521" s="8"/>
      <c r="H521" s="8"/>
      <c r="I521" s="26"/>
      <c r="J521" s="30"/>
      <c r="K521" s="30"/>
      <c r="L521" s="8"/>
    </row>
    <row r="522" spans="1:12" x14ac:dyDescent="0.2">
      <c r="A522" s="8"/>
      <c r="B522" s="8"/>
      <c r="C522" s="8"/>
      <c r="D522" s="8"/>
      <c r="E522" s="8"/>
      <c r="F522" s="8"/>
      <c r="G522" s="8"/>
      <c r="H522" s="8"/>
      <c r="I522" s="26"/>
      <c r="J522" s="30"/>
      <c r="K522" s="30"/>
      <c r="L522" s="8"/>
    </row>
    <row r="523" spans="1:12" x14ac:dyDescent="0.2">
      <c r="A523" s="8"/>
      <c r="B523" s="8"/>
      <c r="C523" s="8"/>
      <c r="D523" s="8"/>
      <c r="E523" s="8"/>
      <c r="F523" s="8"/>
      <c r="G523" s="8"/>
      <c r="H523" s="8"/>
      <c r="I523" s="26"/>
      <c r="J523" s="30"/>
      <c r="K523" s="30"/>
      <c r="L523" s="8"/>
    </row>
    <row r="524" spans="1:12" x14ac:dyDescent="0.2">
      <c r="A524" s="8"/>
      <c r="B524" s="8"/>
      <c r="C524" s="8"/>
      <c r="D524" s="8"/>
      <c r="E524" s="8"/>
      <c r="F524" s="8"/>
      <c r="G524" s="8"/>
      <c r="H524" s="8"/>
      <c r="I524" s="26"/>
      <c r="J524" s="30"/>
      <c r="K524" s="30"/>
      <c r="L524" s="8"/>
    </row>
    <row r="525" spans="1:12" x14ac:dyDescent="0.2">
      <c r="A525" s="8"/>
      <c r="B525" s="8"/>
      <c r="C525" s="8"/>
      <c r="D525" s="8"/>
      <c r="E525" s="8"/>
      <c r="F525" s="8"/>
      <c r="G525" s="8"/>
      <c r="H525" s="8"/>
      <c r="I525" s="26"/>
      <c r="J525" s="30"/>
      <c r="K525" s="30"/>
      <c r="L525" s="8"/>
    </row>
    <row r="526" spans="1:12" x14ac:dyDescent="0.2">
      <c r="A526" s="8"/>
      <c r="B526" s="8"/>
      <c r="C526" s="8"/>
      <c r="D526" s="8"/>
      <c r="E526" s="8"/>
      <c r="F526" s="8"/>
      <c r="G526" s="8"/>
      <c r="H526" s="8"/>
      <c r="I526" s="26"/>
      <c r="J526" s="30"/>
      <c r="K526" s="30"/>
      <c r="L526" s="8"/>
    </row>
    <row r="527" spans="1:12" x14ac:dyDescent="0.2">
      <c r="A527" s="8"/>
      <c r="B527" s="8"/>
      <c r="C527" s="8"/>
      <c r="D527" s="8"/>
      <c r="E527" s="8"/>
      <c r="F527" s="8"/>
      <c r="G527" s="8"/>
      <c r="H527" s="8"/>
      <c r="I527" s="26"/>
      <c r="J527" s="30"/>
      <c r="K527" s="30"/>
      <c r="L527" s="8"/>
    </row>
    <row r="528" spans="1:12" x14ac:dyDescent="0.2">
      <c r="A528" s="8"/>
      <c r="B528" s="8"/>
      <c r="C528" s="8"/>
      <c r="D528" s="8"/>
      <c r="E528" s="8"/>
      <c r="F528" s="8"/>
      <c r="G528" s="8"/>
      <c r="H528" s="8"/>
      <c r="I528" s="26"/>
      <c r="J528" s="30"/>
      <c r="K528" s="30"/>
      <c r="L528" s="8"/>
    </row>
    <row r="529" spans="1:12" x14ac:dyDescent="0.2">
      <c r="A529" s="8"/>
      <c r="B529" s="8"/>
      <c r="C529" s="8"/>
      <c r="D529" s="8"/>
      <c r="E529" s="8"/>
      <c r="F529" s="8"/>
      <c r="G529" s="8"/>
      <c r="H529" s="8"/>
      <c r="I529" s="26"/>
      <c r="J529" s="30"/>
      <c r="K529" s="30"/>
      <c r="L529" s="8"/>
    </row>
    <row r="530" spans="1:12" x14ac:dyDescent="0.2">
      <c r="A530" s="8"/>
      <c r="B530" s="8"/>
      <c r="C530" s="8"/>
      <c r="D530" s="8"/>
      <c r="E530" s="8"/>
      <c r="F530" s="8"/>
      <c r="G530" s="8"/>
      <c r="H530" s="8"/>
      <c r="I530" s="26"/>
      <c r="J530" s="30"/>
      <c r="K530" s="30"/>
      <c r="L530" s="8"/>
    </row>
    <row r="531" spans="1:12" x14ac:dyDescent="0.2">
      <c r="A531" s="8"/>
      <c r="B531" s="8"/>
      <c r="C531" s="8"/>
      <c r="D531" s="8"/>
      <c r="E531" s="8"/>
      <c r="F531" s="8"/>
      <c r="G531" s="8"/>
      <c r="H531" s="8"/>
      <c r="I531" s="26"/>
      <c r="J531" s="30"/>
      <c r="K531" s="30"/>
      <c r="L531" s="8"/>
    </row>
    <row r="532" spans="1:12" x14ac:dyDescent="0.2">
      <c r="A532" s="8"/>
      <c r="B532" s="8"/>
      <c r="C532" s="8"/>
      <c r="D532" s="8"/>
      <c r="E532" s="8"/>
      <c r="F532" s="8"/>
      <c r="G532" s="8"/>
      <c r="H532" s="8"/>
      <c r="I532" s="26"/>
      <c r="J532" s="30"/>
      <c r="K532" s="30"/>
      <c r="L532" s="8"/>
    </row>
    <row r="533" spans="1:12" x14ac:dyDescent="0.2">
      <c r="A533" s="8"/>
      <c r="B533" s="8"/>
      <c r="C533" s="8"/>
      <c r="D533" s="8"/>
      <c r="E533" s="8"/>
      <c r="F533" s="8"/>
      <c r="G533" s="8"/>
      <c r="H533" s="8"/>
      <c r="I533" s="26"/>
      <c r="J533" s="30"/>
      <c r="K533" s="30"/>
      <c r="L533" s="8"/>
    </row>
    <row r="534" spans="1:12" x14ac:dyDescent="0.2">
      <c r="A534" s="8"/>
      <c r="B534" s="8"/>
      <c r="C534" s="8"/>
      <c r="D534" s="8"/>
      <c r="E534" s="8"/>
      <c r="F534" s="8"/>
      <c r="G534" s="8"/>
      <c r="H534" s="8"/>
      <c r="I534" s="26"/>
      <c r="J534" s="30"/>
      <c r="K534" s="30"/>
      <c r="L534" s="8"/>
    </row>
    <row r="535" spans="1:12" x14ac:dyDescent="0.2">
      <c r="A535" s="8"/>
      <c r="B535" s="8"/>
      <c r="C535" s="8"/>
      <c r="D535" s="8"/>
      <c r="E535" s="8"/>
      <c r="F535" s="8"/>
      <c r="G535" s="8"/>
      <c r="H535" s="8"/>
      <c r="I535" s="26"/>
      <c r="J535" s="30"/>
      <c r="K535" s="30"/>
      <c r="L535" s="8"/>
    </row>
    <row r="536" spans="1:12" x14ac:dyDescent="0.2">
      <c r="A536" s="8"/>
      <c r="B536" s="8"/>
      <c r="C536" s="8"/>
      <c r="D536" s="8"/>
      <c r="E536" s="8"/>
      <c r="F536" s="8"/>
      <c r="G536" s="8"/>
      <c r="H536" s="8"/>
      <c r="I536" s="26"/>
      <c r="J536" s="30"/>
      <c r="K536" s="30"/>
      <c r="L536" s="8"/>
    </row>
    <row r="537" spans="1:12" x14ac:dyDescent="0.2">
      <c r="A537" s="8"/>
      <c r="B537" s="8"/>
      <c r="C537" s="8"/>
      <c r="D537" s="8"/>
      <c r="E537" s="8"/>
      <c r="F537" s="8"/>
      <c r="G537" s="8"/>
      <c r="H537" s="8"/>
      <c r="I537" s="26"/>
      <c r="J537" s="30"/>
      <c r="K537" s="30"/>
      <c r="L537" s="8"/>
    </row>
    <row r="538" spans="1:12" x14ac:dyDescent="0.2">
      <c r="A538" s="8"/>
      <c r="B538" s="8"/>
      <c r="C538" s="8"/>
      <c r="D538" s="8"/>
      <c r="E538" s="8"/>
      <c r="F538" s="8"/>
      <c r="G538" s="8"/>
      <c r="H538" s="8"/>
      <c r="I538" s="26"/>
      <c r="J538" s="30"/>
      <c r="K538" s="30"/>
      <c r="L538" s="8"/>
    </row>
    <row r="539" spans="1:12" x14ac:dyDescent="0.2">
      <c r="A539" s="8"/>
      <c r="B539" s="8"/>
      <c r="C539" s="8"/>
      <c r="D539" s="8"/>
      <c r="E539" s="8"/>
      <c r="F539" s="8"/>
      <c r="G539" s="8"/>
      <c r="H539" s="8"/>
      <c r="I539" s="26"/>
      <c r="J539" s="30"/>
      <c r="K539" s="30"/>
      <c r="L539" s="8"/>
    </row>
    <row r="540" spans="1:12" x14ac:dyDescent="0.2">
      <c r="A540" s="8"/>
      <c r="B540" s="8"/>
      <c r="C540" s="8"/>
      <c r="D540" s="8"/>
      <c r="E540" s="8"/>
      <c r="F540" s="8"/>
      <c r="G540" s="8"/>
      <c r="H540" s="8"/>
      <c r="I540" s="26"/>
      <c r="J540" s="30"/>
      <c r="K540" s="30"/>
      <c r="L540" s="8"/>
    </row>
    <row r="541" spans="1:12" x14ac:dyDescent="0.2">
      <c r="A541" s="8"/>
      <c r="B541" s="8"/>
      <c r="C541" s="8"/>
      <c r="D541" s="8"/>
      <c r="E541" s="8"/>
      <c r="F541" s="8"/>
      <c r="G541" s="8"/>
      <c r="H541" s="8"/>
      <c r="I541" s="26"/>
      <c r="J541" s="30"/>
      <c r="K541" s="30"/>
      <c r="L541" s="8"/>
    </row>
    <row r="542" spans="1:12" x14ac:dyDescent="0.2">
      <c r="A542" s="8"/>
      <c r="B542" s="8"/>
      <c r="C542" s="8"/>
      <c r="D542" s="8"/>
      <c r="E542" s="8"/>
      <c r="F542" s="8"/>
      <c r="G542" s="8"/>
      <c r="H542" s="8"/>
      <c r="I542" s="26"/>
      <c r="J542" s="30"/>
      <c r="K542" s="30"/>
      <c r="L542" s="8"/>
    </row>
    <row r="543" spans="1:12" x14ac:dyDescent="0.2">
      <c r="A543" s="8"/>
      <c r="B543" s="8"/>
      <c r="C543" s="8"/>
      <c r="D543" s="8"/>
      <c r="E543" s="8"/>
      <c r="F543" s="8"/>
      <c r="G543" s="8"/>
      <c r="H543" s="8"/>
      <c r="I543" s="26"/>
      <c r="J543" s="30"/>
      <c r="K543" s="30"/>
      <c r="L543" s="8"/>
    </row>
    <row r="544" spans="1:12" x14ac:dyDescent="0.2">
      <c r="A544" s="8"/>
      <c r="B544" s="8"/>
      <c r="C544" s="8"/>
      <c r="D544" s="8"/>
      <c r="E544" s="8"/>
      <c r="F544" s="8"/>
      <c r="G544" s="8"/>
      <c r="H544" s="8"/>
      <c r="I544" s="26"/>
      <c r="J544" s="30"/>
      <c r="K544" s="30"/>
      <c r="L544" s="8"/>
    </row>
    <row r="545" spans="1:12" x14ac:dyDescent="0.2">
      <c r="A545" s="8"/>
      <c r="B545" s="8"/>
      <c r="C545" s="8"/>
      <c r="D545" s="8"/>
      <c r="E545" s="8"/>
      <c r="F545" s="8"/>
      <c r="G545" s="8"/>
      <c r="H545" s="8"/>
      <c r="I545" s="26"/>
      <c r="J545" s="30"/>
      <c r="K545" s="30"/>
      <c r="L545" s="8"/>
    </row>
    <row r="546" spans="1:12" x14ac:dyDescent="0.2">
      <c r="A546" s="8"/>
      <c r="B546" s="8"/>
      <c r="C546" s="8"/>
      <c r="D546" s="8"/>
      <c r="E546" s="8"/>
      <c r="F546" s="8"/>
      <c r="G546" s="8"/>
      <c r="H546" s="8"/>
      <c r="I546" s="26"/>
      <c r="J546" s="30"/>
      <c r="K546" s="30"/>
      <c r="L546" s="8"/>
    </row>
    <row r="547" spans="1:12" x14ac:dyDescent="0.2">
      <c r="A547" s="8"/>
      <c r="B547" s="8"/>
      <c r="C547" s="8"/>
      <c r="D547" s="8"/>
      <c r="E547" s="8"/>
      <c r="F547" s="8"/>
      <c r="G547" s="8"/>
      <c r="H547" s="8"/>
      <c r="I547" s="26"/>
      <c r="J547" s="30"/>
      <c r="K547" s="30"/>
      <c r="L547" s="8"/>
    </row>
    <row r="548" spans="1:12" x14ac:dyDescent="0.2">
      <c r="A548" s="8"/>
      <c r="B548" s="8"/>
      <c r="C548" s="8"/>
      <c r="D548" s="8"/>
      <c r="E548" s="8"/>
      <c r="F548" s="8"/>
      <c r="G548" s="8"/>
      <c r="H548" s="8"/>
      <c r="I548" s="26"/>
      <c r="J548" s="30"/>
      <c r="K548" s="30"/>
      <c r="L548" s="8"/>
    </row>
    <row r="549" spans="1:12" x14ac:dyDescent="0.2">
      <c r="A549" s="8"/>
      <c r="B549" s="8"/>
      <c r="C549" s="8"/>
      <c r="D549" s="8"/>
      <c r="E549" s="8"/>
      <c r="F549" s="8"/>
      <c r="G549" s="8"/>
      <c r="H549" s="8"/>
      <c r="I549" s="26"/>
      <c r="J549" s="30"/>
      <c r="K549" s="30"/>
      <c r="L549" s="8"/>
    </row>
    <row r="550" spans="1:12" x14ac:dyDescent="0.2">
      <c r="A550" s="8"/>
      <c r="B550" s="8"/>
      <c r="C550" s="8"/>
      <c r="D550" s="8"/>
      <c r="E550" s="8"/>
      <c r="F550" s="8"/>
      <c r="G550" s="8"/>
      <c r="H550" s="8"/>
      <c r="I550" s="26"/>
      <c r="J550" s="30"/>
      <c r="K550" s="30"/>
      <c r="L550" s="8"/>
    </row>
    <row r="551" spans="1:12" x14ac:dyDescent="0.2">
      <c r="A551" s="8"/>
      <c r="B551" s="8"/>
      <c r="C551" s="8"/>
      <c r="D551" s="8"/>
      <c r="E551" s="8"/>
      <c r="F551" s="8"/>
      <c r="G551" s="8"/>
      <c r="H551" s="8"/>
      <c r="I551" s="26"/>
      <c r="J551" s="30"/>
      <c r="K551" s="30"/>
      <c r="L551" s="8"/>
    </row>
    <row r="552" spans="1:12" x14ac:dyDescent="0.2">
      <c r="A552" s="8"/>
      <c r="B552" s="8"/>
      <c r="C552" s="8"/>
      <c r="D552" s="8"/>
      <c r="E552" s="8"/>
      <c r="F552" s="8"/>
      <c r="G552" s="8"/>
      <c r="H552" s="8"/>
      <c r="I552" s="26"/>
      <c r="J552" s="30"/>
      <c r="K552" s="30"/>
      <c r="L552" s="8"/>
    </row>
    <row r="553" spans="1:12" x14ac:dyDescent="0.2">
      <c r="A553" s="8"/>
      <c r="B553" s="8"/>
      <c r="C553" s="8"/>
      <c r="D553" s="8"/>
      <c r="E553" s="8"/>
      <c r="F553" s="8"/>
      <c r="G553" s="8"/>
      <c r="H553" s="8"/>
      <c r="I553" s="26"/>
      <c r="J553" s="30"/>
      <c r="K553" s="30"/>
      <c r="L553" s="8"/>
    </row>
    <row r="554" spans="1:12" x14ac:dyDescent="0.2">
      <c r="A554" s="8"/>
      <c r="B554" s="8"/>
      <c r="C554" s="8"/>
      <c r="D554" s="8"/>
      <c r="E554" s="8"/>
      <c r="F554" s="8"/>
      <c r="G554" s="8"/>
      <c r="H554" s="8"/>
      <c r="I554" s="26"/>
      <c r="J554" s="30"/>
      <c r="K554" s="30"/>
      <c r="L554" s="8"/>
    </row>
    <row r="555" spans="1:12" x14ac:dyDescent="0.2">
      <c r="A555" s="8"/>
      <c r="B555" s="8"/>
      <c r="C555" s="8"/>
      <c r="D555" s="8"/>
      <c r="E555" s="8"/>
      <c r="F555" s="8"/>
      <c r="G555" s="8"/>
      <c r="H555" s="8"/>
      <c r="I555" s="26"/>
      <c r="J555" s="30"/>
      <c r="K555" s="30"/>
      <c r="L555" s="8"/>
    </row>
    <row r="556" spans="1:12" x14ac:dyDescent="0.2">
      <c r="A556" s="8"/>
      <c r="B556" s="8"/>
      <c r="C556" s="8"/>
      <c r="D556" s="8"/>
      <c r="E556" s="8"/>
      <c r="F556" s="8"/>
      <c r="G556" s="8"/>
      <c r="H556" s="8"/>
      <c r="I556" s="26"/>
      <c r="J556" s="30"/>
      <c r="K556" s="30"/>
      <c r="L556" s="8"/>
    </row>
    <row r="557" spans="1:12" x14ac:dyDescent="0.2">
      <c r="A557" s="8"/>
      <c r="B557" s="8"/>
      <c r="C557" s="8"/>
      <c r="D557" s="8"/>
      <c r="E557" s="8"/>
      <c r="F557" s="8"/>
      <c r="G557" s="8"/>
      <c r="H557" s="8"/>
      <c r="I557" s="26"/>
      <c r="J557" s="30"/>
      <c r="K557" s="30"/>
      <c r="L557" s="8"/>
    </row>
    <row r="558" spans="1:12" x14ac:dyDescent="0.2">
      <c r="A558" s="8"/>
      <c r="B558" s="8"/>
      <c r="C558" s="8"/>
      <c r="D558" s="8"/>
      <c r="E558" s="8"/>
      <c r="F558" s="8"/>
      <c r="G558" s="8"/>
      <c r="H558" s="8"/>
      <c r="I558" s="26"/>
      <c r="J558" s="30"/>
      <c r="K558" s="30"/>
      <c r="L558" s="8"/>
    </row>
    <row r="559" spans="1:12" x14ac:dyDescent="0.2">
      <c r="A559" s="8"/>
      <c r="B559" s="8"/>
      <c r="C559" s="8"/>
      <c r="D559" s="8"/>
      <c r="E559" s="8"/>
      <c r="F559" s="8"/>
      <c r="G559" s="8"/>
      <c r="H559" s="8"/>
      <c r="I559" s="26"/>
      <c r="J559" s="30"/>
      <c r="K559" s="30"/>
      <c r="L559" s="8"/>
    </row>
    <row r="560" spans="1:12" x14ac:dyDescent="0.2">
      <c r="A560" s="8"/>
      <c r="B560" s="8"/>
      <c r="C560" s="8"/>
      <c r="D560" s="8"/>
      <c r="E560" s="8"/>
      <c r="F560" s="8"/>
      <c r="G560" s="8"/>
      <c r="H560" s="8"/>
      <c r="I560" s="26"/>
      <c r="J560" s="30"/>
      <c r="K560" s="30"/>
      <c r="L560" s="8"/>
    </row>
    <row r="561" spans="1:12" x14ac:dyDescent="0.2">
      <c r="A561" s="8"/>
      <c r="B561" s="8"/>
      <c r="C561" s="8"/>
      <c r="D561" s="8"/>
      <c r="E561" s="8"/>
      <c r="F561" s="8"/>
      <c r="G561" s="8"/>
      <c r="H561" s="8"/>
      <c r="I561" s="26"/>
      <c r="J561" s="30"/>
      <c r="K561" s="30"/>
      <c r="L561" s="8"/>
    </row>
    <row r="562" spans="1:12" x14ac:dyDescent="0.2">
      <c r="A562" s="8"/>
      <c r="B562" s="8"/>
      <c r="C562" s="8"/>
      <c r="D562" s="8"/>
      <c r="E562" s="8"/>
      <c r="F562" s="8"/>
      <c r="G562" s="8"/>
      <c r="H562" s="8"/>
      <c r="I562" s="26"/>
      <c r="J562" s="30"/>
      <c r="K562" s="30"/>
      <c r="L562" s="8"/>
    </row>
    <row r="563" spans="1:12" x14ac:dyDescent="0.2">
      <c r="A563" s="8"/>
      <c r="B563" s="8"/>
      <c r="C563" s="8"/>
      <c r="D563" s="8"/>
      <c r="E563" s="8"/>
      <c r="F563" s="8"/>
      <c r="G563" s="8"/>
      <c r="H563" s="8"/>
      <c r="I563" s="26"/>
      <c r="J563" s="30"/>
      <c r="K563" s="30"/>
      <c r="L563" s="8"/>
    </row>
    <row r="564" spans="1:12" x14ac:dyDescent="0.2">
      <c r="A564" s="8"/>
      <c r="B564" s="8"/>
      <c r="C564" s="8"/>
      <c r="D564" s="8"/>
      <c r="E564" s="8"/>
      <c r="F564" s="8"/>
      <c r="G564" s="8"/>
      <c r="H564" s="8"/>
      <c r="I564" s="26"/>
      <c r="J564" s="30"/>
      <c r="K564" s="30"/>
      <c r="L564" s="8"/>
    </row>
    <row r="565" spans="1:12" x14ac:dyDescent="0.2">
      <c r="A565" s="8"/>
      <c r="B565" s="8"/>
      <c r="C565" s="8"/>
      <c r="D565" s="8"/>
      <c r="E565" s="8"/>
      <c r="F565" s="8"/>
      <c r="G565" s="8"/>
      <c r="H565" s="8"/>
      <c r="I565" s="26"/>
      <c r="J565" s="30"/>
      <c r="K565" s="30"/>
      <c r="L565" s="8"/>
    </row>
    <row r="566" spans="1:12" x14ac:dyDescent="0.2">
      <c r="A566" s="8"/>
      <c r="B566" s="8"/>
      <c r="C566" s="8"/>
      <c r="D566" s="8"/>
      <c r="E566" s="8"/>
      <c r="F566" s="8"/>
      <c r="G566" s="8"/>
      <c r="H566" s="8"/>
      <c r="I566" s="26"/>
      <c r="J566" s="30"/>
      <c r="K566" s="30"/>
      <c r="L566" s="8"/>
    </row>
    <row r="567" spans="1:12" x14ac:dyDescent="0.2">
      <c r="A567" s="8"/>
      <c r="B567" s="8"/>
      <c r="C567" s="8"/>
      <c r="D567" s="8"/>
      <c r="E567" s="8"/>
      <c r="F567" s="8"/>
      <c r="G567" s="8"/>
      <c r="H567" s="8"/>
      <c r="I567" s="26"/>
      <c r="J567" s="30"/>
      <c r="K567" s="30"/>
      <c r="L567" s="8"/>
    </row>
    <row r="568" spans="1:12" x14ac:dyDescent="0.2">
      <c r="A568" s="8"/>
      <c r="B568" s="8"/>
      <c r="C568" s="8"/>
      <c r="D568" s="8"/>
      <c r="E568" s="8"/>
      <c r="F568" s="8"/>
      <c r="G568" s="8"/>
      <c r="H568" s="8"/>
      <c r="I568" s="26"/>
      <c r="J568" s="30"/>
      <c r="K568" s="30"/>
      <c r="L568" s="8"/>
    </row>
    <row r="569" spans="1:12" x14ac:dyDescent="0.2">
      <c r="A569" s="8"/>
      <c r="B569" s="8"/>
      <c r="C569" s="8"/>
      <c r="D569" s="8"/>
      <c r="E569" s="8"/>
      <c r="F569" s="8"/>
      <c r="G569" s="8"/>
      <c r="H569" s="8"/>
      <c r="I569" s="26"/>
      <c r="J569" s="30"/>
      <c r="K569" s="30"/>
      <c r="L569" s="8"/>
    </row>
    <row r="570" spans="1:12" x14ac:dyDescent="0.2">
      <c r="A570" s="8"/>
      <c r="B570" s="8"/>
      <c r="C570" s="8"/>
      <c r="D570" s="8"/>
      <c r="E570" s="8"/>
      <c r="F570" s="8"/>
      <c r="G570" s="8"/>
      <c r="H570" s="8"/>
      <c r="I570" s="26"/>
      <c r="J570" s="30"/>
      <c r="K570" s="30"/>
      <c r="L570" s="8"/>
    </row>
    <row r="571" spans="1:12" x14ac:dyDescent="0.2">
      <c r="A571" s="8"/>
      <c r="B571" s="8"/>
      <c r="C571" s="8"/>
      <c r="D571" s="8"/>
      <c r="E571" s="8"/>
      <c r="F571" s="8"/>
      <c r="G571" s="8"/>
      <c r="H571" s="8"/>
      <c r="I571" s="26"/>
      <c r="J571" s="30"/>
      <c r="K571" s="30"/>
      <c r="L571" s="8"/>
    </row>
    <row r="572" spans="1:12" x14ac:dyDescent="0.2">
      <c r="A572" s="8"/>
      <c r="B572" s="8"/>
      <c r="C572" s="8"/>
      <c r="D572" s="8"/>
      <c r="E572" s="8"/>
      <c r="F572" s="8"/>
      <c r="G572" s="8"/>
      <c r="H572" s="8"/>
      <c r="I572" s="26"/>
      <c r="J572" s="30"/>
      <c r="K572" s="30"/>
      <c r="L572" s="8"/>
    </row>
    <row r="573" spans="1:12" x14ac:dyDescent="0.2">
      <c r="A573" s="8"/>
      <c r="B573" s="8"/>
      <c r="C573" s="8"/>
      <c r="D573" s="8"/>
      <c r="E573" s="8"/>
      <c r="F573" s="8"/>
      <c r="G573" s="8"/>
      <c r="H573" s="8"/>
      <c r="I573" s="26"/>
      <c r="J573" s="30"/>
      <c r="K573" s="30"/>
      <c r="L573" s="8"/>
    </row>
    <row r="574" spans="1:12" x14ac:dyDescent="0.2">
      <c r="A574" s="8"/>
      <c r="B574" s="8"/>
      <c r="C574" s="8"/>
      <c r="D574" s="8"/>
      <c r="E574" s="8"/>
      <c r="F574" s="8"/>
      <c r="G574" s="8"/>
      <c r="H574" s="8"/>
      <c r="I574" s="26"/>
      <c r="J574" s="30"/>
      <c r="K574" s="30"/>
      <c r="L574" s="8"/>
    </row>
    <row r="575" spans="1:12" x14ac:dyDescent="0.2">
      <c r="A575" s="8"/>
      <c r="B575" s="8"/>
      <c r="C575" s="8"/>
      <c r="D575" s="8"/>
      <c r="E575" s="8"/>
      <c r="F575" s="8"/>
      <c r="G575" s="8"/>
      <c r="H575" s="8"/>
      <c r="I575" s="26"/>
      <c r="J575" s="30"/>
      <c r="K575" s="30"/>
      <c r="L575" s="8"/>
    </row>
    <row r="576" spans="1:12" x14ac:dyDescent="0.2">
      <c r="A576" s="8"/>
      <c r="B576" s="8"/>
      <c r="C576" s="8"/>
      <c r="D576" s="8"/>
      <c r="E576" s="8"/>
      <c r="F576" s="8"/>
      <c r="G576" s="8"/>
      <c r="H576" s="8"/>
      <c r="I576" s="26"/>
      <c r="J576" s="30"/>
      <c r="K576" s="30"/>
      <c r="L576" s="8"/>
    </row>
    <row r="577" spans="1:12" x14ac:dyDescent="0.2">
      <c r="A577" s="8"/>
      <c r="B577" s="8"/>
      <c r="C577" s="8"/>
      <c r="D577" s="8"/>
      <c r="E577" s="8"/>
      <c r="F577" s="8"/>
      <c r="G577" s="8"/>
      <c r="H577" s="8"/>
      <c r="I577" s="26"/>
      <c r="J577" s="30"/>
      <c r="K577" s="30"/>
      <c r="L577" s="8"/>
    </row>
    <row r="578" spans="1:12" x14ac:dyDescent="0.2">
      <c r="A578" s="8"/>
      <c r="B578" s="8"/>
      <c r="C578" s="8"/>
      <c r="D578" s="8"/>
      <c r="E578" s="8"/>
      <c r="F578" s="8"/>
      <c r="G578" s="8"/>
      <c r="H578" s="8"/>
      <c r="I578" s="26"/>
      <c r="J578" s="30"/>
      <c r="K578" s="30"/>
      <c r="L578" s="8"/>
    </row>
    <row r="579" spans="1:12" x14ac:dyDescent="0.2">
      <c r="A579" s="8"/>
      <c r="B579" s="8"/>
      <c r="C579" s="8"/>
      <c r="D579" s="8"/>
      <c r="E579" s="8"/>
      <c r="F579" s="8"/>
      <c r="G579" s="8"/>
      <c r="H579" s="8"/>
      <c r="I579" s="26"/>
      <c r="J579" s="30"/>
      <c r="K579" s="30"/>
      <c r="L579" s="8"/>
    </row>
    <row r="580" spans="1:12" x14ac:dyDescent="0.2">
      <c r="A580" s="8"/>
      <c r="B580" s="8"/>
      <c r="C580" s="8"/>
      <c r="D580" s="8"/>
      <c r="E580" s="8"/>
      <c r="F580" s="8"/>
      <c r="G580" s="8"/>
      <c r="H580" s="8"/>
      <c r="I580" s="26"/>
      <c r="J580" s="30"/>
      <c r="K580" s="30"/>
      <c r="L580" s="8"/>
    </row>
    <row r="581" spans="1:12" x14ac:dyDescent="0.2">
      <c r="A581" s="8"/>
      <c r="B581" s="8"/>
      <c r="C581" s="8"/>
      <c r="D581" s="8"/>
      <c r="E581" s="8"/>
      <c r="F581" s="8"/>
      <c r="G581" s="8"/>
      <c r="H581" s="8"/>
      <c r="I581" s="26"/>
      <c r="J581" s="30"/>
      <c r="K581" s="30"/>
      <c r="L581" s="8"/>
    </row>
    <row r="582" spans="1:12" x14ac:dyDescent="0.2">
      <c r="A582" s="8"/>
      <c r="B582" s="8"/>
      <c r="C582" s="8"/>
      <c r="D582" s="8"/>
      <c r="E582" s="8"/>
      <c r="F582" s="8"/>
      <c r="G582" s="8"/>
      <c r="H582" s="8"/>
      <c r="I582" s="26"/>
      <c r="J582" s="30"/>
      <c r="K582" s="30"/>
      <c r="L582" s="8"/>
    </row>
    <row r="583" spans="1:12" x14ac:dyDescent="0.2">
      <c r="A583" s="8"/>
      <c r="B583" s="8"/>
      <c r="C583" s="8"/>
      <c r="D583" s="8"/>
      <c r="E583" s="8"/>
      <c r="F583" s="8"/>
      <c r="G583" s="8"/>
      <c r="H583" s="8"/>
      <c r="I583" s="26"/>
      <c r="J583" s="30"/>
      <c r="K583" s="30"/>
      <c r="L583" s="8"/>
    </row>
    <row r="584" spans="1:12" x14ac:dyDescent="0.2">
      <c r="A584" s="8"/>
      <c r="B584" s="8"/>
      <c r="C584" s="8"/>
      <c r="D584" s="8"/>
      <c r="E584" s="8"/>
      <c r="F584" s="8"/>
      <c r="G584" s="8"/>
      <c r="H584" s="8"/>
      <c r="I584" s="26"/>
      <c r="J584" s="30"/>
      <c r="K584" s="30"/>
      <c r="L584" s="8"/>
    </row>
    <row r="585" spans="1:12" x14ac:dyDescent="0.2">
      <c r="A585" s="8"/>
      <c r="B585" s="8"/>
      <c r="C585" s="8"/>
      <c r="D585" s="8"/>
      <c r="E585" s="8"/>
      <c r="F585" s="8"/>
      <c r="G585" s="8"/>
      <c r="H585" s="8"/>
      <c r="I585" s="26"/>
      <c r="J585" s="30"/>
      <c r="K585" s="30"/>
      <c r="L585" s="8"/>
    </row>
    <row r="586" spans="1:12" x14ac:dyDescent="0.2">
      <c r="A586" s="8"/>
      <c r="B586" s="8"/>
      <c r="C586" s="8"/>
      <c r="D586" s="8"/>
      <c r="E586" s="8"/>
      <c r="F586" s="8"/>
      <c r="G586" s="8"/>
      <c r="H586" s="8"/>
      <c r="I586" s="26"/>
      <c r="J586" s="30"/>
      <c r="K586" s="30"/>
      <c r="L586" s="8"/>
    </row>
    <row r="587" spans="1:12" x14ac:dyDescent="0.2">
      <c r="A587" s="8"/>
      <c r="B587" s="8"/>
      <c r="C587" s="8"/>
      <c r="D587" s="8"/>
      <c r="E587" s="8"/>
      <c r="F587" s="8"/>
      <c r="G587" s="8"/>
      <c r="H587" s="8"/>
      <c r="I587" s="26"/>
      <c r="J587" s="30"/>
      <c r="K587" s="30"/>
      <c r="L587" s="8"/>
    </row>
    <row r="588" spans="1:12" x14ac:dyDescent="0.2">
      <c r="A588" s="8"/>
      <c r="B588" s="8"/>
      <c r="C588" s="8"/>
      <c r="D588" s="8"/>
      <c r="E588" s="8"/>
      <c r="F588" s="8"/>
      <c r="G588" s="8"/>
      <c r="H588" s="8"/>
      <c r="I588" s="26"/>
      <c r="J588" s="30"/>
      <c r="K588" s="30"/>
      <c r="L588" s="8"/>
    </row>
    <row r="589" spans="1:12" x14ac:dyDescent="0.2">
      <c r="A589" s="8"/>
      <c r="B589" s="8"/>
      <c r="C589" s="8"/>
      <c r="D589" s="8"/>
      <c r="E589" s="8"/>
      <c r="F589" s="8"/>
      <c r="G589" s="8"/>
      <c r="H589" s="8"/>
      <c r="I589" s="26"/>
      <c r="J589" s="30"/>
      <c r="K589" s="30"/>
      <c r="L589" s="8"/>
    </row>
    <row r="590" spans="1:12" x14ac:dyDescent="0.2">
      <c r="A590" s="8"/>
      <c r="B590" s="8"/>
      <c r="C590" s="8"/>
      <c r="D590" s="8"/>
      <c r="E590" s="8"/>
      <c r="F590" s="8"/>
      <c r="G590" s="8"/>
      <c r="H590" s="8"/>
      <c r="I590" s="26"/>
      <c r="J590" s="30"/>
      <c r="K590" s="30"/>
      <c r="L590" s="8"/>
    </row>
    <row r="591" spans="1:12" x14ac:dyDescent="0.2">
      <c r="A591" s="8"/>
      <c r="B591" s="8"/>
      <c r="C591" s="8"/>
      <c r="D591" s="8"/>
      <c r="E591" s="8"/>
      <c r="F591" s="8"/>
      <c r="G591" s="8"/>
      <c r="H591" s="8"/>
      <c r="I591" s="26"/>
      <c r="J591" s="30"/>
      <c r="K591" s="30"/>
      <c r="L591" s="8"/>
    </row>
    <row r="592" spans="1:12" x14ac:dyDescent="0.2">
      <c r="A592" s="8"/>
      <c r="B592" s="8"/>
      <c r="C592" s="8"/>
      <c r="D592" s="8"/>
      <c r="E592" s="8"/>
      <c r="F592" s="8"/>
      <c r="G592" s="8"/>
      <c r="H592" s="8"/>
      <c r="I592" s="26"/>
      <c r="J592" s="30"/>
      <c r="K592" s="30"/>
      <c r="L592" s="8"/>
    </row>
    <row r="593" spans="1:12" x14ac:dyDescent="0.2">
      <c r="A593" s="8"/>
      <c r="B593" s="8"/>
      <c r="C593" s="8"/>
      <c r="D593" s="8"/>
      <c r="E593" s="8"/>
      <c r="F593" s="8"/>
      <c r="G593" s="8"/>
      <c r="H593" s="8"/>
      <c r="I593" s="26"/>
      <c r="J593" s="30"/>
      <c r="K593" s="30"/>
      <c r="L593" s="8"/>
    </row>
    <row r="594" spans="1:12" x14ac:dyDescent="0.2">
      <c r="A594" s="8"/>
      <c r="B594" s="8"/>
      <c r="C594" s="8"/>
      <c r="D594" s="8"/>
      <c r="E594" s="8"/>
      <c r="F594" s="8"/>
      <c r="G594" s="8"/>
      <c r="H594" s="8"/>
      <c r="I594" s="26"/>
      <c r="J594" s="30"/>
      <c r="K594" s="30"/>
      <c r="L594" s="8"/>
    </row>
    <row r="595" spans="1:12" x14ac:dyDescent="0.2">
      <c r="A595" s="8"/>
      <c r="B595" s="8"/>
      <c r="C595" s="8"/>
      <c r="D595" s="8"/>
      <c r="E595" s="8"/>
      <c r="F595" s="8"/>
      <c r="G595" s="8"/>
      <c r="H595" s="8"/>
      <c r="I595" s="26"/>
      <c r="J595" s="30"/>
      <c r="K595" s="30"/>
      <c r="L595" s="8"/>
    </row>
    <row r="596" spans="1:12" x14ac:dyDescent="0.2">
      <c r="A596" s="8"/>
      <c r="B596" s="8"/>
      <c r="C596" s="8"/>
      <c r="D596" s="8"/>
      <c r="E596" s="8"/>
      <c r="F596" s="8"/>
      <c r="G596" s="8"/>
      <c r="H596" s="8"/>
      <c r="I596" s="26"/>
      <c r="J596" s="30"/>
      <c r="K596" s="30"/>
      <c r="L596" s="8"/>
    </row>
    <row r="597" spans="1:12" x14ac:dyDescent="0.2">
      <c r="A597" s="8"/>
      <c r="B597" s="8"/>
      <c r="C597" s="8"/>
      <c r="D597" s="8"/>
      <c r="E597" s="8"/>
      <c r="F597" s="8"/>
      <c r="G597" s="8"/>
      <c r="H597" s="8"/>
      <c r="I597" s="26"/>
      <c r="J597" s="30"/>
      <c r="K597" s="30"/>
      <c r="L597" s="8"/>
    </row>
    <row r="598" spans="1:12" x14ac:dyDescent="0.2">
      <c r="A598" s="8"/>
      <c r="B598" s="8"/>
      <c r="C598" s="8"/>
      <c r="D598" s="8"/>
      <c r="E598" s="8"/>
      <c r="F598" s="8"/>
      <c r="G598" s="8"/>
      <c r="H598" s="8"/>
      <c r="I598" s="26"/>
      <c r="J598" s="30"/>
      <c r="K598" s="30"/>
      <c r="L598" s="8"/>
    </row>
    <row r="599" spans="1:12" x14ac:dyDescent="0.2">
      <c r="A599" s="8"/>
      <c r="B599" s="8"/>
      <c r="C599" s="8"/>
      <c r="D599" s="8"/>
      <c r="E599" s="8"/>
      <c r="F599" s="8"/>
      <c r="G599" s="8"/>
      <c r="H599" s="8"/>
      <c r="I599" s="26"/>
      <c r="J599" s="30"/>
      <c r="K599" s="30"/>
      <c r="L599" s="8"/>
    </row>
    <row r="600" spans="1:12" x14ac:dyDescent="0.2">
      <c r="A600" s="8"/>
      <c r="B600" s="8"/>
      <c r="C600" s="8"/>
      <c r="D600" s="8"/>
      <c r="E600" s="8"/>
      <c r="F600" s="8"/>
      <c r="G600" s="8"/>
      <c r="H600" s="8"/>
      <c r="I600" s="26"/>
      <c r="J600" s="30"/>
      <c r="K600" s="30"/>
      <c r="L600" s="8"/>
    </row>
    <row r="601" spans="1:12" x14ac:dyDescent="0.2">
      <c r="A601" s="8"/>
      <c r="B601" s="8"/>
      <c r="C601" s="8"/>
      <c r="D601" s="8"/>
      <c r="E601" s="8"/>
      <c r="F601" s="8"/>
      <c r="G601" s="8"/>
      <c r="H601" s="8"/>
      <c r="I601" s="26"/>
      <c r="J601" s="30"/>
      <c r="K601" s="30"/>
      <c r="L601" s="8"/>
    </row>
    <row r="602" spans="1:12" x14ac:dyDescent="0.2">
      <c r="A602" s="8"/>
      <c r="B602" s="8"/>
      <c r="C602" s="8"/>
      <c r="D602" s="8"/>
      <c r="E602" s="8"/>
      <c r="F602" s="8"/>
      <c r="G602" s="8"/>
      <c r="H602" s="8"/>
      <c r="I602" s="26"/>
      <c r="J602" s="30"/>
      <c r="K602" s="30"/>
      <c r="L602" s="8"/>
    </row>
    <row r="603" spans="1:12" x14ac:dyDescent="0.2">
      <c r="A603" s="8"/>
      <c r="B603" s="8"/>
      <c r="C603" s="8"/>
      <c r="D603" s="8"/>
      <c r="E603" s="8"/>
      <c r="F603" s="8"/>
      <c r="G603" s="8"/>
      <c r="H603" s="8"/>
      <c r="I603" s="26"/>
      <c r="J603" s="30"/>
      <c r="K603" s="30"/>
      <c r="L603" s="8"/>
    </row>
    <row r="604" spans="1:12" x14ac:dyDescent="0.2">
      <c r="A604" s="8"/>
      <c r="B604" s="8"/>
      <c r="C604" s="8"/>
      <c r="D604" s="8"/>
      <c r="E604" s="8"/>
      <c r="F604" s="8"/>
      <c r="G604" s="8"/>
      <c r="H604" s="8"/>
      <c r="I604" s="26"/>
      <c r="J604" s="30"/>
      <c r="K604" s="30"/>
      <c r="L604" s="8"/>
    </row>
    <row r="605" spans="1:12" x14ac:dyDescent="0.2">
      <c r="A605" s="8"/>
      <c r="B605" s="8"/>
      <c r="C605" s="8"/>
      <c r="D605" s="8"/>
      <c r="E605" s="8"/>
      <c r="F605" s="8"/>
      <c r="G605" s="8"/>
      <c r="H605" s="8"/>
      <c r="I605" s="26"/>
      <c r="J605" s="30"/>
      <c r="K605" s="30"/>
      <c r="L605" s="8"/>
    </row>
    <row r="606" spans="1:12" x14ac:dyDescent="0.2">
      <c r="A606" s="8"/>
      <c r="B606" s="8"/>
      <c r="C606" s="8"/>
      <c r="D606" s="8"/>
      <c r="E606" s="8"/>
      <c r="F606" s="8"/>
      <c r="G606" s="8"/>
      <c r="H606" s="8"/>
      <c r="I606" s="26"/>
      <c r="J606" s="30"/>
      <c r="K606" s="30"/>
      <c r="L606" s="8"/>
    </row>
    <row r="607" spans="1:12" x14ac:dyDescent="0.2">
      <c r="A607" s="8"/>
      <c r="B607" s="8"/>
      <c r="C607" s="8"/>
      <c r="D607" s="8"/>
      <c r="E607" s="8"/>
      <c r="F607" s="8"/>
      <c r="G607" s="8"/>
      <c r="H607" s="8"/>
      <c r="I607" s="26"/>
      <c r="J607" s="30"/>
      <c r="K607" s="30"/>
      <c r="L607" s="8"/>
    </row>
    <row r="608" spans="1:12" x14ac:dyDescent="0.2">
      <c r="A608" s="8"/>
      <c r="B608" s="8"/>
      <c r="C608" s="8"/>
      <c r="D608" s="8"/>
      <c r="E608" s="8"/>
      <c r="F608" s="8"/>
      <c r="G608" s="8"/>
      <c r="H608" s="8"/>
      <c r="I608" s="26"/>
      <c r="J608" s="30"/>
      <c r="K608" s="30"/>
      <c r="L608" s="8"/>
    </row>
    <row r="609" spans="1:12" x14ac:dyDescent="0.2">
      <c r="A609" s="8"/>
      <c r="B609" s="8"/>
      <c r="C609" s="8"/>
      <c r="D609" s="8"/>
      <c r="E609" s="8"/>
      <c r="F609" s="8"/>
      <c r="G609" s="8"/>
      <c r="H609" s="8"/>
      <c r="I609" s="26"/>
      <c r="J609" s="30"/>
      <c r="K609" s="30"/>
      <c r="L609" s="8"/>
    </row>
    <row r="610" spans="1:12" x14ac:dyDescent="0.2">
      <c r="A610" s="8"/>
      <c r="B610" s="8"/>
      <c r="C610" s="8"/>
      <c r="D610" s="8"/>
      <c r="E610" s="8"/>
      <c r="F610" s="8"/>
      <c r="G610" s="8"/>
      <c r="H610" s="8"/>
      <c r="I610" s="26"/>
      <c r="J610" s="30"/>
      <c r="K610" s="30"/>
      <c r="L610" s="8"/>
    </row>
    <row r="611" spans="1:12" x14ac:dyDescent="0.2">
      <c r="A611" s="8"/>
      <c r="B611" s="8"/>
      <c r="C611" s="8"/>
      <c r="D611" s="8"/>
      <c r="E611" s="8"/>
      <c r="F611" s="8"/>
      <c r="G611" s="8"/>
      <c r="H611" s="8"/>
      <c r="I611" s="26"/>
      <c r="J611" s="30"/>
      <c r="K611" s="30"/>
      <c r="L611" s="8"/>
    </row>
    <row r="612" spans="1:12" x14ac:dyDescent="0.2">
      <c r="A612" s="8"/>
      <c r="B612" s="8"/>
      <c r="C612" s="8"/>
      <c r="D612" s="8"/>
      <c r="E612" s="8"/>
      <c r="F612" s="8"/>
      <c r="G612" s="8"/>
      <c r="H612" s="8"/>
      <c r="I612" s="26"/>
      <c r="J612" s="30"/>
      <c r="K612" s="30"/>
      <c r="L612" s="8"/>
    </row>
    <row r="613" spans="1:12" x14ac:dyDescent="0.2">
      <c r="A613" s="8"/>
      <c r="B613" s="8"/>
      <c r="C613" s="8"/>
      <c r="D613" s="8"/>
      <c r="E613" s="8"/>
      <c r="F613" s="8"/>
      <c r="G613" s="8"/>
      <c r="H613" s="8"/>
      <c r="I613" s="26"/>
      <c r="J613" s="30"/>
      <c r="K613" s="30"/>
      <c r="L613" s="8"/>
    </row>
    <row r="614" spans="1:12" x14ac:dyDescent="0.2">
      <c r="A614" s="8"/>
      <c r="B614" s="8"/>
      <c r="C614" s="8"/>
      <c r="D614" s="8"/>
      <c r="E614" s="8"/>
      <c r="F614" s="8"/>
      <c r="G614" s="8"/>
      <c r="H614" s="8"/>
      <c r="I614" s="26"/>
      <c r="J614" s="30"/>
      <c r="K614" s="30"/>
      <c r="L614" s="8"/>
    </row>
    <row r="615" spans="1:12" x14ac:dyDescent="0.2">
      <c r="A615" s="8"/>
      <c r="B615" s="8"/>
      <c r="C615" s="8"/>
      <c r="D615" s="8"/>
      <c r="E615" s="8"/>
      <c r="F615" s="8"/>
      <c r="G615" s="8"/>
      <c r="H615" s="8"/>
      <c r="I615" s="26"/>
      <c r="J615" s="30"/>
      <c r="K615" s="30"/>
      <c r="L615" s="8"/>
    </row>
    <row r="616" spans="1:12" x14ac:dyDescent="0.2">
      <c r="A616" s="8"/>
      <c r="B616" s="8"/>
      <c r="C616" s="8"/>
      <c r="D616" s="8"/>
      <c r="E616" s="8"/>
      <c r="F616" s="8"/>
      <c r="G616" s="8"/>
      <c r="H616" s="8"/>
      <c r="I616" s="26"/>
      <c r="J616" s="30"/>
      <c r="K616" s="30"/>
      <c r="L616" s="8"/>
    </row>
    <row r="617" spans="1:12" x14ac:dyDescent="0.2">
      <c r="A617" s="8"/>
      <c r="B617" s="8"/>
      <c r="C617" s="8"/>
      <c r="D617" s="8"/>
      <c r="E617" s="8"/>
      <c r="F617" s="8"/>
      <c r="G617" s="8"/>
      <c r="H617" s="8"/>
      <c r="I617" s="26"/>
      <c r="J617" s="30"/>
      <c r="K617" s="30"/>
      <c r="L617" s="8"/>
    </row>
    <row r="618" spans="1:12" x14ac:dyDescent="0.2">
      <c r="A618" s="8"/>
      <c r="B618" s="8"/>
      <c r="C618" s="8"/>
      <c r="D618" s="8"/>
      <c r="E618" s="8"/>
      <c r="F618" s="8"/>
      <c r="G618" s="8"/>
      <c r="H618" s="8"/>
      <c r="I618" s="26"/>
      <c r="J618" s="30"/>
      <c r="K618" s="30"/>
      <c r="L618" s="8"/>
    </row>
    <row r="619" spans="1:12" x14ac:dyDescent="0.2">
      <c r="A619" s="8"/>
      <c r="B619" s="8"/>
      <c r="C619" s="8"/>
      <c r="D619" s="8"/>
      <c r="E619" s="8"/>
      <c r="F619" s="8"/>
      <c r="G619" s="8"/>
      <c r="H619" s="8"/>
      <c r="I619" s="26"/>
      <c r="J619" s="30"/>
      <c r="K619" s="30"/>
      <c r="L619" s="8"/>
    </row>
    <row r="620" spans="1:12" x14ac:dyDescent="0.2">
      <c r="A620" s="8"/>
      <c r="B620" s="8"/>
      <c r="C620" s="8"/>
      <c r="D620" s="8"/>
      <c r="E620" s="8"/>
      <c r="F620" s="8"/>
      <c r="G620" s="8"/>
      <c r="H620" s="8"/>
      <c r="I620" s="26"/>
      <c r="J620" s="30"/>
      <c r="K620" s="30"/>
      <c r="L620" s="8"/>
    </row>
    <row r="621" spans="1:12" x14ac:dyDescent="0.2">
      <c r="A621" s="8"/>
      <c r="B621" s="8"/>
      <c r="C621" s="8"/>
      <c r="D621" s="8"/>
      <c r="E621" s="8"/>
      <c r="F621" s="8"/>
      <c r="G621" s="8"/>
      <c r="H621" s="8"/>
      <c r="I621" s="26"/>
      <c r="J621" s="30"/>
      <c r="K621" s="30"/>
      <c r="L621" s="8"/>
    </row>
    <row r="622" spans="1:12" x14ac:dyDescent="0.2">
      <c r="A622" s="8"/>
      <c r="B622" s="8"/>
      <c r="C622" s="8"/>
      <c r="D622" s="8"/>
      <c r="E622" s="8"/>
      <c r="F622" s="8"/>
      <c r="G622" s="8"/>
      <c r="H622" s="8"/>
      <c r="I622" s="26"/>
      <c r="J622" s="30"/>
      <c r="K622" s="30"/>
      <c r="L622" s="8"/>
    </row>
    <row r="623" spans="1:12" x14ac:dyDescent="0.2">
      <c r="A623" s="8"/>
      <c r="B623" s="8"/>
      <c r="C623" s="8"/>
      <c r="D623" s="8"/>
      <c r="E623" s="8"/>
      <c r="F623" s="8"/>
      <c r="G623" s="8"/>
      <c r="H623" s="8"/>
      <c r="I623" s="26"/>
      <c r="J623" s="30"/>
      <c r="K623" s="30"/>
      <c r="L623" s="8"/>
    </row>
    <row r="624" spans="1:12" x14ac:dyDescent="0.2">
      <c r="A624" s="8"/>
      <c r="B624" s="8"/>
      <c r="C624" s="8"/>
      <c r="D624" s="8"/>
      <c r="E624" s="8"/>
      <c r="F624" s="8"/>
      <c r="G624" s="8"/>
      <c r="H624" s="8"/>
      <c r="I624" s="26"/>
      <c r="J624" s="30"/>
      <c r="K624" s="30"/>
      <c r="L624" s="8"/>
    </row>
    <row r="625" spans="1:12" x14ac:dyDescent="0.2">
      <c r="A625" s="8"/>
      <c r="B625" s="8"/>
      <c r="C625" s="8"/>
      <c r="D625" s="8"/>
      <c r="E625" s="8"/>
      <c r="F625" s="8"/>
      <c r="G625" s="8"/>
      <c r="H625" s="8"/>
      <c r="I625" s="26"/>
      <c r="J625" s="30"/>
      <c r="K625" s="30"/>
      <c r="L625" s="8"/>
    </row>
    <row r="626" spans="1:12" x14ac:dyDescent="0.2">
      <c r="A626" s="8"/>
      <c r="B626" s="8"/>
      <c r="C626" s="8"/>
      <c r="D626" s="8"/>
      <c r="E626" s="8"/>
      <c r="F626" s="8"/>
      <c r="G626" s="8"/>
      <c r="H626" s="8"/>
      <c r="I626" s="26"/>
      <c r="J626" s="30"/>
      <c r="K626" s="30"/>
      <c r="L626" s="8"/>
    </row>
    <row r="627" spans="1:12" x14ac:dyDescent="0.2">
      <c r="A627" s="8"/>
      <c r="B627" s="8"/>
      <c r="C627" s="8"/>
      <c r="D627" s="8"/>
      <c r="E627" s="8"/>
      <c r="F627" s="8"/>
      <c r="G627" s="8"/>
      <c r="H627" s="8"/>
      <c r="I627" s="26"/>
      <c r="J627" s="30"/>
      <c r="K627" s="30"/>
      <c r="L627" s="8"/>
    </row>
    <row r="628" spans="1:12" x14ac:dyDescent="0.2">
      <c r="A628" s="8"/>
      <c r="B628" s="8"/>
      <c r="C628" s="8"/>
      <c r="D628" s="8"/>
      <c r="E628" s="8"/>
      <c r="F628" s="8"/>
      <c r="G628" s="8"/>
      <c r="H628" s="8"/>
      <c r="I628" s="26"/>
      <c r="J628" s="30"/>
      <c r="K628" s="30"/>
      <c r="L628" s="8"/>
    </row>
    <row r="629" spans="1:12" x14ac:dyDescent="0.2">
      <c r="A629" s="8"/>
      <c r="B629" s="8"/>
      <c r="C629" s="8"/>
      <c r="D629" s="8"/>
      <c r="E629" s="8"/>
      <c r="F629" s="8"/>
      <c r="G629" s="8"/>
      <c r="H629" s="8"/>
      <c r="I629" s="26"/>
      <c r="J629" s="30"/>
      <c r="K629" s="30"/>
      <c r="L629" s="8"/>
    </row>
    <row r="630" spans="1:12" x14ac:dyDescent="0.2">
      <c r="A630" s="8"/>
      <c r="B630" s="8"/>
      <c r="C630" s="8"/>
      <c r="D630" s="8"/>
      <c r="E630" s="8"/>
      <c r="F630" s="8"/>
      <c r="G630" s="8"/>
      <c r="H630" s="8"/>
      <c r="I630" s="26"/>
      <c r="J630" s="30"/>
      <c r="K630" s="30"/>
      <c r="L630" s="8"/>
    </row>
    <row r="631" spans="1:12" x14ac:dyDescent="0.2">
      <c r="A631" s="8"/>
      <c r="B631" s="8"/>
      <c r="C631" s="8"/>
      <c r="D631" s="8"/>
      <c r="E631" s="8"/>
      <c r="F631" s="8"/>
      <c r="G631" s="8"/>
      <c r="H631" s="8"/>
      <c r="I631" s="26"/>
      <c r="J631" s="30"/>
      <c r="K631" s="30"/>
      <c r="L631" s="8"/>
    </row>
    <row r="632" spans="1:12" x14ac:dyDescent="0.2">
      <c r="A632" s="8"/>
      <c r="B632" s="8"/>
      <c r="C632" s="8"/>
      <c r="D632" s="8"/>
      <c r="E632" s="8"/>
      <c r="F632" s="8"/>
      <c r="G632" s="8"/>
      <c r="H632" s="8"/>
      <c r="I632" s="26"/>
      <c r="J632" s="30"/>
      <c r="K632" s="30"/>
      <c r="L632" s="8"/>
    </row>
    <row r="633" spans="1:12" x14ac:dyDescent="0.2">
      <c r="A633" s="8"/>
      <c r="B633" s="8"/>
      <c r="C633" s="8"/>
      <c r="D633" s="8"/>
      <c r="E633" s="8"/>
      <c r="F633" s="8"/>
      <c r="G633" s="8"/>
      <c r="H633" s="8"/>
      <c r="I633" s="26"/>
      <c r="J633" s="30"/>
      <c r="K633" s="30"/>
      <c r="L633" s="8"/>
    </row>
    <row r="634" spans="1:12" x14ac:dyDescent="0.2">
      <c r="A634" s="8"/>
      <c r="B634" s="8"/>
      <c r="C634" s="8"/>
      <c r="D634" s="8"/>
      <c r="E634" s="8"/>
      <c r="F634" s="8"/>
      <c r="G634" s="8"/>
      <c r="H634" s="8"/>
      <c r="I634" s="26"/>
      <c r="J634" s="30"/>
      <c r="K634" s="30"/>
      <c r="L634" s="8"/>
    </row>
    <row r="635" spans="1:12" x14ac:dyDescent="0.2">
      <c r="A635" s="8"/>
      <c r="B635" s="8"/>
      <c r="C635" s="8"/>
      <c r="D635" s="8"/>
      <c r="E635" s="8"/>
      <c r="F635" s="8"/>
      <c r="G635" s="8"/>
      <c r="H635" s="8"/>
      <c r="I635" s="26"/>
      <c r="J635" s="30"/>
      <c r="K635" s="30"/>
      <c r="L635" s="8"/>
    </row>
    <row r="636" spans="1:12" x14ac:dyDescent="0.2">
      <c r="A636" s="8"/>
      <c r="B636" s="8"/>
      <c r="C636" s="8"/>
      <c r="D636" s="8"/>
      <c r="E636" s="8"/>
      <c r="F636" s="8"/>
      <c r="G636" s="8"/>
      <c r="H636" s="8"/>
      <c r="I636" s="26"/>
      <c r="J636" s="30"/>
      <c r="K636" s="30"/>
      <c r="L636" s="8"/>
    </row>
    <row r="637" spans="1:12" x14ac:dyDescent="0.2">
      <c r="A637" s="8"/>
      <c r="B637" s="8"/>
      <c r="C637" s="8"/>
      <c r="D637" s="8"/>
      <c r="E637" s="8"/>
      <c r="F637" s="8"/>
      <c r="G637" s="8"/>
      <c r="H637" s="8"/>
      <c r="I637" s="26"/>
      <c r="J637" s="30"/>
      <c r="K637" s="30"/>
      <c r="L637" s="8"/>
    </row>
    <row r="638" spans="1:12" x14ac:dyDescent="0.2">
      <c r="A638" s="8"/>
      <c r="B638" s="8"/>
      <c r="C638" s="8"/>
      <c r="D638" s="8"/>
      <c r="E638" s="8"/>
      <c r="F638" s="8"/>
      <c r="G638" s="8"/>
      <c r="H638" s="8"/>
      <c r="I638" s="26"/>
      <c r="J638" s="30"/>
      <c r="K638" s="30"/>
      <c r="L638" s="8"/>
    </row>
    <row r="639" spans="1:12" x14ac:dyDescent="0.2">
      <c r="A639" s="8"/>
      <c r="B639" s="8"/>
      <c r="C639" s="8"/>
      <c r="D639" s="8"/>
      <c r="E639" s="8"/>
      <c r="F639" s="8"/>
      <c r="G639" s="8"/>
      <c r="H639" s="8"/>
      <c r="I639" s="26"/>
      <c r="J639" s="30"/>
      <c r="K639" s="30"/>
      <c r="L639" s="8"/>
    </row>
    <row r="640" spans="1:12" x14ac:dyDescent="0.2">
      <c r="A640" s="8"/>
      <c r="B640" s="8"/>
      <c r="C640" s="8"/>
      <c r="D640" s="8"/>
      <c r="E640" s="8"/>
      <c r="F640" s="8"/>
      <c r="G640" s="8"/>
      <c r="H640" s="8"/>
      <c r="I640" s="26"/>
      <c r="J640" s="30"/>
      <c r="K640" s="30"/>
      <c r="L640" s="8"/>
    </row>
    <row r="641" spans="1:12" x14ac:dyDescent="0.2">
      <c r="A641" s="8"/>
      <c r="B641" s="8"/>
      <c r="C641" s="8"/>
      <c r="D641" s="8"/>
      <c r="E641" s="8"/>
      <c r="F641" s="8"/>
      <c r="G641" s="8"/>
      <c r="H641" s="8"/>
      <c r="I641" s="26"/>
      <c r="J641" s="30"/>
      <c r="K641" s="30"/>
      <c r="L641" s="8"/>
    </row>
    <row r="642" spans="1:12" x14ac:dyDescent="0.2">
      <c r="A642" s="8"/>
      <c r="B642" s="8"/>
      <c r="C642" s="8"/>
      <c r="D642" s="8"/>
      <c r="E642" s="8"/>
      <c r="F642" s="8"/>
      <c r="G642" s="8"/>
      <c r="H642" s="8"/>
      <c r="I642" s="26"/>
      <c r="J642" s="30"/>
      <c r="K642" s="30"/>
      <c r="L642" s="8"/>
    </row>
    <row r="643" spans="1:12" x14ac:dyDescent="0.2">
      <c r="A643" s="8"/>
      <c r="B643" s="8"/>
      <c r="C643" s="8"/>
      <c r="D643" s="8"/>
      <c r="E643" s="8"/>
      <c r="F643" s="8"/>
      <c r="G643" s="8"/>
      <c r="H643" s="8"/>
      <c r="I643" s="26"/>
      <c r="J643" s="30"/>
      <c r="K643" s="30"/>
      <c r="L643" s="8"/>
    </row>
    <row r="644" spans="1:12" x14ac:dyDescent="0.2">
      <c r="A644" s="8"/>
      <c r="B644" s="8"/>
      <c r="C644" s="8"/>
      <c r="D644" s="8"/>
      <c r="E644" s="8"/>
      <c r="F644" s="8"/>
      <c r="G644" s="8"/>
      <c r="H644" s="8"/>
      <c r="I644" s="26"/>
      <c r="J644" s="30"/>
      <c r="K644" s="30"/>
      <c r="L644" s="8"/>
    </row>
    <row r="645" spans="1:12" x14ac:dyDescent="0.2">
      <c r="A645" s="8"/>
      <c r="B645" s="8"/>
      <c r="C645" s="8"/>
      <c r="D645" s="8"/>
      <c r="E645" s="8"/>
      <c r="F645" s="8"/>
      <c r="G645" s="8"/>
      <c r="H645" s="8"/>
      <c r="I645" s="26"/>
      <c r="J645" s="30"/>
      <c r="K645" s="30"/>
      <c r="L645" s="8"/>
    </row>
    <row r="646" spans="1:12" x14ac:dyDescent="0.2">
      <c r="A646" s="8"/>
      <c r="B646" s="8"/>
      <c r="C646" s="8"/>
      <c r="D646" s="8"/>
      <c r="E646" s="8"/>
      <c r="F646" s="8"/>
      <c r="G646" s="8"/>
      <c r="H646" s="8"/>
      <c r="I646" s="26"/>
      <c r="J646" s="30"/>
      <c r="K646" s="30"/>
      <c r="L646" s="8"/>
    </row>
    <row r="647" spans="1:12" x14ac:dyDescent="0.2">
      <c r="A647" s="8"/>
      <c r="B647" s="8"/>
      <c r="C647" s="8"/>
      <c r="D647" s="8"/>
      <c r="E647" s="8"/>
      <c r="F647" s="8"/>
      <c r="G647" s="8"/>
      <c r="H647" s="8"/>
      <c r="I647" s="26"/>
      <c r="J647" s="30"/>
      <c r="K647" s="30"/>
      <c r="L647" s="8"/>
    </row>
    <row r="648" spans="1:12" x14ac:dyDescent="0.2">
      <c r="A648" s="8"/>
      <c r="B648" s="8"/>
      <c r="C648" s="8"/>
      <c r="D648" s="8"/>
      <c r="E648" s="8"/>
      <c r="F648" s="8"/>
      <c r="G648" s="8"/>
      <c r="H648" s="8"/>
      <c r="I648" s="26"/>
      <c r="J648" s="30"/>
      <c r="K648" s="30"/>
      <c r="L648" s="8"/>
    </row>
    <row r="649" spans="1:12" x14ac:dyDescent="0.2">
      <c r="A649" s="8"/>
      <c r="B649" s="8"/>
      <c r="C649" s="8"/>
      <c r="D649" s="8"/>
      <c r="E649" s="8"/>
      <c r="F649" s="8"/>
      <c r="G649" s="8"/>
      <c r="H649" s="8"/>
      <c r="I649" s="26"/>
      <c r="J649" s="30"/>
      <c r="K649" s="30"/>
      <c r="L649" s="8"/>
    </row>
    <row r="650" spans="1:12" x14ac:dyDescent="0.2">
      <c r="A650" s="8"/>
      <c r="B650" s="8"/>
      <c r="C650" s="8"/>
      <c r="D650" s="8"/>
      <c r="E650" s="8"/>
      <c r="F650" s="8"/>
      <c r="G650" s="8"/>
      <c r="H650" s="8"/>
      <c r="I650" s="26"/>
      <c r="J650" s="30"/>
      <c r="K650" s="30"/>
      <c r="L650" s="8"/>
    </row>
    <row r="651" spans="1:12" x14ac:dyDescent="0.2">
      <c r="A651" s="8"/>
      <c r="B651" s="8"/>
      <c r="C651" s="8"/>
      <c r="D651" s="8"/>
      <c r="E651" s="8"/>
      <c r="F651" s="8"/>
      <c r="G651" s="8"/>
      <c r="H651" s="8"/>
      <c r="I651" s="26"/>
      <c r="J651" s="30"/>
      <c r="K651" s="30"/>
      <c r="L651" s="8"/>
    </row>
    <row r="652" spans="1:12" x14ac:dyDescent="0.2">
      <c r="A652" s="8"/>
      <c r="B652" s="8"/>
      <c r="C652" s="8"/>
      <c r="D652" s="8"/>
      <c r="E652" s="8"/>
      <c r="F652" s="8"/>
      <c r="G652" s="8"/>
      <c r="H652" s="8"/>
      <c r="I652" s="26"/>
      <c r="J652" s="30"/>
      <c r="K652" s="30"/>
      <c r="L652" s="8"/>
    </row>
    <row r="653" spans="1:12" x14ac:dyDescent="0.2">
      <c r="A653" s="8"/>
      <c r="B653" s="8"/>
      <c r="C653" s="8"/>
      <c r="D653" s="8"/>
      <c r="E653" s="8"/>
      <c r="F653" s="8"/>
      <c r="G653" s="8"/>
      <c r="H653" s="8"/>
      <c r="I653" s="26"/>
      <c r="J653" s="30"/>
      <c r="K653" s="30"/>
      <c r="L653" s="8"/>
    </row>
    <row r="654" spans="1:12" x14ac:dyDescent="0.2">
      <c r="A654" s="8"/>
      <c r="B654" s="8"/>
      <c r="C654" s="8"/>
      <c r="D654" s="8"/>
      <c r="E654" s="8"/>
      <c r="F654" s="8"/>
      <c r="G654" s="8"/>
      <c r="H654" s="8"/>
      <c r="I654" s="26"/>
      <c r="J654" s="30"/>
      <c r="K654" s="30"/>
      <c r="L654" s="8"/>
    </row>
    <row r="655" spans="1:12" x14ac:dyDescent="0.2">
      <c r="A655" s="8"/>
      <c r="B655" s="8"/>
      <c r="C655" s="8"/>
      <c r="D655" s="8"/>
      <c r="E655" s="8"/>
      <c r="F655" s="8"/>
      <c r="G655" s="8"/>
      <c r="H655" s="8"/>
      <c r="I655" s="26"/>
      <c r="J655" s="30"/>
      <c r="K655" s="30"/>
      <c r="L655" s="8"/>
    </row>
    <row r="656" spans="1:12" x14ac:dyDescent="0.2">
      <c r="A656" s="8"/>
      <c r="B656" s="8"/>
      <c r="C656" s="8"/>
      <c r="D656" s="8"/>
      <c r="E656" s="8"/>
      <c r="F656" s="8"/>
      <c r="G656" s="8"/>
      <c r="H656" s="8"/>
      <c r="I656" s="26"/>
      <c r="J656" s="30"/>
      <c r="K656" s="30"/>
      <c r="L656" s="8"/>
    </row>
    <row r="657" spans="1:12" x14ac:dyDescent="0.2">
      <c r="A657" s="8"/>
      <c r="B657" s="8"/>
      <c r="C657" s="8"/>
      <c r="D657" s="8"/>
      <c r="E657" s="8"/>
      <c r="F657" s="8"/>
      <c r="G657" s="8"/>
      <c r="H657" s="8"/>
      <c r="I657" s="26"/>
      <c r="J657" s="30"/>
      <c r="K657" s="30"/>
      <c r="L657" s="8"/>
    </row>
    <row r="658" spans="1:12" x14ac:dyDescent="0.2">
      <c r="A658" s="8"/>
      <c r="B658" s="8"/>
      <c r="C658" s="8"/>
      <c r="D658" s="8"/>
      <c r="E658" s="8"/>
      <c r="F658" s="8"/>
      <c r="G658" s="8"/>
      <c r="H658" s="8"/>
      <c r="I658" s="26"/>
      <c r="J658" s="30"/>
      <c r="K658" s="30"/>
      <c r="L658" s="8"/>
    </row>
    <row r="659" spans="1:12" x14ac:dyDescent="0.2">
      <c r="A659" s="8"/>
      <c r="B659" s="8"/>
      <c r="C659" s="8"/>
      <c r="D659" s="8"/>
      <c r="E659" s="8"/>
      <c r="F659" s="8"/>
      <c r="G659" s="8"/>
      <c r="H659" s="8"/>
      <c r="I659" s="26"/>
      <c r="J659" s="30"/>
      <c r="K659" s="30"/>
      <c r="L659" s="8"/>
    </row>
    <row r="660" spans="1:12" x14ac:dyDescent="0.2">
      <c r="A660" s="8"/>
      <c r="B660" s="8"/>
      <c r="C660" s="8"/>
      <c r="D660" s="8"/>
      <c r="E660" s="8"/>
      <c r="F660" s="8"/>
      <c r="G660" s="8"/>
      <c r="H660" s="8"/>
      <c r="I660" s="26"/>
      <c r="J660" s="30"/>
      <c r="K660" s="30"/>
      <c r="L660" s="8"/>
    </row>
    <row r="661" spans="1:12" x14ac:dyDescent="0.2">
      <c r="A661" s="8"/>
      <c r="B661" s="8"/>
      <c r="C661" s="8"/>
      <c r="D661" s="8"/>
      <c r="E661" s="8"/>
      <c r="F661" s="8"/>
      <c r="G661" s="8"/>
      <c r="H661" s="8"/>
      <c r="I661" s="26"/>
      <c r="J661" s="30"/>
      <c r="K661" s="30"/>
      <c r="L661" s="8"/>
    </row>
    <row r="662" spans="1:12" x14ac:dyDescent="0.2">
      <c r="A662" s="8"/>
      <c r="B662" s="8"/>
      <c r="C662" s="8"/>
      <c r="D662" s="8"/>
      <c r="E662" s="8"/>
      <c r="F662" s="8"/>
      <c r="G662" s="8"/>
      <c r="H662" s="8"/>
      <c r="I662" s="26"/>
      <c r="J662" s="30"/>
      <c r="K662" s="30"/>
      <c r="L662" s="8"/>
    </row>
    <row r="663" spans="1:12" x14ac:dyDescent="0.2">
      <c r="A663" s="8"/>
      <c r="B663" s="8"/>
      <c r="C663" s="8"/>
      <c r="D663" s="8"/>
      <c r="E663" s="8"/>
      <c r="F663" s="8"/>
      <c r="G663" s="8"/>
      <c r="H663" s="8"/>
      <c r="I663" s="26"/>
      <c r="J663" s="30"/>
      <c r="K663" s="30"/>
      <c r="L663" s="8"/>
    </row>
    <row r="664" spans="1:12" x14ac:dyDescent="0.2">
      <c r="A664" s="8"/>
      <c r="B664" s="8"/>
      <c r="C664" s="8"/>
      <c r="D664" s="8"/>
      <c r="E664" s="8"/>
      <c r="F664" s="8"/>
      <c r="G664" s="8"/>
      <c r="H664" s="8"/>
      <c r="I664" s="26"/>
      <c r="J664" s="30"/>
      <c r="K664" s="30"/>
      <c r="L664" s="8"/>
    </row>
    <row r="665" spans="1:12" x14ac:dyDescent="0.2">
      <c r="A665" s="8"/>
      <c r="B665" s="8"/>
      <c r="C665" s="8"/>
      <c r="D665" s="8"/>
      <c r="E665" s="8"/>
      <c r="F665" s="8"/>
      <c r="G665" s="8"/>
      <c r="H665" s="8"/>
      <c r="I665" s="26"/>
      <c r="J665" s="30"/>
      <c r="K665" s="30"/>
      <c r="L665" s="8"/>
    </row>
    <row r="666" spans="1:12" x14ac:dyDescent="0.2">
      <c r="A666" s="8"/>
      <c r="B666" s="8"/>
      <c r="C666" s="8"/>
      <c r="D666" s="8"/>
      <c r="E666" s="8"/>
      <c r="F666" s="8"/>
      <c r="G666" s="8"/>
      <c r="H666" s="8"/>
      <c r="I666" s="26"/>
      <c r="J666" s="30"/>
      <c r="K666" s="30"/>
      <c r="L666" s="8"/>
    </row>
    <row r="667" spans="1:12" x14ac:dyDescent="0.2">
      <c r="A667" s="8"/>
      <c r="B667" s="8"/>
      <c r="C667" s="8"/>
      <c r="D667" s="8"/>
      <c r="E667" s="8"/>
      <c r="F667" s="8"/>
      <c r="G667" s="8"/>
      <c r="H667" s="8"/>
      <c r="I667" s="26"/>
      <c r="J667" s="30"/>
      <c r="K667" s="30"/>
      <c r="L667" s="8"/>
    </row>
    <row r="668" spans="1:12" x14ac:dyDescent="0.2">
      <c r="A668" s="8"/>
      <c r="B668" s="8"/>
      <c r="C668" s="8"/>
      <c r="D668" s="8"/>
      <c r="E668" s="8"/>
      <c r="F668" s="8"/>
      <c r="G668" s="8"/>
      <c r="H668" s="8"/>
      <c r="I668" s="26"/>
      <c r="J668" s="30"/>
      <c r="K668" s="30"/>
      <c r="L668" s="8"/>
    </row>
    <row r="669" spans="1:12" x14ac:dyDescent="0.2">
      <c r="A669" s="8"/>
      <c r="B669" s="8"/>
      <c r="C669" s="8"/>
      <c r="D669" s="8"/>
      <c r="E669" s="8"/>
      <c r="F669" s="8"/>
      <c r="G669" s="8"/>
      <c r="H669" s="8"/>
      <c r="I669" s="26"/>
      <c r="J669" s="30"/>
      <c r="K669" s="30"/>
      <c r="L669" s="8"/>
    </row>
    <row r="670" spans="1:12" x14ac:dyDescent="0.2">
      <c r="A670" s="8"/>
      <c r="B670" s="8"/>
      <c r="C670" s="8"/>
      <c r="D670" s="8"/>
      <c r="E670" s="8"/>
      <c r="F670" s="8"/>
      <c r="G670" s="8"/>
      <c r="H670" s="8"/>
      <c r="I670" s="26"/>
      <c r="J670" s="30"/>
      <c r="K670" s="30"/>
      <c r="L670" s="8"/>
    </row>
    <row r="671" spans="1:12" x14ac:dyDescent="0.2">
      <c r="A671" s="8"/>
      <c r="B671" s="8"/>
      <c r="C671" s="8"/>
      <c r="D671" s="8"/>
      <c r="E671" s="8"/>
      <c r="F671" s="8"/>
      <c r="G671" s="8"/>
      <c r="H671" s="8"/>
      <c r="I671" s="26"/>
      <c r="J671" s="30"/>
      <c r="K671" s="30"/>
      <c r="L671" s="8"/>
    </row>
    <row r="672" spans="1:12" x14ac:dyDescent="0.2">
      <c r="A672" s="8"/>
      <c r="B672" s="8"/>
      <c r="C672" s="8"/>
      <c r="D672" s="8"/>
      <c r="E672" s="8"/>
      <c r="F672" s="8"/>
      <c r="G672" s="8"/>
      <c r="H672" s="8"/>
      <c r="I672" s="26"/>
      <c r="J672" s="30"/>
      <c r="K672" s="30"/>
      <c r="L672" s="8"/>
    </row>
    <row r="673" spans="1:12" x14ac:dyDescent="0.2">
      <c r="A673" s="8"/>
      <c r="B673" s="8"/>
      <c r="C673" s="8"/>
      <c r="D673" s="8"/>
      <c r="E673" s="8"/>
      <c r="F673" s="8"/>
      <c r="G673" s="8"/>
      <c r="H673" s="8"/>
      <c r="I673" s="26"/>
      <c r="J673" s="30"/>
      <c r="K673" s="30"/>
      <c r="L673" s="8"/>
    </row>
    <row r="674" spans="1:12" x14ac:dyDescent="0.2">
      <c r="A674" s="8"/>
      <c r="B674" s="8"/>
      <c r="C674" s="8"/>
      <c r="D674" s="8"/>
      <c r="E674" s="8"/>
      <c r="F674" s="8"/>
      <c r="G674" s="8"/>
      <c r="H674" s="8"/>
      <c r="I674" s="26"/>
      <c r="J674" s="30"/>
      <c r="K674" s="30"/>
      <c r="L674" s="8"/>
    </row>
    <row r="675" spans="1:12" x14ac:dyDescent="0.2">
      <c r="A675" s="8"/>
      <c r="B675" s="8"/>
      <c r="C675" s="8"/>
      <c r="D675" s="8"/>
      <c r="E675" s="8"/>
      <c r="F675" s="8"/>
      <c r="G675" s="8"/>
      <c r="H675" s="8"/>
      <c r="I675" s="26"/>
      <c r="J675" s="30"/>
      <c r="K675" s="30"/>
      <c r="L675" s="8"/>
    </row>
    <row r="676" spans="1:12" x14ac:dyDescent="0.2">
      <c r="A676" s="8"/>
      <c r="B676" s="8"/>
      <c r="C676" s="8"/>
      <c r="D676" s="8"/>
      <c r="E676" s="8"/>
      <c r="F676" s="8"/>
      <c r="G676" s="8"/>
      <c r="H676" s="8"/>
      <c r="I676" s="26"/>
      <c r="J676" s="30"/>
      <c r="K676" s="30"/>
      <c r="L676" s="8"/>
    </row>
    <row r="677" spans="1:12" x14ac:dyDescent="0.2">
      <c r="A677" s="8"/>
      <c r="B677" s="8"/>
      <c r="C677" s="8"/>
      <c r="D677" s="8"/>
      <c r="E677" s="8"/>
      <c r="F677" s="8"/>
      <c r="G677" s="8"/>
      <c r="H677" s="8"/>
      <c r="I677" s="26"/>
      <c r="J677" s="30"/>
      <c r="K677" s="30"/>
      <c r="L677" s="8"/>
    </row>
    <row r="678" spans="1:12" x14ac:dyDescent="0.2">
      <c r="A678" s="8"/>
      <c r="B678" s="8"/>
      <c r="C678" s="8"/>
      <c r="D678" s="8"/>
      <c r="E678" s="8"/>
      <c r="F678" s="8"/>
      <c r="G678" s="8"/>
      <c r="H678" s="8"/>
      <c r="I678" s="26"/>
      <c r="J678" s="30"/>
      <c r="K678" s="30"/>
      <c r="L678" s="8"/>
    </row>
    <row r="679" spans="1:12" x14ac:dyDescent="0.2">
      <c r="A679" s="8"/>
      <c r="B679" s="8"/>
      <c r="C679" s="8"/>
      <c r="D679" s="8"/>
      <c r="E679" s="8"/>
      <c r="F679" s="8"/>
      <c r="G679" s="8"/>
      <c r="H679" s="8"/>
      <c r="I679" s="26"/>
      <c r="J679" s="30"/>
      <c r="K679" s="30"/>
      <c r="L679" s="8"/>
    </row>
    <row r="680" spans="1:12" x14ac:dyDescent="0.2">
      <c r="A680" s="8"/>
      <c r="B680" s="8"/>
      <c r="C680" s="8"/>
      <c r="D680" s="8"/>
      <c r="E680" s="8"/>
      <c r="F680" s="8"/>
      <c r="G680" s="8"/>
      <c r="H680" s="8"/>
      <c r="I680" s="26"/>
      <c r="J680" s="30"/>
      <c r="K680" s="30"/>
      <c r="L680" s="8"/>
    </row>
    <row r="681" spans="1:12" x14ac:dyDescent="0.2">
      <c r="A681" s="8"/>
      <c r="B681" s="8"/>
      <c r="C681" s="8"/>
      <c r="D681" s="8"/>
      <c r="E681" s="8"/>
      <c r="F681" s="8"/>
      <c r="G681" s="8"/>
      <c r="H681" s="8"/>
      <c r="I681" s="26"/>
      <c r="J681" s="30"/>
      <c r="K681" s="30"/>
      <c r="L681" s="8"/>
    </row>
    <row r="682" spans="1:12" x14ac:dyDescent="0.2">
      <c r="A682" s="8"/>
      <c r="B682" s="8"/>
      <c r="C682" s="8"/>
      <c r="D682" s="8"/>
      <c r="E682" s="8"/>
      <c r="F682" s="8"/>
      <c r="G682" s="8"/>
      <c r="H682" s="8"/>
      <c r="I682" s="26"/>
      <c r="J682" s="30"/>
      <c r="K682" s="30"/>
      <c r="L682" s="8"/>
    </row>
    <row r="683" spans="1:12" x14ac:dyDescent="0.2">
      <c r="A683" s="8"/>
      <c r="B683" s="8"/>
      <c r="C683" s="8"/>
      <c r="D683" s="8"/>
      <c r="E683" s="8"/>
      <c r="F683" s="8"/>
      <c r="G683" s="8"/>
      <c r="H683" s="8"/>
      <c r="I683" s="26"/>
      <c r="J683" s="30"/>
      <c r="K683" s="30"/>
      <c r="L683" s="8"/>
    </row>
    <row r="684" spans="1:12" x14ac:dyDescent="0.2">
      <c r="A684" s="8"/>
      <c r="B684" s="8"/>
      <c r="C684" s="8"/>
      <c r="D684" s="8"/>
      <c r="E684" s="8"/>
      <c r="F684" s="8"/>
      <c r="G684" s="8"/>
      <c r="H684" s="8"/>
      <c r="I684" s="26"/>
      <c r="J684" s="30"/>
      <c r="K684" s="30"/>
      <c r="L684" s="8"/>
    </row>
    <row r="685" spans="1:12" x14ac:dyDescent="0.2">
      <c r="A685" s="8"/>
      <c r="B685" s="8"/>
      <c r="C685" s="8"/>
      <c r="D685" s="8"/>
      <c r="E685" s="8"/>
      <c r="F685" s="8"/>
      <c r="G685" s="8"/>
      <c r="H685" s="8"/>
      <c r="I685" s="26"/>
      <c r="J685" s="30"/>
      <c r="K685" s="30"/>
      <c r="L685" s="8"/>
    </row>
    <row r="686" spans="1:12" x14ac:dyDescent="0.2">
      <c r="A686" s="8"/>
      <c r="B686" s="8"/>
      <c r="C686" s="8"/>
      <c r="D686" s="8"/>
      <c r="E686" s="8"/>
      <c r="F686" s="8"/>
      <c r="G686" s="8"/>
      <c r="H686" s="8"/>
      <c r="I686" s="26"/>
      <c r="J686" s="30"/>
      <c r="K686" s="30"/>
      <c r="L686" s="8"/>
    </row>
    <row r="687" spans="1:12" x14ac:dyDescent="0.2">
      <c r="A687" s="8"/>
      <c r="B687" s="8"/>
      <c r="C687" s="8"/>
      <c r="D687" s="8"/>
      <c r="E687" s="8"/>
      <c r="F687" s="8"/>
      <c r="G687" s="8"/>
      <c r="H687" s="8"/>
      <c r="I687" s="26"/>
      <c r="J687" s="30"/>
      <c r="K687" s="30"/>
      <c r="L687" s="8"/>
    </row>
    <row r="688" spans="1:12" x14ac:dyDescent="0.2">
      <c r="A688" s="8"/>
      <c r="B688" s="8"/>
      <c r="C688" s="8"/>
      <c r="D688" s="8"/>
      <c r="E688" s="8"/>
      <c r="F688" s="8"/>
      <c r="G688" s="8"/>
      <c r="H688" s="8"/>
      <c r="I688" s="26"/>
      <c r="J688" s="30"/>
      <c r="K688" s="30"/>
      <c r="L688" s="8"/>
    </row>
    <row r="689" spans="1:12" x14ac:dyDescent="0.2">
      <c r="A689" s="8"/>
      <c r="B689" s="8"/>
      <c r="C689" s="8"/>
      <c r="D689" s="8"/>
      <c r="E689" s="8"/>
      <c r="F689" s="8"/>
      <c r="G689" s="8"/>
      <c r="H689" s="8"/>
      <c r="I689" s="26"/>
      <c r="J689" s="30"/>
      <c r="K689" s="30"/>
      <c r="L689" s="8"/>
    </row>
    <row r="690" spans="1:12" x14ac:dyDescent="0.2">
      <c r="A690" s="8"/>
      <c r="B690" s="8"/>
      <c r="C690" s="8"/>
      <c r="D690" s="8"/>
      <c r="E690" s="8"/>
      <c r="F690" s="8"/>
      <c r="G690" s="8"/>
      <c r="H690" s="8"/>
      <c r="I690" s="26"/>
      <c r="J690" s="30"/>
      <c r="K690" s="30"/>
      <c r="L690" s="8"/>
    </row>
    <row r="691" spans="1:12" x14ac:dyDescent="0.2">
      <c r="A691" s="8"/>
      <c r="B691" s="8"/>
      <c r="C691" s="8"/>
      <c r="D691" s="8"/>
      <c r="E691" s="8"/>
      <c r="F691" s="8"/>
      <c r="G691" s="8"/>
      <c r="H691" s="8"/>
      <c r="I691" s="26"/>
      <c r="J691" s="30"/>
      <c r="K691" s="30"/>
      <c r="L691" s="8"/>
    </row>
    <row r="692" spans="1:12" x14ac:dyDescent="0.2">
      <c r="A692" s="8"/>
      <c r="B692" s="8"/>
      <c r="C692" s="8"/>
      <c r="D692" s="8"/>
      <c r="E692" s="8"/>
      <c r="F692" s="8"/>
      <c r="G692" s="8"/>
      <c r="H692" s="8"/>
      <c r="I692" s="26"/>
      <c r="J692" s="30"/>
      <c r="K692" s="30"/>
      <c r="L692" s="8"/>
    </row>
    <row r="693" spans="1:12" x14ac:dyDescent="0.2">
      <c r="A693" s="8"/>
      <c r="B693" s="8"/>
      <c r="C693" s="8"/>
      <c r="D693" s="8"/>
      <c r="E693" s="8"/>
      <c r="F693" s="8"/>
      <c r="G693" s="8"/>
      <c r="H693" s="8"/>
      <c r="I693" s="26"/>
      <c r="J693" s="30"/>
      <c r="K693" s="30"/>
      <c r="L693" s="8"/>
    </row>
    <row r="694" spans="1:12" x14ac:dyDescent="0.2">
      <c r="A694" s="8"/>
      <c r="B694" s="8"/>
      <c r="C694" s="8"/>
      <c r="D694" s="8"/>
      <c r="E694" s="8"/>
      <c r="F694" s="8"/>
      <c r="G694" s="8"/>
      <c r="H694" s="8"/>
      <c r="I694" s="26"/>
      <c r="J694" s="30"/>
      <c r="K694" s="30"/>
      <c r="L694" s="8"/>
    </row>
    <row r="695" spans="1:12" x14ac:dyDescent="0.2">
      <c r="A695" s="8"/>
      <c r="B695" s="8"/>
      <c r="C695" s="8"/>
      <c r="D695" s="8"/>
      <c r="E695" s="8"/>
      <c r="F695" s="8"/>
      <c r="G695" s="8"/>
      <c r="H695" s="8"/>
      <c r="I695" s="26"/>
      <c r="J695" s="30"/>
      <c r="K695" s="30"/>
      <c r="L695" s="8"/>
    </row>
    <row r="696" spans="1:12" x14ac:dyDescent="0.2">
      <c r="A696" s="8"/>
      <c r="B696" s="8"/>
      <c r="C696" s="8"/>
      <c r="D696" s="8"/>
      <c r="E696" s="8"/>
      <c r="F696" s="8"/>
      <c r="G696" s="8"/>
      <c r="H696" s="8"/>
      <c r="I696" s="26"/>
      <c r="J696" s="30"/>
      <c r="K696" s="30"/>
      <c r="L696" s="8"/>
    </row>
    <row r="697" spans="1:12" x14ac:dyDescent="0.2">
      <c r="A697" s="8"/>
      <c r="B697" s="8"/>
      <c r="C697" s="8"/>
      <c r="D697" s="8"/>
      <c r="E697" s="8"/>
      <c r="F697" s="8"/>
      <c r="G697" s="8"/>
      <c r="H697" s="8"/>
      <c r="I697" s="26"/>
      <c r="J697" s="30"/>
      <c r="K697" s="30"/>
      <c r="L697" s="8"/>
    </row>
    <row r="698" spans="1:12" x14ac:dyDescent="0.2">
      <c r="A698" s="8"/>
      <c r="B698" s="8"/>
      <c r="C698" s="8"/>
      <c r="D698" s="8"/>
      <c r="E698" s="8"/>
      <c r="F698" s="8"/>
      <c r="G698" s="8"/>
      <c r="H698" s="8"/>
      <c r="I698" s="26"/>
      <c r="J698" s="30"/>
      <c r="K698" s="30"/>
      <c r="L698" s="8"/>
    </row>
    <row r="699" spans="1:12" x14ac:dyDescent="0.2">
      <c r="A699" s="8"/>
      <c r="B699" s="8"/>
      <c r="C699" s="8"/>
      <c r="D699" s="8"/>
      <c r="E699" s="8"/>
      <c r="F699" s="8"/>
      <c r="G699" s="8"/>
      <c r="H699" s="8"/>
      <c r="I699" s="26"/>
      <c r="J699" s="30"/>
      <c r="K699" s="30"/>
      <c r="L699" s="8"/>
    </row>
    <row r="700" spans="1:12" x14ac:dyDescent="0.2">
      <c r="A700" s="8"/>
      <c r="B700" s="8"/>
      <c r="C700" s="8"/>
      <c r="D700" s="8"/>
      <c r="E700" s="8"/>
      <c r="F700" s="8"/>
      <c r="G700" s="8"/>
      <c r="H700" s="8"/>
      <c r="I700" s="26"/>
      <c r="J700" s="30"/>
      <c r="K700" s="30"/>
      <c r="L700" s="8"/>
    </row>
    <row r="701" spans="1:12" x14ac:dyDescent="0.2">
      <c r="A701" s="8"/>
      <c r="B701" s="8"/>
      <c r="C701" s="8"/>
      <c r="D701" s="8"/>
      <c r="E701" s="8"/>
      <c r="F701" s="8"/>
      <c r="G701" s="8"/>
      <c r="H701" s="8"/>
      <c r="I701" s="26"/>
      <c r="J701" s="30"/>
      <c r="K701" s="30"/>
      <c r="L701" s="8"/>
    </row>
    <row r="702" spans="1:12" x14ac:dyDescent="0.2">
      <c r="A702" s="8"/>
      <c r="B702" s="8"/>
      <c r="C702" s="8"/>
      <c r="D702" s="8"/>
      <c r="E702" s="8"/>
      <c r="F702" s="8"/>
      <c r="G702" s="8"/>
      <c r="H702" s="8"/>
      <c r="I702" s="26"/>
      <c r="J702" s="30"/>
      <c r="K702" s="30"/>
      <c r="L702" s="8"/>
    </row>
    <row r="703" spans="1:12" x14ac:dyDescent="0.2">
      <c r="A703" s="8"/>
      <c r="B703" s="8"/>
      <c r="C703" s="8"/>
      <c r="D703" s="8"/>
      <c r="E703" s="8"/>
      <c r="F703" s="8"/>
      <c r="G703" s="8"/>
      <c r="H703" s="8"/>
      <c r="I703" s="26"/>
      <c r="J703" s="30"/>
      <c r="K703" s="30"/>
      <c r="L703" s="8"/>
    </row>
    <row r="704" spans="1:12" x14ac:dyDescent="0.2">
      <c r="A704" s="8"/>
      <c r="B704" s="8"/>
      <c r="C704" s="8"/>
      <c r="D704" s="8"/>
      <c r="E704" s="8"/>
      <c r="F704" s="8"/>
      <c r="G704" s="8"/>
      <c r="H704" s="8"/>
      <c r="I704" s="26"/>
      <c r="J704" s="30"/>
      <c r="K704" s="30"/>
      <c r="L704" s="8"/>
    </row>
    <row r="705" spans="1:12" x14ac:dyDescent="0.2">
      <c r="A705" s="8"/>
      <c r="B705" s="8"/>
      <c r="C705" s="8"/>
      <c r="D705" s="8"/>
      <c r="E705" s="8"/>
      <c r="F705" s="8"/>
      <c r="G705" s="8"/>
      <c r="H705" s="8"/>
      <c r="I705" s="26"/>
      <c r="J705" s="30"/>
      <c r="K705" s="30"/>
      <c r="L705" s="8"/>
    </row>
    <row r="706" spans="1:12" x14ac:dyDescent="0.2">
      <c r="A706" s="8"/>
      <c r="B706" s="8"/>
      <c r="C706" s="8"/>
      <c r="D706" s="8"/>
      <c r="E706" s="8"/>
      <c r="F706" s="8"/>
      <c r="G706" s="8"/>
      <c r="H706" s="8"/>
      <c r="I706" s="26"/>
      <c r="J706" s="30"/>
      <c r="K706" s="30"/>
      <c r="L706" s="8"/>
    </row>
    <row r="707" spans="1:12" x14ac:dyDescent="0.2">
      <c r="A707" s="8"/>
      <c r="B707" s="8"/>
      <c r="C707" s="8"/>
      <c r="D707" s="8"/>
      <c r="E707" s="8"/>
      <c r="F707" s="8"/>
      <c r="G707" s="8"/>
      <c r="H707" s="8"/>
      <c r="I707" s="26"/>
      <c r="J707" s="30"/>
      <c r="K707" s="30"/>
      <c r="L707" s="8"/>
    </row>
    <row r="708" spans="1:12" x14ac:dyDescent="0.2">
      <c r="A708" s="8"/>
      <c r="B708" s="8"/>
      <c r="C708" s="8"/>
      <c r="D708" s="8"/>
      <c r="E708" s="8"/>
      <c r="F708" s="8"/>
      <c r="G708" s="8"/>
      <c r="H708" s="8"/>
      <c r="I708" s="26"/>
      <c r="J708" s="30"/>
      <c r="K708" s="30"/>
      <c r="L708" s="8"/>
    </row>
    <row r="709" spans="1:12" x14ac:dyDescent="0.2">
      <c r="A709" s="8"/>
      <c r="B709" s="8"/>
      <c r="C709" s="8"/>
      <c r="D709" s="8"/>
      <c r="E709" s="8"/>
      <c r="F709" s="8"/>
      <c r="G709" s="8"/>
      <c r="H709" s="8"/>
      <c r="I709" s="26"/>
      <c r="J709" s="30"/>
      <c r="K709" s="30"/>
      <c r="L709" s="8"/>
    </row>
    <row r="710" spans="1:12" x14ac:dyDescent="0.2">
      <c r="A710" s="8"/>
      <c r="B710" s="8"/>
      <c r="C710" s="8"/>
      <c r="D710" s="8"/>
      <c r="E710" s="8"/>
      <c r="F710" s="8"/>
      <c r="G710" s="8"/>
      <c r="H710" s="8"/>
      <c r="I710" s="26"/>
      <c r="J710" s="30"/>
      <c r="K710" s="30"/>
      <c r="L710" s="8"/>
    </row>
    <row r="711" spans="1:12" x14ac:dyDescent="0.2">
      <c r="A711" s="8"/>
      <c r="B711" s="8"/>
      <c r="C711" s="8"/>
      <c r="D711" s="8"/>
      <c r="E711" s="8"/>
      <c r="F711" s="8"/>
      <c r="G711" s="8"/>
      <c r="H711" s="8"/>
      <c r="I711" s="26"/>
      <c r="J711" s="30"/>
      <c r="K711" s="30"/>
      <c r="L711" s="8"/>
    </row>
    <row r="712" spans="1:12" x14ac:dyDescent="0.2">
      <c r="A712" s="8"/>
      <c r="B712" s="8"/>
      <c r="C712" s="8"/>
      <c r="D712" s="8"/>
      <c r="E712" s="8"/>
      <c r="F712" s="8"/>
      <c r="G712" s="8"/>
      <c r="H712" s="8"/>
      <c r="I712" s="26"/>
      <c r="J712" s="30"/>
      <c r="K712" s="30"/>
      <c r="L712" s="8"/>
    </row>
    <row r="713" spans="1:12" x14ac:dyDescent="0.2">
      <c r="A713" s="8"/>
      <c r="B713" s="8"/>
      <c r="C713" s="8"/>
      <c r="D713" s="8"/>
      <c r="E713" s="8"/>
      <c r="F713" s="8"/>
      <c r="G713" s="8"/>
      <c r="H713" s="8"/>
      <c r="I713" s="26"/>
      <c r="J713" s="30"/>
      <c r="K713" s="30"/>
      <c r="L713" s="8"/>
    </row>
    <row r="714" spans="1:12" x14ac:dyDescent="0.2">
      <c r="A714" s="8"/>
      <c r="B714" s="8"/>
      <c r="C714" s="8"/>
      <c r="D714" s="8"/>
      <c r="E714" s="8"/>
      <c r="F714" s="8"/>
      <c r="G714" s="8"/>
      <c r="H714" s="8"/>
      <c r="I714" s="26"/>
      <c r="J714" s="30"/>
      <c r="K714" s="30"/>
      <c r="L714" s="8"/>
    </row>
    <row r="715" spans="1:12" x14ac:dyDescent="0.2">
      <c r="A715" s="8"/>
      <c r="B715" s="8"/>
      <c r="C715" s="8"/>
      <c r="D715" s="8"/>
      <c r="E715" s="8"/>
      <c r="F715" s="8"/>
      <c r="G715" s="8"/>
      <c r="H715" s="8"/>
      <c r="I715" s="26"/>
      <c r="J715" s="30"/>
      <c r="K715" s="30"/>
      <c r="L715" s="8"/>
    </row>
    <row r="716" spans="1:12" x14ac:dyDescent="0.2">
      <c r="A716" s="8"/>
      <c r="B716" s="8"/>
      <c r="C716" s="8"/>
      <c r="D716" s="8"/>
      <c r="E716" s="8"/>
      <c r="F716" s="8"/>
      <c r="G716" s="8"/>
      <c r="H716" s="8"/>
      <c r="I716" s="26"/>
      <c r="J716" s="30"/>
      <c r="K716" s="30"/>
      <c r="L716" s="8"/>
    </row>
    <row r="717" spans="1:12" x14ac:dyDescent="0.2">
      <c r="A717" s="8"/>
      <c r="B717" s="8"/>
      <c r="C717" s="8"/>
      <c r="D717" s="8"/>
      <c r="E717" s="8"/>
      <c r="F717" s="8"/>
      <c r="G717" s="8"/>
      <c r="H717" s="8"/>
      <c r="I717" s="26"/>
      <c r="J717" s="30"/>
      <c r="K717" s="30"/>
      <c r="L717" s="8"/>
    </row>
    <row r="718" spans="1:12" x14ac:dyDescent="0.2">
      <c r="A718" s="8"/>
      <c r="B718" s="8"/>
      <c r="C718" s="8"/>
      <c r="D718" s="8"/>
      <c r="E718" s="8"/>
      <c r="F718" s="8"/>
      <c r="G718" s="8"/>
      <c r="H718" s="8"/>
      <c r="I718" s="26"/>
      <c r="J718" s="30"/>
      <c r="K718" s="30"/>
      <c r="L718" s="8"/>
    </row>
    <row r="719" spans="1:12" x14ac:dyDescent="0.2">
      <c r="A719" s="8"/>
      <c r="B719" s="8"/>
      <c r="C719" s="8"/>
      <c r="D719" s="8"/>
      <c r="E719" s="8"/>
      <c r="F719" s="8"/>
      <c r="G719" s="8"/>
      <c r="H719" s="8"/>
      <c r="I719" s="26"/>
      <c r="J719" s="30"/>
      <c r="K719" s="30"/>
      <c r="L719" s="8"/>
    </row>
    <row r="720" spans="1:12" x14ac:dyDescent="0.2">
      <c r="A720" s="8"/>
      <c r="B720" s="8"/>
      <c r="C720" s="8"/>
      <c r="D720" s="8"/>
      <c r="E720" s="8"/>
      <c r="F720" s="8"/>
      <c r="G720" s="8"/>
      <c r="H720" s="8"/>
      <c r="I720" s="26"/>
      <c r="J720" s="30"/>
      <c r="K720" s="30"/>
      <c r="L720" s="8"/>
    </row>
    <row r="721" spans="1:12" x14ac:dyDescent="0.2">
      <c r="A721" s="8"/>
      <c r="B721" s="8"/>
      <c r="C721" s="8"/>
      <c r="D721" s="8"/>
      <c r="E721" s="8"/>
      <c r="F721" s="8"/>
      <c r="G721" s="8"/>
      <c r="H721" s="8"/>
      <c r="I721" s="26"/>
      <c r="J721" s="30"/>
      <c r="K721" s="30"/>
      <c r="L721" s="8"/>
    </row>
    <row r="722" spans="1:12" x14ac:dyDescent="0.2">
      <c r="A722" s="8"/>
      <c r="B722" s="8"/>
      <c r="C722" s="8"/>
      <c r="D722" s="8"/>
      <c r="E722" s="8"/>
      <c r="F722" s="8"/>
      <c r="G722" s="8"/>
      <c r="H722" s="8"/>
      <c r="I722" s="26"/>
      <c r="J722" s="30"/>
      <c r="K722" s="30"/>
      <c r="L722" s="8"/>
    </row>
    <row r="723" spans="1:12" x14ac:dyDescent="0.2">
      <c r="A723" s="8"/>
      <c r="B723" s="8"/>
      <c r="C723" s="8"/>
      <c r="D723" s="8"/>
      <c r="E723" s="8"/>
      <c r="F723" s="8"/>
      <c r="G723" s="8"/>
      <c r="H723" s="8"/>
      <c r="I723" s="26"/>
      <c r="J723" s="30"/>
      <c r="K723" s="30"/>
      <c r="L723" s="8"/>
    </row>
    <row r="724" spans="1:12" x14ac:dyDescent="0.2">
      <c r="A724" s="8"/>
      <c r="B724" s="8"/>
      <c r="C724" s="8"/>
      <c r="D724" s="8"/>
      <c r="E724" s="8"/>
      <c r="F724" s="8"/>
      <c r="G724" s="8"/>
      <c r="H724" s="8"/>
      <c r="I724" s="26"/>
      <c r="J724" s="30"/>
      <c r="K724" s="30"/>
      <c r="L724" s="8"/>
    </row>
    <row r="725" spans="1:12" x14ac:dyDescent="0.2">
      <c r="A725" s="8"/>
      <c r="B725" s="8"/>
      <c r="C725" s="8"/>
      <c r="D725" s="8"/>
      <c r="E725" s="8"/>
      <c r="F725" s="8"/>
      <c r="G725" s="8"/>
      <c r="H725" s="8"/>
      <c r="I725" s="26"/>
      <c r="J725" s="30"/>
      <c r="K725" s="30"/>
      <c r="L725" s="8"/>
    </row>
    <row r="726" spans="1:12" x14ac:dyDescent="0.2">
      <c r="A726" s="8"/>
      <c r="B726" s="8"/>
      <c r="C726" s="8"/>
      <c r="D726" s="8"/>
      <c r="E726" s="8"/>
      <c r="F726" s="8"/>
      <c r="G726" s="8"/>
      <c r="H726" s="8"/>
      <c r="I726" s="26"/>
      <c r="J726" s="30"/>
      <c r="K726" s="30"/>
      <c r="L726" s="8"/>
    </row>
    <row r="727" spans="1:12" x14ac:dyDescent="0.2">
      <c r="A727" s="8"/>
      <c r="B727" s="8"/>
      <c r="C727" s="8"/>
      <c r="D727" s="8"/>
      <c r="E727" s="8"/>
      <c r="F727" s="8"/>
      <c r="G727" s="8"/>
      <c r="H727" s="8"/>
      <c r="I727" s="26"/>
      <c r="J727" s="30"/>
      <c r="K727" s="30"/>
      <c r="L727" s="8"/>
    </row>
    <row r="728" spans="1:12" x14ac:dyDescent="0.2">
      <c r="A728" s="8"/>
      <c r="B728" s="8"/>
      <c r="C728" s="8"/>
      <c r="D728" s="8"/>
      <c r="E728" s="8"/>
      <c r="F728" s="8"/>
      <c r="G728" s="8"/>
      <c r="H728" s="8"/>
      <c r="I728" s="26"/>
      <c r="J728" s="30"/>
      <c r="K728" s="30"/>
      <c r="L728" s="8"/>
    </row>
    <row r="729" spans="1:12" x14ac:dyDescent="0.2">
      <c r="A729" s="8"/>
      <c r="B729" s="8"/>
      <c r="C729" s="8"/>
      <c r="D729" s="8"/>
      <c r="E729" s="8"/>
      <c r="F729" s="8"/>
      <c r="G729" s="8"/>
      <c r="H729" s="8"/>
      <c r="I729" s="26"/>
      <c r="J729" s="30"/>
      <c r="K729" s="30"/>
      <c r="L729" s="8"/>
    </row>
    <row r="730" spans="1:12" x14ac:dyDescent="0.2">
      <c r="A730" s="8"/>
      <c r="B730" s="8"/>
      <c r="C730" s="8"/>
      <c r="D730" s="8"/>
      <c r="E730" s="8"/>
      <c r="F730" s="8"/>
      <c r="G730" s="8"/>
      <c r="H730" s="8"/>
      <c r="I730" s="26"/>
      <c r="J730" s="30"/>
      <c r="K730" s="30"/>
      <c r="L730" s="8"/>
    </row>
    <row r="731" spans="1:12" x14ac:dyDescent="0.2">
      <c r="A731" s="8"/>
      <c r="B731" s="8"/>
      <c r="C731" s="8"/>
      <c r="D731" s="8"/>
      <c r="E731" s="8"/>
      <c r="F731" s="8"/>
      <c r="G731" s="8"/>
      <c r="H731" s="8"/>
      <c r="I731" s="26"/>
      <c r="J731" s="30"/>
      <c r="K731" s="30"/>
      <c r="L731" s="8"/>
    </row>
    <row r="732" spans="1:12" x14ac:dyDescent="0.2">
      <c r="A732" s="8"/>
      <c r="B732" s="8"/>
      <c r="C732" s="8"/>
      <c r="D732" s="8"/>
      <c r="E732" s="8"/>
      <c r="F732" s="8"/>
      <c r="G732" s="8"/>
      <c r="H732" s="8"/>
      <c r="I732" s="26"/>
      <c r="J732" s="30"/>
      <c r="K732" s="30"/>
      <c r="L732" s="8"/>
    </row>
    <row r="733" spans="1:12" x14ac:dyDescent="0.2">
      <c r="A733" s="8"/>
      <c r="B733" s="8"/>
      <c r="C733" s="8"/>
      <c r="D733" s="8"/>
      <c r="E733" s="8"/>
      <c r="F733" s="8"/>
      <c r="G733" s="8"/>
      <c r="H733" s="8"/>
      <c r="I733" s="26"/>
      <c r="J733" s="30"/>
      <c r="K733" s="30"/>
      <c r="L733" s="8"/>
    </row>
    <row r="734" spans="1:12" x14ac:dyDescent="0.2">
      <c r="A734" s="8"/>
      <c r="B734" s="8"/>
      <c r="C734" s="8"/>
      <c r="D734" s="8"/>
      <c r="E734" s="8"/>
      <c r="F734" s="8"/>
      <c r="G734" s="8"/>
      <c r="H734" s="8"/>
      <c r="I734" s="26"/>
      <c r="J734" s="30"/>
      <c r="K734" s="30"/>
      <c r="L734" s="8"/>
    </row>
    <row r="735" spans="1:12" x14ac:dyDescent="0.2">
      <c r="A735" s="8"/>
      <c r="B735" s="8"/>
      <c r="C735" s="8"/>
      <c r="D735" s="8"/>
      <c r="E735" s="8"/>
      <c r="F735" s="8"/>
      <c r="G735" s="8"/>
      <c r="H735" s="8"/>
      <c r="I735" s="26"/>
      <c r="J735" s="30"/>
      <c r="K735" s="30"/>
      <c r="L735" s="8"/>
    </row>
    <row r="736" spans="1:12" x14ac:dyDescent="0.2">
      <c r="A736" s="8"/>
      <c r="B736" s="8"/>
      <c r="C736" s="8"/>
      <c r="D736" s="8"/>
      <c r="E736" s="8"/>
      <c r="F736" s="8"/>
      <c r="G736" s="8"/>
      <c r="H736" s="8"/>
      <c r="I736" s="26"/>
      <c r="J736" s="30"/>
      <c r="K736" s="30"/>
      <c r="L736" s="8"/>
    </row>
    <row r="737" spans="1:12" x14ac:dyDescent="0.2">
      <c r="A737" s="8"/>
      <c r="B737" s="8"/>
      <c r="C737" s="8"/>
      <c r="D737" s="8"/>
      <c r="E737" s="8"/>
      <c r="F737" s="8"/>
      <c r="G737" s="8"/>
      <c r="H737" s="8"/>
      <c r="I737" s="26"/>
      <c r="J737" s="30"/>
      <c r="K737" s="30"/>
      <c r="L737" s="8"/>
    </row>
    <row r="738" spans="1:12" x14ac:dyDescent="0.2">
      <c r="A738" s="8"/>
      <c r="B738" s="8"/>
      <c r="C738" s="8"/>
      <c r="D738" s="8"/>
      <c r="E738" s="8"/>
      <c r="F738" s="8"/>
      <c r="G738" s="8"/>
      <c r="H738" s="8"/>
      <c r="I738" s="26"/>
      <c r="J738" s="30"/>
      <c r="K738" s="30"/>
      <c r="L738" s="8"/>
    </row>
    <row r="739" spans="1:12" x14ac:dyDescent="0.2">
      <c r="A739" s="8"/>
      <c r="B739" s="8"/>
      <c r="C739" s="8"/>
      <c r="D739" s="8"/>
      <c r="E739" s="8"/>
      <c r="F739" s="8"/>
      <c r="G739" s="8"/>
      <c r="H739" s="8"/>
      <c r="I739" s="26"/>
      <c r="J739" s="30"/>
      <c r="K739" s="30"/>
      <c r="L739" s="8"/>
    </row>
    <row r="740" spans="1:12" x14ac:dyDescent="0.2">
      <c r="A740" s="8"/>
      <c r="B740" s="8"/>
      <c r="C740" s="8"/>
      <c r="D740" s="8"/>
      <c r="E740" s="8"/>
      <c r="F740" s="8"/>
      <c r="G740" s="8"/>
      <c r="H740" s="8"/>
      <c r="I740" s="26"/>
      <c r="J740" s="30"/>
      <c r="K740" s="30"/>
      <c r="L740" s="8"/>
    </row>
    <row r="741" spans="1:12" x14ac:dyDescent="0.2">
      <c r="A741" s="8"/>
      <c r="B741" s="8"/>
      <c r="C741" s="8"/>
      <c r="D741" s="8"/>
      <c r="E741" s="8"/>
      <c r="F741" s="8"/>
      <c r="G741" s="8"/>
      <c r="H741" s="8"/>
      <c r="I741" s="26"/>
      <c r="J741" s="30"/>
      <c r="K741" s="30"/>
      <c r="L741" s="8"/>
    </row>
    <row r="742" spans="1:12" x14ac:dyDescent="0.2">
      <c r="A742" s="8"/>
      <c r="B742" s="8"/>
      <c r="C742" s="8"/>
      <c r="D742" s="8"/>
      <c r="E742" s="8"/>
      <c r="F742" s="8"/>
      <c r="G742" s="8"/>
      <c r="H742" s="8"/>
      <c r="I742" s="26"/>
      <c r="J742" s="30"/>
      <c r="K742" s="30"/>
      <c r="L742" s="8"/>
    </row>
    <row r="743" spans="1:12" x14ac:dyDescent="0.2">
      <c r="A743" s="8"/>
      <c r="B743" s="8"/>
      <c r="C743" s="8"/>
      <c r="D743" s="8"/>
      <c r="E743" s="8"/>
      <c r="F743" s="8"/>
      <c r="G743" s="8"/>
      <c r="H743" s="8"/>
      <c r="I743" s="26"/>
      <c r="J743" s="30"/>
      <c r="K743" s="30"/>
      <c r="L743" s="8"/>
    </row>
    <row r="744" spans="1:12" x14ac:dyDescent="0.2">
      <c r="A744" s="8"/>
      <c r="B744" s="8"/>
      <c r="C744" s="8"/>
      <c r="D744" s="8"/>
      <c r="E744" s="8"/>
      <c r="F744" s="8"/>
      <c r="G744" s="8"/>
      <c r="H744" s="8"/>
      <c r="I744" s="26"/>
      <c r="J744" s="30"/>
      <c r="K744" s="30"/>
      <c r="L744" s="8"/>
    </row>
    <row r="745" spans="1:12" x14ac:dyDescent="0.2">
      <c r="A745" s="8"/>
      <c r="B745" s="8"/>
      <c r="C745" s="8"/>
      <c r="D745" s="8"/>
      <c r="E745" s="8"/>
      <c r="F745" s="8"/>
      <c r="G745" s="8"/>
      <c r="H745" s="8"/>
      <c r="I745" s="26"/>
      <c r="J745" s="30"/>
      <c r="K745" s="30"/>
      <c r="L745" s="8"/>
    </row>
    <row r="746" spans="1:12" x14ac:dyDescent="0.2">
      <c r="A746" s="8"/>
      <c r="B746" s="8"/>
      <c r="C746" s="8"/>
      <c r="D746" s="8"/>
      <c r="E746" s="8"/>
      <c r="F746" s="8"/>
      <c r="G746" s="8"/>
      <c r="H746" s="8"/>
      <c r="I746" s="26"/>
      <c r="J746" s="30"/>
      <c r="K746" s="30"/>
      <c r="L746" s="8"/>
    </row>
    <row r="747" spans="1:12" x14ac:dyDescent="0.2">
      <c r="A747" s="8"/>
      <c r="B747" s="8"/>
      <c r="C747" s="8"/>
      <c r="D747" s="8"/>
      <c r="E747" s="8"/>
      <c r="F747" s="8"/>
      <c r="G747" s="8"/>
      <c r="H747" s="8"/>
      <c r="I747" s="26"/>
      <c r="J747" s="30"/>
      <c r="K747" s="30"/>
      <c r="L747" s="8"/>
    </row>
    <row r="748" spans="1:12" x14ac:dyDescent="0.2">
      <c r="A748" s="8"/>
      <c r="B748" s="8"/>
      <c r="C748" s="8"/>
      <c r="D748" s="8"/>
      <c r="E748" s="8"/>
      <c r="F748" s="8"/>
      <c r="G748" s="8"/>
      <c r="H748" s="8"/>
      <c r="I748" s="26"/>
      <c r="J748" s="30"/>
      <c r="K748" s="30"/>
      <c r="L748" s="8"/>
    </row>
    <row r="749" spans="1:12" x14ac:dyDescent="0.2">
      <c r="A749" s="8"/>
      <c r="B749" s="8"/>
      <c r="C749" s="8"/>
      <c r="D749" s="8"/>
      <c r="E749" s="8"/>
      <c r="F749" s="8"/>
      <c r="G749" s="8"/>
      <c r="H749" s="8"/>
      <c r="I749" s="26"/>
      <c r="J749" s="30"/>
      <c r="K749" s="30"/>
      <c r="L749" s="8"/>
    </row>
    <row r="750" spans="1:12" x14ac:dyDescent="0.2">
      <c r="A750" s="8"/>
      <c r="B750" s="8"/>
      <c r="C750" s="8"/>
      <c r="D750" s="8"/>
      <c r="E750" s="8"/>
      <c r="F750" s="8"/>
      <c r="G750" s="8"/>
      <c r="H750" s="8"/>
      <c r="I750" s="26"/>
      <c r="J750" s="30"/>
      <c r="K750" s="30"/>
      <c r="L750" s="8"/>
    </row>
    <row r="751" spans="1:12" x14ac:dyDescent="0.2">
      <c r="A751" s="8"/>
      <c r="B751" s="8"/>
      <c r="C751" s="8"/>
      <c r="D751" s="8"/>
      <c r="E751" s="8"/>
      <c r="F751" s="8"/>
      <c r="G751" s="8"/>
      <c r="H751" s="8"/>
      <c r="I751" s="26"/>
      <c r="J751" s="30"/>
      <c r="K751" s="30"/>
      <c r="L751" s="8"/>
    </row>
    <row r="752" spans="1:12" x14ac:dyDescent="0.2">
      <c r="A752" s="8"/>
      <c r="B752" s="8"/>
      <c r="C752" s="8"/>
      <c r="D752" s="8"/>
      <c r="E752" s="8"/>
      <c r="F752" s="8"/>
      <c r="G752" s="8"/>
      <c r="H752" s="8"/>
      <c r="I752" s="26"/>
      <c r="J752" s="30"/>
      <c r="K752" s="30"/>
      <c r="L752" s="8"/>
    </row>
    <row r="753" spans="1:12" x14ac:dyDescent="0.2">
      <c r="A753" s="8"/>
      <c r="B753" s="8"/>
      <c r="C753" s="8"/>
      <c r="D753" s="8"/>
      <c r="E753" s="8"/>
      <c r="F753" s="8"/>
      <c r="G753" s="8"/>
      <c r="H753" s="8"/>
      <c r="I753" s="26"/>
      <c r="J753" s="30"/>
      <c r="K753" s="30"/>
      <c r="L753" s="8"/>
    </row>
    <row r="754" spans="1:12" x14ac:dyDescent="0.2">
      <c r="A754" s="8"/>
      <c r="B754" s="8"/>
      <c r="C754" s="8"/>
      <c r="D754" s="8"/>
      <c r="E754" s="8"/>
      <c r="F754" s="8"/>
      <c r="G754" s="8"/>
      <c r="H754" s="8"/>
      <c r="I754" s="26"/>
      <c r="J754" s="30"/>
      <c r="K754" s="30"/>
      <c r="L754" s="8"/>
    </row>
    <row r="755" spans="1:12" x14ac:dyDescent="0.2">
      <c r="A755" s="8"/>
      <c r="B755" s="8"/>
      <c r="C755" s="8"/>
      <c r="D755" s="8"/>
      <c r="E755" s="8"/>
      <c r="F755" s="8"/>
      <c r="G755" s="8"/>
      <c r="H755" s="8"/>
      <c r="I755" s="26"/>
      <c r="J755" s="30"/>
      <c r="K755" s="30"/>
      <c r="L755" s="8"/>
    </row>
    <row r="756" spans="1:12" x14ac:dyDescent="0.2">
      <c r="A756" s="8"/>
      <c r="B756" s="8"/>
      <c r="C756" s="8"/>
      <c r="D756" s="8"/>
      <c r="E756" s="8"/>
      <c r="F756" s="8"/>
      <c r="G756" s="8"/>
      <c r="H756" s="8"/>
      <c r="I756" s="26"/>
      <c r="J756" s="30"/>
      <c r="K756" s="30"/>
      <c r="L756" s="8"/>
    </row>
    <row r="757" spans="1:12" x14ac:dyDescent="0.2">
      <c r="A757" s="8"/>
      <c r="B757" s="8"/>
      <c r="C757" s="8"/>
      <c r="D757" s="8"/>
      <c r="E757" s="8"/>
      <c r="F757" s="8"/>
      <c r="G757" s="8"/>
      <c r="H757" s="8"/>
      <c r="I757" s="26"/>
      <c r="J757" s="30"/>
      <c r="K757" s="30"/>
      <c r="L757" s="8"/>
    </row>
    <row r="758" spans="1:12" x14ac:dyDescent="0.2">
      <c r="A758" s="8"/>
      <c r="B758" s="8"/>
      <c r="C758" s="8"/>
      <c r="D758" s="8"/>
      <c r="E758" s="8"/>
      <c r="F758" s="8"/>
      <c r="G758" s="8"/>
      <c r="H758" s="8"/>
      <c r="I758" s="26"/>
      <c r="J758" s="30"/>
      <c r="K758" s="30"/>
      <c r="L758" s="8"/>
    </row>
    <row r="759" spans="1:12" x14ac:dyDescent="0.2">
      <c r="A759" s="8"/>
      <c r="B759" s="8"/>
      <c r="C759" s="8"/>
      <c r="D759" s="8"/>
      <c r="E759" s="8"/>
      <c r="F759" s="8"/>
      <c r="G759" s="8"/>
      <c r="H759" s="8"/>
      <c r="I759" s="26"/>
      <c r="J759" s="30"/>
      <c r="K759" s="30"/>
      <c r="L759" s="8"/>
    </row>
    <row r="760" spans="1:12" x14ac:dyDescent="0.2">
      <c r="A760" s="8"/>
      <c r="B760" s="8"/>
      <c r="C760" s="8"/>
      <c r="D760" s="8"/>
      <c r="E760" s="8"/>
      <c r="F760" s="8"/>
      <c r="G760" s="8"/>
      <c r="H760" s="8"/>
      <c r="I760" s="26"/>
      <c r="J760" s="30"/>
      <c r="K760" s="30"/>
      <c r="L760" s="8"/>
    </row>
    <row r="761" spans="1:12" x14ac:dyDescent="0.2">
      <c r="A761" s="8"/>
      <c r="B761" s="8"/>
      <c r="C761" s="8"/>
      <c r="D761" s="8"/>
      <c r="E761" s="8"/>
      <c r="F761" s="8"/>
      <c r="G761" s="8"/>
      <c r="H761" s="8"/>
      <c r="I761" s="26"/>
      <c r="J761" s="30"/>
      <c r="K761" s="30"/>
      <c r="L761" s="8"/>
    </row>
    <row r="762" spans="1:12" x14ac:dyDescent="0.2">
      <c r="A762" s="8"/>
      <c r="B762" s="8"/>
      <c r="C762" s="8"/>
      <c r="D762" s="8"/>
      <c r="E762" s="8"/>
      <c r="F762" s="8"/>
      <c r="G762" s="8"/>
      <c r="H762" s="8"/>
      <c r="I762" s="26"/>
      <c r="J762" s="30"/>
      <c r="K762" s="30"/>
      <c r="L762" s="8"/>
    </row>
    <row r="763" spans="1:12" x14ac:dyDescent="0.2">
      <c r="A763" s="8"/>
      <c r="B763" s="8"/>
      <c r="C763" s="8"/>
      <c r="D763" s="8"/>
      <c r="E763" s="8"/>
      <c r="F763" s="8"/>
      <c r="G763" s="8"/>
      <c r="H763" s="8"/>
      <c r="I763" s="26"/>
      <c r="J763" s="30"/>
      <c r="K763" s="30"/>
      <c r="L763" s="8"/>
    </row>
    <row r="764" spans="1:12" x14ac:dyDescent="0.2">
      <c r="A764" s="8"/>
      <c r="B764" s="8"/>
      <c r="C764" s="8"/>
      <c r="D764" s="8"/>
      <c r="E764" s="8"/>
      <c r="F764" s="8"/>
      <c r="G764" s="8"/>
      <c r="H764" s="8"/>
      <c r="I764" s="26"/>
      <c r="J764" s="30"/>
      <c r="K764" s="30"/>
      <c r="L764" s="8"/>
    </row>
    <row r="765" spans="1:12" x14ac:dyDescent="0.2">
      <c r="A765" s="8"/>
      <c r="B765" s="8"/>
      <c r="C765" s="8"/>
      <c r="D765" s="8"/>
      <c r="E765" s="8"/>
      <c r="F765" s="8"/>
      <c r="G765" s="8"/>
      <c r="H765" s="8"/>
      <c r="I765" s="26"/>
      <c r="J765" s="30"/>
      <c r="K765" s="30"/>
      <c r="L765" s="8"/>
    </row>
    <row r="766" spans="1:12" x14ac:dyDescent="0.2">
      <c r="A766" s="8"/>
      <c r="B766" s="8"/>
      <c r="C766" s="8"/>
      <c r="D766" s="8"/>
      <c r="E766" s="8"/>
      <c r="F766" s="8"/>
      <c r="G766" s="8"/>
      <c r="H766" s="8"/>
      <c r="I766" s="26"/>
      <c r="J766" s="30"/>
      <c r="K766" s="30"/>
      <c r="L766" s="8"/>
    </row>
    <row r="767" spans="1:12" x14ac:dyDescent="0.2">
      <c r="A767" s="8"/>
      <c r="B767" s="8"/>
      <c r="C767" s="8"/>
      <c r="D767" s="8"/>
      <c r="E767" s="8"/>
      <c r="F767" s="8"/>
      <c r="G767" s="8"/>
      <c r="H767" s="8"/>
      <c r="I767" s="26"/>
      <c r="J767" s="30"/>
      <c r="K767" s="30"/>
      <c r="L767" s="8"/>
    </row>
    <row r="768" spans="1:12" x14ac:dyDescent="0.2">
      <c r="A768" s="8"/>
      <c r="B768" s="8"/>
      <c r="C768" s="8"/>
      <c r="D768" s="8"/>
      <c r="E768" s="8"/>
      <c r="F768" s="8"/>
      <c r="G768" s="8"/>
      <c r="H768" s="8"/>
      <c r="I768" s="26"/>
      <c r="J768" s="30"/>
      <c r="K768" s="30"/>
      <c r="L768" s="8"/>
    </row>
    <row r="769" spans="1:12" x14ac:dyDescent="0.2">
      <c r="A769" s="8"/>
      <c r="B769" s="8"/>
      <c r="C769" s="8"/>
      <c r="D769" s="8"/>
      <c r="E769" s="8"/>
      <c r="F769" s="8"/>
      <c r="G769" s="8"/>
      <c r="H769" s="8"/>
      <c r="I769" s="26"/>
      <c r="J769" s="30"/>
      <c r="K769" s="30"/>
      <c r="L769" s="8"/>
    </row>
    <row r="770" spans="1:12" x14ac:dyDescent="0.2">
      <c r="A770" s="8"/>
      <c r="B770" s="8"/>
      <c r="C770" s="8"/>
      <c r="D770" s="8"/>
      <c r="E770" s="8"/>
      <c r="F770" s="8"/>
      <c r="G770" s="8"/>
      <c r="H770" s="8"/>
      <c r="I770" s="26"/>
      <c r="J770" s="30"/>
      <c r="K770" s="30"/>
      <c r="L770" s="8"/>
    </row>
    <row r="771" spans="1:12" x14ac:dyDescent="0.2">
      <c r="A771" s="8"/>
      <c r="B771" s="8"/>
      <c r="C771" s="8"/>
      <c r="D771" s="8"/>
      <c r="E771" s="8"/>
      <c r="F771" s="8"/>
      <c r="G771" s="8"/>
      <c r="H771" s="8"/>
      <c r="I771" s="26"/>
      <c r="J771" s="30"/>
      <c r="K771" s="30"/>
      <c r="L771" s="8"/>
    </row>
    <row r="772" spans="1:12" x14ac:dyDescent="0.2">
      <c r="A772" s="8"/>
      <c r="B772" s="8"/>
      <c r="C772" s="8"/>
      <c r="D772" s="8"/>
      <c r="E772" s="8"/>
      <c r="F772" s="8"/>
      <c r="G772" s="8"/>
      <c r="H772" s="8"/>
      <c r="I772" s="26"/>
      <c r="J772" s="30"/>
      <c r="K772" s="30"/>
      <c r="L772" s="8"/>
    </row>
    <row r="773" spans="1:12" x14ac:dyDescent="0.2">
      <c r="A773" s="8"/>
      <c r="B773" s="8"/>
      <c r="C773" s="8"/>
      <c r="D773" s="8"/>
      <c r="E773" s="8"/>
      <c r="F773" s="8"/>
      <c r="G773" s="8"/>
      <c r="H773" s="8"/>
      <c r="I773" s="26"/>
      <c r="J773" s="30"/>
      <c r="K773" s="30"/>
      <c r="L773" s="8"/>
    </row>
    <row r="774" spans="1:12" x14ac:dyDescent="0.2">
      <c r="A774" s="8"/>
      <c r="B774" s="8"/>
      <c r="C774" s="8"/>
      <c r="D774" s="8"/>
      <c r="E774" s="8"/>
      <c r="F774" s="8"/>
      <c r="G774" s="8"/>
      <c r="H774" s="8"/>
      <c r="I774" s="26"/>
      <c r="J774" s="30"/>
      <c r="K774" s="30"/>
      <c r="L774" s="8"/>
    </row>
    <row r="775" spans="1:12" x14ac:dyDescent="0.2">
      <c r="A775" s="8"/>
      <c r="B775" s="8"/>
      <c r="C775" s="8"/>
      <c r="D775" s="8"/>
      <c r="E775" s="8"/>
      <c r="F775" s="8"/>
      <c r="G775" s="8"/>
      <c r="H775" s="8"/>
      <c r="I775" s="26"/>
      <c r="J775" s="30"/>
      <c r="K775" s="30"/>
      <c r="L775" s="8"/>
    </row>
    <row r="776" spans="1:12" x14ac:dyDescent="0.2">
      <c r="A776" s="8"/>
      <c r="B776" s="8"/>
      <c r="C776" s="8"/>
      <c r="D776" s="8"/>
      <c r="E776" s="8"/>
      <c r="F776" s="8"/>
      <c r="G776" s="8"/>
      <c r="H776" s="8"/>
      <c r="I776" s="26"/>
      <c r="J776" s="30"/>
      <c r="K776" s="30"/>
      <c r="L776" s="8"/>
    </row>
    <row r="777" spans="1:12" x14ac:dyDescent="0.2">
      <c r="A777" s="8"/>
      <c r="B777" s="8"/>
      <c r="C777" s="8"/>
      <c r="D777" s="8"/>
      <c r="E777" s="8"/>
      <c r="F777" s="8"/>
      <c r="G777" s="8"/>
      <c r="H777" s="8"/>
      <c r="I777" s="26"/>
      <c r="J777" s="30"/>
      <c r="K777" s="30"/>
      <c r="L777" s="8"/>
    </row>
    <row r="778" spans="1:12" x14ac:dyDescent="0.2">
      <c r="A778" s="8"/>
      <c r="B778" s="8"/>
      <c r="C778" s="8"/>
      <c r="D778" s="8"/>
      <c r="E778" s="8"/>
      <c r="F778" s="8"/>
      <c r="G778" s="8"/>
      <c r="H778" s="8"/>
      <c r="I778" s="26"/>
      <c r="J778" s="30"/>
      <c r="K778" s="30"/>
      <c r="L778" s="8"/>
    </row>
    <row r="779" spans="1:12" x14ac:dyDescent="0.2">
      <c r="A779" s="8"/>
      <c r="B779" s="8"/>
      <c r="C779" s="8"/>
      <c r="D779" s="8"/>
      <c r="E779" s="8"/>
      <c r="F779" s="8"/>
      <c r="G779" s="8"/>
      <c r="H779" s="8"/>
      <c r="I779" s="26"/>
      <c r="J779" s="30"/>
      <c r="K779" s="30"/>
      <c r="L779" s="8"/>
    </row>
    <row r="780" spans="1:12" x14ac:dyDescent="0.2">
      <c r="A780" s="8"/>
      <c r="B780" s="8"/>
      <c r="C780" s="8"/>
      <c r="D780" s="8"/>
      <c r="E780" s="8"/>
      <c r="F780" s="8"/>
      <c r="G780" s="8"/>
      <c r="H780" s="8"/>
      <c r="I780" s="26"/>
      <c r="J780" s="30"/>
      <c r="K780" s="30"/>
      <c r="L780" s="8"/>
    </row>
    <row r="781" spans="1:12" x14ac:dyDescent="0.2">
      <c r="A781" s="8"/>
      <c r="B781" s="8"/>
      <c r="C781" s="8"/>
      <c r="D781" s="8"/>
      <c r="E781" s="8"/>
      <c r="F781" s="8"/>
      <c r="G781" s="8"/>
      <c r="H781" s="8"/>
      <c r="I781" s="26"/>
      <c r="J781" s="30"/>
      <c r="K781" s="30"/>
      <c r="L781" s="8"/>
    </row>
    <row r="782" spans="1:12" x14ac:dyDescent="0.2">
      <c r="A782" s="8"/>
      <c r="B782" s="8"/>
      <c r="C782" s="8"/>
      <c r="D782" s="8"/>
      <c r="E782" s="8"/>
      <c r="F782" s="8"/>
      <c r="G782" s="8"/>
      <c r="H782" s="8"/>
      <c r="I782" s="26"/>
      <c r="J782" s="30"/>
      <c r="K782" s="30"/>
      <c r="L782" s="8"/>
    </row>
    <row r="783" spans="1:12" x14ac:dyDescent="0.2">
      <c r="A783" s="8"/>
      <c r="B783" s="8"/>
      <c r="C783" s="8"/>
      <c r="D783" s="8"/>
      <c r="E783" s="8"/>
      <c r="F783" s="8"/>
      <c r="G783" s="8"/>
      <c r="H783" s="8"/>
      <c r="I783" s="26"/>
      <c r="J783" s="30"/>
      <c r="K783" s="30"/>
      <c r="L783" s="8"/>
    </row>
    <row r="784" spans="1:12" x14ac:dyDescent="0.2">
      <c r="A784" s="8"/>
      <c r="B784" s="8"/>
      <c r="C784" s="8"/>
      <c r="D784" s="8"/>
      <c r="E784" s="8"/>
      <c r="F784" s="8"/>
      <c r="G784" s="8"/>
      <c r="H784" s="8"/>
      <c r="I784" s="26"/>
      <c r="J784" s="30"/>
      <c r="K784" s="30"/>
      <c r="L784" s="8"/>
    </row>
    <row r="785" spans="1:12" x14ac:dyDescent="0.2">
      <c r="A785" s="8"/>
      <c r="B785" s="8"/>
      <c r="C785" s="8"/>
      <c r="D785" s="8"/>
      <c r="E785" s="8"/>
      <c r="F785" s="8"/>
      <c r="G785" s="8"/>
      <c r="H785" s="8"/>
      <c r="I785" s="26"/>
      <c r="J785" s="30"/>
      <c r="K785" s="30"/>
      <c r="L785" s="8"/>
    </row>
    <row r="786" spans="1:12" x14ac:dyDescent="0.2">
      <c r="A786" s="8"/>
      <c r="B786" s="8"/>
      <c r="C786" s="8"/>
      <c r="D786" s="8"/>
      <c r="E786" s="8"/>
      <c r="F786" s="8"/>
      <c r="G786" s="8"/>
      <c r="H786" s="8"/>
      <c r="I786" s="26"/>
      <c r="J786" s="30"/>
      <c r="K786" s="30"/>
      <c r="L786" s="8"/>
    </row>
    <row r="787" spans="1:12" x14ac:dyDescent="0.2">
      <c r="A787" s="8"/>
      <c r="B787" s="8"/>
      <c r="C787" s="8"/>
      <c r="D787" s="8"/>
      <c r="E787" s="8"/>
      <c r="F787" s="8"/>
      <c r="G787" s="8"/>
      <c r="H787" s="8"/>
      <c r="I787" s="26"/>
      <c r="J787" s="30"/>
      <c r="K787" s="30"/>
      <c r="L787" s="8"/>
    </row>
    <row r="788" spans="1:12" x14ac:dyDescent="0.2">
      <c r="A788" s="8"/>
      <c r="B788" s="8"/>
      <c r="C788" s="8"/>
      <c r="D788" s="8"/>
      <c r="E788" s="8"/>
      <c r="F788" s="8"/>
      <c r="G788" s="8"/>
      <c r="H788" s="8"/>
      <c r="I788" s="26"/>
      <c r="J788" s="30"/>
      <c r="K788" s="30"/>
      <c r="L788" s="8"/>
    </row>
    <row r="789" spans="1:12" x14ac:dyDescent="0.2">
      <c r="A789" s="8"/>
      <c r="B789" s="8"/>
      <c r="C789" s="8"/>
      <c r="D789" s="8"/>
      <c r="E789" s="8"/>
      <c r="F789" s="8"/>
      <c r="G789" s="8"/>
      <c r="H789" s="8"/>
      <c r="I789" s="26"/>
      <c r="J789" s="30"/>
      <c r="K789" s="30"/>
      <c r="L789" s="8"/>
    </row>
    <row r="790" spans="1:12" x14ac:dyDescent="0.2">
      <c r="A790" s="8"/>
      <c r="B790" s="8"/>
      <c r="C790" s="8"/>
      <c r="D790" s="8"/>
      <c r="E790" s="8"/>
      <c r="F790" s="8"/>
      <c r="G790" s="8"/>
      <c r="H790" s="8"/>
      <c r="I790" s="26"/>
      <c r="J790" s="30"/>
      <c r="K790" s="30"/>
      <c r="L790" s="8"/>
    </row>
    <row r="791" spans="1:12" x14ac:dyDescent="0.2">
      <c r="A791" s="8"/>
      <c r="B791" s="8"/>
      <c r="C791" s="8"/>
      <c r="D791" s="8"/>
      <c r="E791" s="8"/>
      <c r="F791" s="8"/>
      <c r="G791" s="8"/>
      <c r="H791" s="8"/>
      <c r="I791" s="26"/>
      <c r="J791" s="30"/>
      <c r="K791" s="30"/>
      <c r="L791" s="8"/>
    </row>
    <row r="792" spans="1:12" x14ac:dyDescent="0.2">
      <c r="A792" s="8"/>
      <c r="B792" s="8"/>
      <c r="C792" s="8"/>
      <c r="D792" s="8"/>
      <c r="E792" s="8"/>
      <c r="F792" s="8"/>
      <c r="G792" s="8"/>
      <c r="H792" s="8"/>
      <c r="I792" s="26"/>
      <c r="J792" s="30"/>
      <c r="K792" s="30"/>
      <c r="L792" s="8"/>
    </row>
    <row r="793" spans="1:12" x14ac:dyDescent="0.2">
      <c r="A793" s="8"/>
      <c r="B793" s="8"/>
      <c r="C793" s="8"/>
      <c r="D793" s="8"/>
      <c r="E793" s="8"/>
      <c r="F793" s="8"/>
      <c r="G793" s="8"/>
      <c r="H793" s="8"/>
      <c r="I793" s="26"/>
      <c r="J793" s="30"/>
      <c r="K793" s="30"/>
      <c r="L793" s="8"/>
    </row>
    <row r="794" spans="1:12" x14ac:dyDescent="0.2">
      <c r="A794" s="8"/>
      <c r="B794" s="8"/>
      <c r="C794" s="8"/>
      <c r="D794" s="8"/>
      <c r="E794" s="8"/>
      <c r="F794" s="8"/>
      <c r="G794" s="8"/>
      <c r="H794" s="8"/>
      <c r="I794" s="26"/>
      <c r="J794" s="30"/>
      <c r="K794" s="30"/>
      <c r="L794" s="8"/>
    </row>
    <row r="795" spans="1:12" x14ac:dyDescent="0.2">
      <c r="A795" s="8"/>
      <c r="B795" s="8"/>
      <c r="C795" s="8"/>
      <c r="D795" s="8"/>
      <c r="E795" s="8"/>
      <c r="F795" s="8"/>
      <c r="G795" s="8"/>
      <c r="H795" s="8"/>
      <c r="I795" s="26"/>
      <c r="J795" s="30"/>
      <c r="K795" s="30"/>
      <c r="L795" s="8"/>
    </row>
    <row r="796" spans="1:12" x14ac:dyDescent="0.2">
      <c r="A796" s="8"/>
      <c r="B796" s="8"/>
      <c r="C796" s="8"/>
      <c r="D796" s="8"/>
      <c r="E796" s="8"/>
      <c r="F796" s="8"/>
      <c r="G796" s="8"/>
      <c r="H796" s="8"/>
      <c r="I796" s="26"/>
      <c r="J796" s="30"/>
      <c r="K796" s="30"/>
      <c r="L796" s="8"/>
    </row>
    <row r="797" spans="1:12" x14ac:dyDescent="0.2">
      <c r="A797" s="8"/>
      <c r="B797" s="8"/>
      <c r="C797" s="8"/>
      <c r="D797" s="8"/>
      <c r="E797" s="8"/>
      <c r="F797" s="8"/>
      <c r="G797" s="8"/>
      <c r="H797" s="8"/>
      <c r="I797" s="26"/>
      <c r="J797" s="30"/>
      <c r="K797" s="30"/>
      <c r="L797" s="8"/>
    </row>
    <row r="798" spans="1:12" x14ac:dyDescent="0.2">
      <c r="A798" s="8"/>
      <c r="B798" s="8"/>
      <c r="C798" s="8"/>
      <c r="D798" s="8"/>
      <c r="E798" s="8"/>
      <c r="F798" s="8"/>
      <c r="G798" s="8"/>
      <c r="H798" s="8"/>
      <c r="I798" s="26"/>
      <c r="J798" s="30"/>
      <c r="K798" s="30"/>
      <c r="L798" s="8"/>
    </row>
    <row r="799" spans="1:12" x14ac:dyDescent="0.2">
      <c r="A799" s="8"/>
      <c r="B799" s="8"/>
      <c r="C799" s="8"/>
      <c r="D799" s="8"/>
      <c r="E799" s="8"/>
      <c r="F799" s="8"/>
      <c r="G799" s="8"/>
      <c r="H799" s="8"/>
      <c r="I799" s="26"/>
      <c r="J799" s="30"/>
      <c r="K799" s="30"/>
      <c r="L799" s="8"/>
    </row>
    <row r="800" spans="1:12" x14ac:dyDescent="0.2">
      <c r="A800" s="8"/>
      <c r="B800" s="8"/>
      <c r="C800" s="8"/>
      <c r="D800" s="8"/>
      <c r="E800" s="8"/>
      <c r="F800" s="8"/>
      <c r="G800" s="8"/>
      <c r="H800" s="8"/>
      <c r="I800" s="26"/>
      <c r="J800" s="30"/>
      <c r="K800" s="30"/>
      <c r="L800" s="8"/>
    </row>
    <row r="801" spans="1:12" x14ac:dyDescent="0.2">
      <c r="A801" s="8"/>
      <c r="B801" s="8"/>
      <c r="C801" s="8"/>
      <c r="D801" s="8"/>
      <c r="E801" s="8"/>
      <c r="F801" s="8"/>
      <c r="G801" s="8"/>
      <c r="H801" s="8"/>
      <c r="I801" s="26"/>
      <c r="J801" s="30"/>
      <c r="K801" s="30"/>
      <c r="L801" s="8"/>
    </row>
    <row r="802" spans="1:12" x14ac:dyDescent="0.2">
      <c r="A802" s="8"/>
      <c r="B802" s="8"/>
      <c r="C802" s="8"/>
      <c r="D802" s="8"/>
      <c r="E802" s="8"/>
      <c r="F802" s="8"/>
      <c r="G802" s="8"/>
      <c r="H802" s="8"/>
      <c r="I802" s="26"/>
      <c r="J802" s="30"/>
      <c r="K802" s="30"/>
      <c r="L802" s="8"/>
    </row>
    <row r="803" spans="1:12" x14ac:dyDescent="0.2">
      <c r="A803" s="8"/>
      <c r="B803" s="8"/>
      <c r="C803" s="8"/>
      <c r="D803" s="8"/>
      <c r="E803" s="8"/>
      <c r="F803" s="8"/>
      <c r="G803" s="8"/>
      <c r="H803" s="8"/>
      <c r="I803" s="26"/>
      <c r="J803" s="30"/>
      <c r="K803" s="30"/>
      <c r="L803" s="8"/>
    </row>
    <row r="804" spans="1:12" x14ac:dyDescent="0.2">
      <c r="A804" s="8"/>
      <c r="B804" s="8"/>
      <c r="C804" s="8"/>
      <c r="D804" s="8"/>
      <c r="E804" s="8"/>
      <c r="F804" s="8"/>
      <c r="G804" s="8"/>
      <c r="H804" s="8"/>
      <c r="I804" s="26"/>
      <c r="J804" s="30"/>
      <c r="K804" s="30"/>
      <c r="L804" s="8"/>
    </row>
    <row r="805" spans="1:12" x14ac:dyDescent="0.2">
      <c r="A805" s="8"/>
      <c r="B805" s="8"/>
      <c r="C805" s="8"/>
      <c r="D805" s="8"/>
      <c r="E805" s="8"/>
      <c r="F805" s="8"/>
      <c r="G805" s="8"/>
      <c r="H805" s="8"/>
      <c r="I805" s="26"/>
      <c r="J805" s="30"/>
      <c r="K805" s="30"/>
      <c r="L805" s="8"/>
    </row>
    <row r="806" spans="1:12" x14ac:dyDescent="0.2">
      <c r="A806" s="8"/>
      <c r="B806" s="8"/>
      <c r="C806" s="8"/>
      <c r="D806" s="8"/>
      <c r="E806" s="8"/>
      <c r="F806" s="8"/>
      <c r="G806" s="8"/>
      <c r="H806" s="8"/>
      <c r="I806" s="26"/>
      <c r="J806" s="30"/>
      <c r="K806" s="30"/>
      <c r="L806" s="8"/>
    </row>
    <row r="807" spans="1:12" x14ac:dyDescent="0.2">
      <c r="A807" s="8"/>
      <c r="B807" s="8"/>
      <c r="C807" s="8"/>
      <c r="D807" s="8"/>
      <c r="E807" s="8"/>
      <c r="F807" s="8"/>
      <c r="G807" s="8"/>
      <c r="H807" s="8"/>
      <c r="I807" s="26"/>
      <c r="J807" s="30"/>
      <c r="K807" s="30"/>
      <c r="L807" s="8"/>
    </row>
    <row r="808" spans="1:12" x14ac:dyDescent="0.2">
      <c r="A808" s="8"/>
      <c r="B808" s="8"/>
      <c r="C808" s="8"/>
      <c r="D808" s="8"/>
      <c r="E808" s="8"/>
      <c r="F808" s="8"/>
      <c r="G808" s="8"/>
      <c r="H808" s="8"/>
      <c r="I808" s="26"/>
      <c r="J808" s="30"/>
      <c r="K808" s="30"/>
      <c r="L808" s="8"/>
    </row>
    <row r="809" spans="1:12" x14ac:dyDescent="0.2">
      <c r="A809" s="8"/>
      <c r="B809" s="8"/>
      <c r="C809" s="8"/>
      <c r="D809" s="8"/>
      <c r="E809" s="8"/>
      <c r="F809" s="8"/>
      <c r="G809" s="8"/>
      <c r="H809" s="8"/>
      <c r="I809" s="26"/>
      <c r="J809" s="30"/>
      <c r="K809" s="30"/>
      <c r="L809" s="8"/>
    </row>
    <row r="810" spans="1:12" x14ac:dyDescent="0.2">
      <c r="A810" s="8"/>
      <c r="B810" s="8"/>
      <c r="C810" s="8"/>
      <c r="D810" s="8"/>
      <c r="E810" s="8"/>
      <c r="F810" s="8"/>
      <c r="G810" s="8"/>
      <c r="H810" s="8"/>
      <c r="I810" s="26"/>
      <c r="J810" s="30"/>
      <c r="K810" s="30"/>
      <c r="L810" s="8"/>
    </row>
    <row r="811" spans="1:12" x14ac:dyDescent="0.2">
      <c r="A811" s="8"/>
      <c r="B811" s="8"/>
      <c r="C811" s="8"/>
      <c r="D811" s="8"/>
      <c r="E811" s="8"/>
      <c r="F811" s="8"/>
      <c r="G811" s="8"/>
      <c r="H811" s="8"/>
      <c r="I811" s="26"/>
      <c r="J811" s="30"/>
      <c r="K811" s="30"/>
      <c r="L811" s="8"/>
    </row>
    <row r="812" spans="1:12" x14ac:dyDescent="0.2">
      <c r="A812" s="8"/>
      <c r="B812" s="8"/>
      <c r="C812" s="8"/>
      <c r="D812" s="8"/>
      <c r="E812" s="8"/>
      <c r="F812" s="8"/>
      <c r="G812" s="8"/>
      <c r="H812" s="8"/>
      <c r="I812" s="26"/>
      <c r="J812" s="30"/>
      <c r="K812" s="30"/>
      <c r="L812" s="8"/>
    </row>
    <row r="813" spans="1:12" x14ac:dyDescent="0.2">
      <c r="A813" s="8"/>
      <c r="B813" s="8"/>
      <c r="C813" s="8"/>
      <c r="D813" s="8"/>
      <c r="E813" s="8"/>
      <c r="F813" s="8"/>
      <c r="G813" s="8"/>
      <c r="H813" s="8"/>
      <c r="I813" s="26"/>
      <c r="J813" s="30"/>
      <c r="K813" s="30"/>
      <c r="L813" s="8"/>
    </row>
    <row r="814" spans="1:12" x14ac:dyDescent="0.2">
      <c r="A814" s="8"/>
      <c r="B814" s="8"/>
      <c r="C814" s="8"/>
      <c r="D814" s="8"/>
      <c r="E814" s="8"/>
      <c r="F814" s="8"/>
      <c r="G814" s="8"/>
      <c r="H814" s="8"/>
      <c r="I814" s="26"/>
      <c r="J814" s="30"/>
      <c r="K814" s="30"/>
      <c r="L814" s="8"/>
    </row>
    <row r="815" spans="1:12" x14ac:dyDescent="0.2">
      <c r="A815" s="8"/>
      <c r="B815" s="8"/>
      <c r="C815" s="8"/>
      <c r="D815" s="8"/>
      <c r="E815" s="8"/>
      <c r="F815" s="8"/>
      <c r="G815" s="8"/>
      <c r="H815" s="8"/>
      <c r="I815" s="26"/>
      <c r="J815" s="30"/>
      <c r="K815" s="30"/>
      <c r="L815" s="8"/>
    </row>
    <row r="816" spans="1:12" x14ac:dyDescent="0.2">
      <c r="A816" s="8"/>
      <c r="B816" s="8"/>
      <c r="C816" s="8"/>
      <c r="D816" s="8"/>
      <c r="E816" s="8"/>
      <c r="F816" s="8"/>
      <c r="G816" s="8"/>
      <c r="H816" s="8"/>
      <c r="I816" s="26"/>
      <c r="J816" s="30"/>
      <c r="K816" s="30"/>
      <c r="L816" s="8"/>
    </row>
    <row r="817" spans="1:12" x14ac:dyDescent="0.2">
      <c r="A817" s="8"/>
      <c r="B817" s="8"/>
      <c r="C817" s="8"/>
      <c r="D817" s="8"/>
      <c r="E817" s="8"/>
      <c r="F817" s="8"/>
      <c r="G817" s="8"/>
      <c r="H817" s="8"/>
      <c r="I817" s="26"/>
      <c r="J817" s="30"/>
      <c r="K817" s="30"/>
      <c r="L817" s="8"/>
    </row>
    <row r="818" spans="1:12" x14ac:dyDescent="0.2">
      <c r="A818" s="8"/>
      <c r="B818" s="8"/>
      <c r="C818" s="8"/>
      <c r="D818" s="8"/>
      <c r="E818" s="8"/>
      <c r="F818" s="8"/>
      <c r="G818" s="8"/>
      <c r="H818" s="8"/>
      <c r="I818" s="26"/>
      <c r="J818" s="30"/>
      <c r="K818" s="30"/>
      <c r="L818" s="8"/>
    </row>
    <row r="819" spans="1:12" x14ac:dyDescent="0.2">
      <c r="A819" s="8"/>
      <c r="B819" s="8"/>
      <c r="C819" s="8"/>
      <c r="D819" s="8"/>
      <c r="E819" s="8"/>
      <c r="F819" s="8"/>
      <c r="G819" s="8"/>
      <c r="H819" s="8"/>
      <c r="I819" s="26"/>
      <c r="J819" s="30"/>
      <c r="K819" s="30"/>
      <c r="L819" s="8"/>
    </row>
    <row r="820" spans="1:12" x14ac:dyDescent="0.2">
      <c r="A820" s="8"/>
      <c r="B820" s="8"/>
      <c r="C820" s="8"/>
      <c r="D820" s="8"/>
      <c r="E820" s="8"/>
      <c r="F820" s="8"/>
      <c r="G820" s="8"/>
      <c r="H820" s="8"/>
      <c r="I820" s="26"/>
      <c r="J820" s="30"/>
      <c r="K820" s="30"/>
      <c r="L820" s="8"/>
    </row>
    <row r="821" spans="1:12" x14ac:dyDescent="0.2">
      <c r="A821" s="8"/>
      <c r="B821" s="8"/>
      <c r="C821" s="8"/>
      <c r="D821" s="8"/>
      <c r="E821" s="8"/>
      <c r="F821" s="8"/>
      <c r="G821" s="8"/>
      <c r="H821" s="8"/>
      <c r="I821" s="26"/>
      <c r="J821" s="30"/>
      <c r="K821" s="30"/>
      <c r="L821" s="8"/>
    </row>
    <row r="822" spans="1:12" x14ac:dyDescent="0.2">
      <c r="A822" s="8"/>
      <c r="B822" s="8"/>
      <c r="C822" s="8"/>
      <c r="D822" s="8"/>
      <c r="E822" s="8"/>
      <c r="F822" s="8"/>
      <c r="G822" s="8"/>
      <c r="H822" s="8"/>
      <c r="I822" s="26"/>
      <c r="J822" s="30"/>
      <c r="K822" s="30"/>
      <c r="L822" s="8"/>
    </row>
    <row r="823" spans="1:12" x14ac:dyDescent="0.2">
      <c r="A823" s="8"/>
      <c r="B823" s="8"/>
      <c r="C823" s="8"/>
      <c r="D823" s="8"/>
      <c r="E823" s="8"/>
      <c r="F823" s="8"/>
      <c r="G823" s="8"/>
      <c r="H823" s="8"/>
      <c r="I823" s="26"/>
      <c r="J823" s="30"/>
      <c r="K823" s="30"/>
      <c r="L823" s="8"/>
    </row>
    <row r="824" spans="1:12" x14ac:dyDescent="0.2">
      <c r="A824" s="8"/>
      <c r="B824" s="8"/>
      <c r="C824" s="8"/>
      <c r="D824" s="8"/>
      <c r="E824" s="8"/>
      <c r="F824" s="8"/>
      <c r="G824" s="8"/>
      <c r="H824" s="8"/>
      <c r="I824" s="26"/>
      <c r="J824" s="30"/>
      <c r="K824" s="30"/>
      <c r="L824" s="8"/>
    </row>
    <row r="825" spans="1:12" x14ac:dyDescent="0.2">
      <c r="A825" s="8"/>
      <c r="B825" s="8"/>
      <c r="C825" s="8"/>
      <c r="D825" s="8"/>
      <c r="E825" s="8"/>
      <c r="F825" s="8"/>
      <c r="G825" s="8"/>
      <c r="H825" s="8"/>
      <c r="I825" s="26"/>
      <c r="J825" s="30"/>
      <c r="K825" s="30"/>
      <c r="L825" s="8"/>
    </row>
    <row r="826" spans="1:12" x14ac:dyDescent="0.2">
      <c r="A826" s="8"/>
      <c r="B826" s="8"/>
      <c r="C826" s="8"/>
      <c r="D826" s="8"/>
      <c r="E826" s="8"/>
      <c r="F826" s="8"/>
      <c r="G826" s="8"/>
      <c r="H826" s="8"/>
      <c r="I826" s="26"/>
      <c r="J826" s="30"/>
      <c r="K826" s="30"/>
      <c r="L826" s="8"/>
    </row>
    <row r="827" spans="1:12" x14ac:dyDescent="0.2">
      <c r="A827" s="8"/>
      <c r="B827" s="8"/>
      <c r="C827" s="8"/>
      <c r="D827" s="8"/>
      <c r="E827" s="8"/>
      <c r="F827" s="8"/>
      <c r="G827" s="8"/>
      <c r="H827" s="8"/>
      <c r="I827" s="26"/>
      <c r="J827" s="30"/>
      <c r="K827" s="30"/>
      <c r="L827" s="8"/>
    </row>
    <row r="828" spans="1:12" x14ac:dyDescent="0.2">
      <c r="A828" s="8"/>
      <c r="B828" s="8"/>
      <c r="C828" s="8"/>
      <c r="D828" s="8"/>
      <c r="E828" s="8"/>
      <c r="F828" s="8"/>
      <c r="G828" s="8"/>
      <c r="H828" s="8"/>
      <c r="I828" s="26"/>
      <c r="J828" s="30"/>
      <c r="K828" s="30"/>
      <c r="L828" s="8"/>
    </row>
    <row r="829" spans="1:12" x14ac:dyDescent="0.2">
      <c r="A829" s="8"/>
      <c r="B829" s="8"/>
      <c r="C829" s="8"/>
      <c r="D829" s="8"/>
      <c r="E829" s="8"/>
      <c r="F829" s="8"/>
      <c r="G829" s="8"/>
      <c r="H829" s="8"/>
      <c r="I829" s="26"/>
      <c r="J829" s="30"/>
      <c r="K829" s="30"/>
      <c r="L829" s="8"/>
    </row>
    <row r="830" spans="1:12" x14ac:dyDescent="0.2">
      <c r="A830" s="8"/>
      <c r="B830" s="8"/>
      <c r="C830" s="8"/>
      <c r="D830" s="8"/>
      <c r="E830" s="8"/>
      <c r="F830" s="8"/>
      <c r="G830" s="8"/>
      <c r="H830" s="8"/>
      <c r="I830" s="26"/>
      <c r="J830" s="30"/>
      <c r="K830" s="30"/>
      <c r="L830" s="8"/>
    </row>
    <row r="831" spans="1:12" x14ac:dyDescent="0.2">
      <c r="A831" s="8"/>
      <c r="B831" s="8"/>
      <c r="C831" s="8"/>
      <c r="D831" s="8"/>
      <c r="E831" s="8"/>
      <c r="F831" s="8"/>
      <c r="G831" s="8"/>
      <c r="H831" s="8"/>
      <c r="I831" s="26"/>
      <c r="J831" s="30"/>
      <c r="K831" s="30"/>
      <c r="L831" s="8"/>
    </row>
    <row r="832" spans="1:12" x14ac:dyDescent="0.2">
      <c r="A832" s="8"/>
      <c r="B832" s="8"/>
      <c r="C832" s="8"/>
      <c r="D832" s="8"/>
      <c r="E832" s="8"/>
      <c r="F832" s="8"/>
      <c r="G832" s="8"/>
      <c r="H832" s="8"/>
      <c r="I832" s="26"/>
      <c r="J832" s="30"/>
      <c r="K832" s="30"/>
      <c r="L832" s="8"/>
    </row>
    <row r="833" spans="1:12" x14ac:dyDescent="0.2">
      <c r="A833" s="8"/>
      <c r="B833" s="8"/>
      <c r="C833" s="8"/>
      <c r="D833" s="8"/>
      <c r="E833" s="8"/>
      <c r="F833" s="8"/>
      <c r="G833" s="8"/>
      <c r="H833" s="8"/>
      <c r="I833" s="26"/>
      <c r="J833" s="30"/>
      <c r="K833" s="30"/>
      <c r="L833" s="8"/>
    </row>
    <row r="834" spans="1:12" x14ac:dyDescent="0.2">
      <c r="A834" s="8"/>
      <c r="B834" s="8"/>
      <c r="C834" s="8"/>
      <c r="D834" s="8"/>
      <c r="E834" s="8"/>
      <c r="F834" s="8"/>
      <c r="G834" s="8"/>
      <c r="H834" s="8"/>
      <c r="I834" s="26"/>
      <c r="J834" s="30"/>
      <c r="K834" s="30"/>
      <c r="L834" s="8"/>
    </row>
    <row r="835" spans="1:12" x14ac:dyDescent="0.2">
      <c r="A835" s="8"/>
      <c r="B835" s="8"/>
      <c r="C835" s="8"/>
      <c r="D835" s="8"/>
      <c r="E835" s="8"/>
      <c r="F835" s="8"/>
      <c r="G835" s="8"/>
      <c r="H835" s="8"/>
      <c r="I835" s="26"/>
      <c r="J835" s="30"/>
      <c r="K835" s="30"/>
      <c r="L835" s="8"/>
    </row>
    <row r="836" spans="1:12" x14ac:dyDescent="0.2">
      <c r="A836" s="8"/>
      <c r="B836" s="8"/>
      <c r="C836" s="8"/>
      <c r="D836" s="8"/>
      <c r="E836" s="8"/>
      <c r="F836" s="8"/>
      <c r="G836" s="8"/>
      <c r="H836" s="8"/>
      <c r="I836" s="26"/>
      <c r="J836" s="30"/>
      <c r="K836" s="30"/>
      <c r="L836" s="8"/>
    </row>
    <row r="837" spans="1:12" x14ac:dyDescent="0.2">
      <c r="A837" s="8"/>
      <c r="B837" s="8"/>
      <c r="C837" s="8"/>
      <c r="D837" s="8"/>
      <c r="E837" s="8"/>
      <c r="F837" s="8"/>
      <c r="G837" s="8"/>
      <c r="H837" s="8"/>
      <c r="I837" s="26"/>
      <c r="J837" s="30"/>
      <c r="K837" s="30"/>
      <c r="L837" s="8"/>
    </row>
    <row r="838" spans="1:12" x14ac:dyDescent="0.2">
      <c r="A838" s="8"/>
      <c r="B838" s="8"/>
      <c r="C838" s="8"/>
      <c r="D838" s="8"/>
      <c r="E838" s="8"/>
      <c r="F838" s="8"/>
      <c r="G838" s="8"/>
      <c r="H838" s="8"/>
      <c r="I838" s="26"/>
      <c r="J838" s="30"/>
      <c r="K838" s="30"/>
      <c r="L838" s="8"/>
    </row>
    <row r="839" spans="1:12" x14ac:dyDescent="0.2">
      <c r="A839" s="8"/>
      <c r="B839" s="8"/>
      <c r="C839" s="8"/>
      <c r="D839" s="8"/>
      <c r="E839" s="8"/>
      <c r="F839" s="8"/>
      <c r="G839" s="8"/>
      <c r="H839" s="8"/>
      <c r="I839" s="26"/>
      <c r="J839" s="30"/>
      <c r="K839" s="30"/>
      <c r="L839" s="8"/>
    </row>
    <row r="840" spans="1:12" x14ac:dyDescent="0.2">
      <c r="A840" s="8"/>
      <c r="B840" s="8"/>
      <c r="C840" s="8"/>
      <c r="D840" s="8"/>
      <c r="E840" s="8"/>
      <c r="F840" s="8"/>
      <c r="G840" s="8"/>
      <c r="H840" s="8"/>
      <c r="I840" s="26"/>
      <c r="J840" s="30"/>
      <c r="K840" s="30"/>
      <c r="L840" s="8"/>
    </row>
    <row r="841" spans="1:12" x14ac:dyDescent="0.2">
      <c r="A841" s="8"/>
      <c r="B841" s="8"/>
      <c r="C841" s="8"/>
      <c r="D841" s="8"/>
      <c r="E841" s="8"/>
      <c r="F841" s="8"/>
      <c r="G841" s="8"/>
      <c r="H841" s="8"/>
      <c r="I841" s="26"/>
      <c r="J841" s="30"/>
      <c r="K841" s="30"/>
      <c r="L841" s="8"/>
    </row>
    <row r="842" spans="1:12" x14ac:dyDescent="0.2">
      <c r="A842" s="8"/>
      <c r="B842" s="8"/>
      <c r="C842" s="8"/>
      <c r="D842" s="8"/>
      <c r="E842" s="8"/>
      <c r="F842" s="8"/>
      <c r="G842" s="8"/>
      <c r="H842" s="8"/>
      <c r="I842" s="26"/>
      <c r="J842" s="30"/>
      <c r="K842" s="30"/>
      <c r="L842" s="8"/>
    </row>
    <row r="843" spans="1:12" x14ac:dyDescent="0.2">
      <c r="A843" s="8"/>
      <c r="B843" s="8"/>
      <c r="C843" s="8"/>
      <c r="D843" s="8"/>
      <c r="E843" s="8"/>
      <c r="F843" s="8"/>
      <c r="G843" s="8"/>
      <c r="H843" s="8"/>
      <c r="I843" s="26"/>
      <c r="J843" s="30"/>
      <c r="K843" s="30"/>
      <c r="L843" s="8"/>
    </row>
    <row r="844" spans="1:12" x14ac:dyDescent="0.2">
      <c r="A844" s="8"/>
      <c r="B844" s="8"/>
      <c r="C844" s="8"/>
      <c r="D844" s="8"/>
      <c r="E844" s="8"/>
      <c r="F844" s="8"/>
      <c r="G844" s="8"/>
      <c r="H844" s="8"/>
      <c r="I844" s="26"/>
      <c r="J844" s="30"/>
      <c r="K844" s="30"/>
      <c r="L844" s="8"/>
    </row>
    <row r="845" spans="1:12" x14ac:dyDescent="0.2">
      <c r="A845" s="8"/>
      <c r="B845" s="8"/>
      <c r="C845" s="8"/>
      <c r="D845" s="8"/>
      <c r="E845" s="8"/>
      <c r="F845" s="8"/>
      <c r="G845" s="8"/>
      <c r="H845" s="8"/>
      <c r="I845" s="26"/>
      <c r="J845" s="30"/>
      <c r="K845" s="30"/>
      <c r="L845" s="8"/>
    </row>
    <row r="846" spans="1:12" x14ac:dyDescent="0.2">
      <c r="A846" s="8"/>
      <c r="B846" s="8"/>
      <c r="C846" s="8"/>
      <c r="D846" s="8"/>
      <c r="E846" s="8"/>
      <c r="F846" s="8"/>
      <c r="G846" s="8"/>
      <c r="H846" s="8"/>
      <c r="I846" s="26"/>
      <c r="J846" s="30"/>
      <c r="K846" s="30"/>
      <c r="L846" s="8"/>
    </row>
    <row r="847" spans="1:12" x14ac:dyDescent="0.2">
      <c r="A847" s="8"/>
      <c r="B847" s="8"/>
      <c r="C847" s="8"/>
      <c r="D847" s="8"/>
      <c r="E847" s="8"/>
      <c r="F847" s="8"/>
      <c r="G847" s="8"/>
      <c r="H847" s="8"/>
      <c r="I847" s="26"/>
      <c r="J847" s="30"/>
      <c r="K847" s="30"/>
      <c r="L847" s="8"/>
    </row>
    <row r="848" spans="1:12" x14ac:dyDescent="0.2">
      <c r="A848" s="8"/>
      <c r="B848" s="8"/>
      <c r="C848" s="8"/>
      <c r="D848" s="8"/>
      <c r="E848" s="8"/>
      <c r="F848" s="8"/>
      <c r="G848" s="8"/>
      <c r="H848" s="8"/>
      <c r="I848" s="26"/>
      <c r="J848" s="30"/>
      <c r="K848" s="30"/>
      <c r="L848" s="8"/>
    </row>
    <row r="849" spans="1:12" x14ac:dyDescent="0.2">
      <c r="A849" s="8"/>
      <c r="B849" s="8"/>
      <c r="C849" s="8"/>
      <c r="D849" s="8"/>
      <c r="E849" s="8"/>
      <c r="F849" s="8"/>
      <c r="G849" s="8"/>
      <c r="H849" s="8"/>
      <c r="I849" s="26"/>
      <c r="J849" s="30"/>
      <c r="K849" s="30"/>
      <c r="L849" s="8"/>
    </row>
    <row r="850" spans="1:12" x14ac:dyDescent="0.2">
      <c r="A850" s="8"/>
      <c r="B850" s="8"/>
      <c r="C850" s="8"/>
      <c r="D850" s="8"/>
      <c r="E850" s="8"/>
      <c r="F850" s="8"/>
      <c r="G850" s="8"/>
      <c r="H850" s="8"/>
      <c r="I850" s="26"/>
      <c r="J850" s="30"/>
      <c r="K850" s="30"/>
      <c r="L850" s="8"/>
    </row>
    <row r="851" spans="1:12" x14ac:dyDescent="0.2">
      <c r="A851" s="8"/>
      <c r="B851" s="8"/>
      <c r="C851" s="8"/>
      <c r="D851" s="8"/>
      <c r="E851" s="8"/>
      <c r="F851" s="8"/>
      <c r="G851" s="8"/>
      <c r="H851" s="8"/>
      <c r="I851" s="26"/>
      <c r="J851" s="30"/>
      <c r="K851" s="30"/>
      <c r="L851" s="8"/>
    </row>
    <row r="852" spans="1:12" x14ac:dyDescent="0.2">
      <c r="A852" s="8"/>
      <c r="B852" s="8"/>
      <c r="C852" s="8"/>
      <c r="D852" s="8"/>
      <c r="E852" s="8"/>
      <c r="F852" s="8"/>
      <c r="G852" s="8"/>
      <c r="H852" s="8"/>
      <c r="I852" s="26"/>
      <c r="J852" s="30"/>
      <c r="K852" s="30"/>
      <c r="L852" s="8"/>
    </row>
    <row r="853" spans="1:12" x14ac:dyDescent="0.2">
      <c r="A853" s="8"/>
      <c r="B853" s="8"/>
      <c r="C853" s="8"/>
      <c r="D853" s="8"/>
      <c r="E853" s="8"/>
      <c r="F853" s="8"/>
      <c r="G853" s="8"/>
      <c r="H853" s="8"/>
      <c r="I853" s="26"/>
      <c r="J853" s="30"/>
      <c r="K853" s="30"/>
      <c r="L853" s="8"/>
    </row>
    <row r="854" spans="1:12" x14ac:dyDescent="0.2">
      <c r="A854" s="8"/>
      <c r="B854" s="8"/>
      <c r="C854" s="8"/>
      <c r="D854" s="8"/>
      <c r="E854" s="8"/>
      <c r="F854" s="8"/>
      <c r="G854" s="8"/>
      <c r="H854" s="8"/>
      <c r="I854" s="26"/>
      <c r="J854" s="30"/>
      <c r="K854" s="30"/>
      <c r="L854" s="8"/>
    </row>
    <row r="855" spans="1:12" x14ac:dyDescent="0.2">
      <c r="A855" s="8"/>
      <c r="B855" s="8"/>
      <c r="C855" s="8"/>
      <c r="D855" s="8"/>
      <c r="E855" s="8"/>
      <c r="F855" s="8"/>
      <c r="G855" s="8"/>
      <c r="H855" s="8"/>
      <c r="I855" s="26"/>
      <c r="J855" s="30"/>
      <c r="K855" s="30"/>
      <c r="L855" s="8"/>
    </row>
    <row r="856" spans="1:12" x14ac:dyDescent="0.2">
      <c r="A856" s="8"/>
      <c r="B856" s="8"/>
      <c r="C856" s="8"/>
      <c r="D856" s="8"/>
      <c r="E856" s="8"/>
      <c r="F856" s="8"/>
      <c r="G856" s="8"/>
      <c r="H856" s="8"/>
      <c r="I856" s="26"/>
      <c r="J856" s="30"/>
      <c r="K856" s="30"/>
      <c r="L856" s="8"/>
    </row>
    <row r="857" spans="1:12" x14ac:dyDescent="0.2">
      <c r="A857" s="8"/>
      <c r="B857" s="8"/>
      <c r="C857" s="8"/>
      <c r="D857" s="8"/>
      <c r="E857" s="8"/>
      <c r="F857" s="8"/>
      <c r="G857" s="8"/>
      <c r="H857" s="8"/>
      <c r="I857" s="26"/>
      <c r="J857" s="30"/>
      <c r="K857" s="30"/>
      <c r="L857" s="8"/>
    </row>
    <row r="858" spans="1:12" x14ac:dyDescent="0.2">
      <c r="A858" s="8"/>
      <c r="B858" s="8"/>
      <c r="C858" s="8"/>
      <c r="D858" s="8"/>
      <c r="E858" s="8"/>
      <c r="F858" s="8"/>
      <c r="G858" s="8"/>
      <c r="H858" s="8"/>
      <c r="I858" s="26"/>
      <c r="J858" s="30"/>
      <c r="K858" s="30"/>
      <c r="L858" s="8"/>
    </row>
    <row r="859" spans="1:12" x14ac:dyDescent="0.2">
      <c r="A859" s="8"/>
      <c r="B859" s="8"/>
      <c r="C859" s="8"/>
      <c r="D859" s="8"/>
      <c r="E859" s="8"/>
      <c r="F859" s="8"/>
      <c r="G859" s="8"/>
      <c r="H859" s="8"/>
      <c r="I859" s="26"/>
      <c r="J859" s="30"/>
      <c r="K859" s="30"/>
      <c r="L859" s="8"/>
    </row>
    <row r="860" spans="1:12" x14ac:dyDescent="0.2">
      <c r="A860" s="8"/>
      <c r="B860" s="8"/>
      <c r="C860" s="8"/>
      <c r="D860" s="8"/>
      <c r="E860" s="8"/>
      <c r="F860" s="8"/>
      <c r="G860" s="8"/>
      <c r="H860" s="8"/>
      <c r="I860" s="26"/>
      <c r="J860" s="30"/>
      <c r="K860" s="30"/>
      <c r="L860" s="8"/>
    </row>
    <row r="861" spans="1:12" x14ac:dyDescent="0.2">
      <c r="A861" s="8"/>
      <c r="B861" s="8"/>
      <c r="C861" s="8"/>
      <c r="D861" s="8"/>
      <c r="E861" s="8"/>
      <c r="F861" s="8"/>
      <c r="G861" s="8"/>
      <c r="H861" s="8"/>
      <c r="I861" s="26"/>
      <c r="J861" s="30"/>
      <c r="K861" s="30"/>
      <c r="L861" s="8"/>
    </row>
    <row r="862" spans="1:12" x14ac:dyDescent="0.2">
      <c r="A862" s="8"/>
      <c r="B862" s="8"/>
      <c r="C862" s="8"/>
      <c r="D862" s="8"/>
      <c r="E862" s="8"/>
      <c r="F862" s="8"/>
      <c r="G862" s="8"/>
      <c r="H862" s="8"/>
      <c r="I862" s="26"/>
      <c r="J862" s="30"/>
      <c r="K862" s="30"/>
      <c r="L862" s="8"/>
    </row>
    <row r="863" spans="1:12" x14ac:dyDescent="0.2">
      <c r="A863" s="8"/>
      <c r="B863" s="8"/>
      <c r="C863" s="8"/>
      <c r="D863" s="8"/>
      <c r="E863" s="8"/>
      <c r="F863" s="8"/>
      <c r="G863" s="8"/>
      <c r="H863" s="8"/>
      <c r="I863" s="26"/>
      <c r="J863" s="30"/>
      <c r="K863" s="30"/>
      <c r="L863" s="8"/>
    </row>
    <row r="864" spans="1:12" x14ac:dyDescent="0.2">
      <c r="A864" s="8"/>
      <c r="B864" s="8"/>
      <c r="C864" s="8"/>
      <c r="D864" s="8"/>
      <c r="E864" s="8"/>
      <c r="F864" s="8"/>
      <c r="G864" s="8"/>
      <c r="H864" s="8"/>
      <c r="I864" s="26"/>
      <c r="J864" s="30"/>
      <c r="K864" s="30"/>
      <c r="L864" s="8"/>
    </row>
    <row r="865" spans="1:12" x14ac:dyDescent="0.2">
      <c r="A865" s="8"/>
      <c r="B865" s="8"/>
      <c r="C865" s="8"/>
      <c r="D865" s="8"/>
      <c r="E865" s="8"/>
      <c r="F865" s="8"/>
      <c r="G865" s="8"/>
      <c r="H865" s="8"/>
      <c r="I865" s="26"/>
      <c r="J865" s="30"/>
      <c r="K865" s="30"/>
      <c r="L865" s="8"/>
    </row>
    <row r="866" spans="1:12" x14ac:dyDescent="0.2">
      <c r="A866" s="8"/>
      <c r="B866" s="8"/>
      <c r="C866" s="8"/>
      <c r="D866" s="8"/>
      <c r="E866" s="8"/>
      <c r="F866" s="8"/>
      <c r="G866" s="8"/>
      <c r="H866" s="8"/>
      <c r="I866" s="26"/>
      <c r="J866" s="30"/>
      <c r="K866" s="30"/>
      <c r="L866" s="8"/>
    </row>
    <row r="867" spans="1:12" x14ac:dyDescent="0.2">
      <c r="A867" s="8"/>
      <c r="B867" s="8"/>
      <c r="C867" s="8"/>
      <c r="D867" s="8"/>
      <c r="E867" s="8"/>
      <c r="F867" s="8"/>
      <c r="G867" s="8"/>
      <c r="H867" s="8"/>
      <c r="I867" s="26"/>
      <c r="J867" s="30"/>
      <c r="K867" s="30"/>
      <c r="L867" s="8"/>
    </row>
    <row r="868" spans="1:12" x14ac:dyDescent="0.2">
      <c r="A868" s="8"/>
      <c r="B868" s="8"/>
      <c r="C868" s="8"/>
      <c r="D868" s="8"/>
      <c r="E868" s="8"/>
      <c r="F868" s="8"/>
      <c r="G868" s="8"/>
      <c r="H868" s="8"/>
      <c r="I868" s="26"/>
      <c r="J868" s="30"/>
      <c r="K868" s="30"/>
      <c r="L868" s="8"/>
    </row>
    <row r="869" spans="1:12" x14ac:dyDescent="0.2">
      <c r="A869" s="8"/>
      <c r="B869" s="8"/>
      <c r="C869" s="8"/>
      <c r="D869" s="8"/>
      <c r="E869" s="8"/>
      <c r="F869" s="8"/>
      <c r="G869" s="8"/>
      <c r="H869" s="8"/>
      <c r="I869" s="26"/>
      <c r="J869" s="30"/>
      <c r="K869" s="30"/>
      <c r="L869" s="8"/>
    </row>
    <row r="870" spans="1:12" x14ac:dyDescent="0.2">
      <c r="A870" s="8"/>
      <c r="B870" s="8"/>
      <c r="C870" s="8"/>
      <c r="D870" s="8"/>
      <c r="E870" s="8"/>
      <c r="F870" s="8"/>
      <c r="G870" s="8"/>
      <c r="H870" s="8"/>
      <c r="I870" s="26"/>
      <c r="J870" s="30"/>
      <c r="K870" s="30"/>
      <c r="L870" s="8"/>
    </row>
    <row r="871" spans="1:12" x14ac:dyDescent="0.2">
      <c r="A871" s="8"/>
      <c r="B871" s="8"/>
      <c r="C871" s="8"/>
      <c r="D871" s="8"/>
      <c r="E871" s="8"/>
      <c r="F871" s="8"/>
      <c r="G871" s="8"/>
      <c r="H871" s="8"/>
      <c r="I871" s="26"/>
      <c r="J871" s="30"/>
      <c r="K871" s="30"/>
      <c r="L871" s="8"/>
    </row>
    <row r="872" spans="1:12" x14ac:dyDescent="0.2">
      <c r="A872" s="8"/>
      <c r="B872" s="8"/>
      <c r="C872" s="8"/>
      <c r="D872" s="8"/>
      <c r="E872" s="8"/>
      <c r="F872" s="8"/>
      <c r="G872" s="8"/>
      <c r="H872" s="8"/>
      <c r="I872" s="26"/>
      <c r="J872" s="30"/>
      <c r="K872" s="30"/>
      <c r="L872" s="8"/>
    </row>
    <row r="873" spans="1:12" x14ac:dyDescent="0.2">
      <c r="A873" s="8"/>
      <c r="B873" s="8"/>
      <c r="C873" s="8"/>
      <c r="D873" s="8"/>
      <c r="E873" s="8"/>
      <c r="F873" s="8"/>
      <c r="G873" s="8"/>
      <c r="H873" s="8"/>
      <c r="I873" s="26"/>
      <c r="J873" s="30"/>
      <c r="K873" s="30"/>
      <c r="L873" s="8"/>
    </row>
    <row r="874" spans="1:12" x14ac:dyDescent="0.2">
      <c r="A874" s="8"/>
      <c r="B874" s="8"/>
      <c r="C874" s="8"/>
      <c r="D874" s="8"/>
      <c r="E874" s="8"/>
      <c r="F874" s="8"/>
      <c r="G874" s="8"/>
      <c r="H874" s="8"/>
      <c r="I874" s="26"/>
      <c r="J874" s="30"/>
      <c r="K874" s="30"/>
      <c r="L874" s="8"/>
    </row>
    <row r="875" spans="1:12" x14ac:dyDescent="0.2">
      <c r="A875" s="8"/>
      <c r="B875" s="8"/>
      <c r="C875" s="8"/>
      <c r="D875" s="8"/>
      <c r="E875" s="8"/>
      <c r="F875" s="8"/>
      <c r="G875" s="8"/>
      <c r="H875" s="8"/>
      <c r="I875" s="26"/>
      <c r="J875" s="30"/>
      <c r="K875" s="30"/>
      <c r="L875" s="8"/>
    </row>
    <row r="876" spans="1:12" x14ac:dyDescent="0.2">
      <c r="A876" s="8"/>
      <c r="B876" s="8"/>
      <c r="C876" s="8"/>
      <c r="D876" s="8"/>
      <c r="E876" s="8"/>
      <c r="F876" s="8"/>
      <c r="G876" s="8"/>
      <c r="H876" s="8"/>
      <c r="I876" s="26"/>
      <c r="J876" s="30"/>
      <c r="K876" s="30"/>
      <c r="L876" s="8"/>
    </row>
    <row r="877" spans="1:12" x14ac:dyDescent="0.2">
      <c r="A877" s="8"/>
      <c r="B877" s="8"/>
      <c r="C877" s="8"/>
      <c r="D877" s="8"/>
      <c r="E877" s="8"/>
      <c r="F877" s="8"/>
      <c r="G877" s="8"/>
      <c r="H877" s="8"/>
      <c r="I877" s="26"/>
      <c r="J877" s="30"/>
      <c r="K877" s="30"/>
      <c r="L877" s="8"/>
    </row>
    <row r="878" spans="1:12" x14ac:dyDescent="0.2">
      <c r="A878" s="8"/>
      <c r="B878" s="8"/>
      <c r="C878" s="8"/>
      <c r="D878" s="8"/>
      <c r="E878" s="8"/>
      <c r="F878" s="8"/>
      <c r="G878" s="8"/>
      <c r="H878" s="8"/>
      <c r="I878" s="26"/>
      <c r="J878" s="30"/>
      <c r="K878" s="30"/>
      <c r="L878" s="8"/>
    </row>
    <row r="879" spans="1:12" x14ac:dyDescent="0.2">
      <c r="A879" s="8"/>
      <c r="B879" s="8"/>
      <c r="C879" s="8"/>
      <c r="D879" s="8"/>
      <c r="E879" s="8"/>
      <c r="F879" s="8"/>
      <c r="G879" s="8"/>
      <c r="H879" s="8"/>
      <c r="I879" s="26"/>
      <c r="J879" s="30"/>
      <c r="K879" s="30"/>
      <c r="L879" s="8"/>
    </row>
    <row r="880" spans="1:12" x14ac:dyDescent="0.2">
      <c r="A880" s="8"/>
      <c r="B880" s="8"/>
      <c r="C880" s="8"/>
      <c r="D880" s="8"/>
      <c r="E880" s="8"/>
      <c r="F880" s="8"/>
      <c r="G880" s="8"/>
      <c r="H880" s="8"/>
      <c r="I880" s="26"/>
      <c r="J880" s="30"/>
      <c r="K880" s="30"/>
      <c r="L880" s="8"/>
    </row>
    <row r="881" spans="1:12" x14ac:dyDescent="0.2">
      <c r="A881" s="8"/>
      <c r="B881" s="8"/>
      <c r="C881" s="8"/>
      <c r="D881" s="8"/>
      <c r="E881" s="8"/>
      <c r="F881" s="8"/>
      <c r="G881" s="8"/>
      <c r="H881" s="8"/>
      <c r="I881" s="26"/>
      <c r="J881" s="30"/>
      <c r="K881" s="30"/>
      <c r="L881" s="8"/>
    </row>
    <row r="882" spans="1:12" x14ac:dyDescent="0.2">
      <c r="A882" s="8"/>
      <c r="B882" s="8"/>
      <c r="C882" s="8"/>
      <c r="D882" s="8"/>
      <c r="E882" s="8"/>
      <c r="F882" s="8"/>
      <c r="G882" s="8"/>
      <c r="H882" s="8"/>
      <c r="I882" s="26"/>
      <c r="J882" s="30"/>
      <c r="K882" s="30"/>
      <c r="L882" s="8"/>
    </row>
    <row r="883" spans="1:12" x14ac:dyDescent="0.2">
      <c r="A883" s="8"/>
      <c r="B883" s="8"/>
      <c r="C883" s="8"/>
      <c r="D883" s="8"/>
      <c r="E883" s="8"/>
      <c r="F883" s="8"/>
      <c r="G883" s="8"/>
      <c r="H883" s="8"/>
      <c r="I883" s="26"/>
      <c r="J883" s="30"/>
      <c r="K883" s="30"/>
      <c r="L883" s="8"/>
    </row>
    <row r="884" spans="1:12" x14ac:dyDescent="0.2">
      <c r="A884" s="8"/>
      <c r="B884" s="8"/>
      <c r="C884" s="8"/>
      <c r="D884" s="8"/>
      <c r="E884" s="8"/>
      <c r="F884" s="8"/>
      <c r="G884" s="8"/>
      <c r="H884" s="8"/>
      <c r="I884" s="26"/>
      <c r="J884" s="30"/>
      <c r="K884" s="30"/>
      <c r="L884" s="8"/>
    </row>
    <row r="885" spans="1:12" x14ac:dyDescent="0.2">
      <c r="A885" s="8"/>
      <c r="B885" s="8"/>
      <c r="C885" s="8"/>
      <c r="D885" s="8"/>
      <c r="E885" s="8"/>
      <c r="F885" s="8"/>
      <c r="G885" s="8"/>
      <c r="H885" s="8"/>
      <c r="I885" s="26"/>
      <c r="J885" s="30"/>
      <c r="K885" s="30"/>
      <c r="L885" s="8"/>
    </row>
    <row r="886" spans="1:12" x14ac:dyDescent="0.2">
      <c r="A886" s="8"/>
      <c r="B886" s="8"/>
      <c r="C886" s="8"/>
      <c r="D886" s="8"/>
      <c r="E886" s="8"/>
      <c r="F886" s="8"/>
      <c r="G886" s="8"/>
      <c r="H886" s="8"/>
      <c r="I886" s="26"/>
      <c r="J886" s="30"/>
      <c r="K886" s="30"/>
      <c r="L886" s="8"/>
    </row>
    <row r="887" spans="1:12" x14ac:dyDescent="0.2">
      <c r="A887" s="8"/>
      <c r="B887" s="8"/>
      <c r="C887" s="8"/>
      <c r="D887" s="8"/>
      <c r="E887" s="8"/>
      <c r="F887" s="8"/>
      <c r="G887" s="8"/>
      <c r="H887" s="8"/>
      <c r="I887" s="26"/>
      <c r="J887" s="30"/>
      <c r="K887" s="30"/>
      <c r="L887" s="8"/>
    </row>
    <row r="888" spans="1:12" x14ac:dyDescent="0.2">
      <c r="A888" s="8"/>
      <c r="B888" s="8"/>
      <c r="C888" s="8"/>
      <c r="D888" s="8"/>
      <c r="E888" s="8"/>
      <c r="F888" s="8"/>
      <c r="G888" s="8"/>
      <c r="H888" s="8"/>
      <c r="I888" s="26"/>
      <c r="J888" s="30"/>
      <c r="K888" s="30"/>
      <c r="L888" s="8"/>
    </row>
    <row r="889" spans="1:12" x14ac:dyDescent="0.2">
      <c r="A889" s="8"/>
      <c r="B889" s="8"/>
      <c r="C889" s="8"/>
      <c r="D889" s="8"/>
      <c r="E889" s="8"/>
      <c r="F889" s="8"/>
      <c r="G889" s="8"/>
      <c r="H889" s="8"/>
      <c r="I889" s="26"/>
      <c r="J889" s="30"/>
      <c r="K889" s="30"/>
      <c r="L889" s="8"/>
    </row>
    <row r="890" spans="1:12" x14ac:dyDescent="0.2">
      <c r="A890" s="8"/>
      <c r="B890" s="8"/>
      <c r="C890" s="8"/>
      <c r="D890" s="8"/>
      <c r="E890" s="8"/>
      <c r="F890" s="8"/>
      <c r="G890" s="8"/>
      <c r="H890" s="8"/>
      <c r="I890" s="26"/>
      <c r="J890" s="30"/>
      <c r="K890" s="30"/>
      <c r="L890" s="8"/>
    </row>
    <row r="891" spans="1:12" x14ac:dyDescent="0.2">
      <c r="A891" s="8"/>
      <c r="B891" s="8"/>
      <c r="C891" s="8"/>
      <c r="D891" s="8"/>
      <c r="E891" s="8"/>
      <c r="F891" s="8"/>
      <c r="G891" s="8"/>
      <c r="H891" s="8"/>
      <c r="I891" s="26"/>
      <c r="J891" s="30"/>
      <c r="K891" s="30"/>
      <c r="L891" s="8"/>
    </row>
    <row r="892" spans="1:12" x14ac:dyDescent="0.2">
      <c r="A892" s="8"/>
      <c r="B892" s="8"/>
      <c r="C892" s="8"/>
      <c r="D892" s="8"/>
      <c r="E892" s="8"/>
      <c r="F892" s="8"/>
      <c r="G892" s="8"/>
      <c r="H892" s="8"/>
      <c r="I892" s="26"/>
      <c r="J892" s="30"/>
      <c r="K892" s="30"/>
      <c r="L892" s="8"/>
    </row>
    <row r="893" spans="1:12" x14ac:dyDescent="0.2">
      <c r="A893" s="8"/>
      <c r="B893" s="8"/>
      <c r="C893" s="8"/>
      <c r="D893" s="8"/>
      <c r="E893" s="8"/>
      <c r="F893" s="8"/>
      <c r="G893" s="8"/>
      <c r="H893" s="8"/>
      <c r="I893" s="26"/>
      <c r="J893" s="30"/>
      <c r="K893" s="30"/>
      <c r="L893" s="8"/>
    </row>
    <row r="894" spans="1:12" x14ac:dyDescent="0.2">
      <c r="A894" s="8"/>
      <c r="B894" s="8"/>
      <c r="C894" s="8"/>
      <c r="D894" s="8"/>
      <c r="E894" s="8"/>
      <c r="F894" s="8"/>
      <c r="G894" s="8"/>
      <c r="H894" s="8"/>
      <c r="I894" s="26"/>
      <c r="J894" s="30"/>
      <c r="K894" s="30"/>
      <c r="L894" s="8"/>
    </row>
    <row r="895" spans="1:12" x14ac:dyDescent="0.2">
      <c r="A895" s="8"/>
      <c r="B895" s="8"/>
      <c r="C895" s="8"/>
      <c r="D895" s="8"/>
      <c r="E895" s="8"/>
      <c r="F895" s="8"/>
      <c r="G895" s="8"/>
      <c r="H895" s="8"/>
      <c r="I895" s="26"/>
      <c r="J895" s="30"/>
      <c r="K895" s="30"/>
      <c r="L895" s="8"/>
    </row>
    <row r="896" spans="1:12" x14ac:dyDescent="0.2">
      <c r="A896" s="8"/>
      <c r="B896" s="8"/>
      <c r="C896" s="8"/>
      <c r="D896" s="8"/>
      <c r="E896" s="8"/>
      <c r="F896" s="8"/>
      <c r="G896" s="8"/>
      <c r="H896" s="8"/>
      <c r="I896" s="26"/>
      <c r="J896" s="30"/>
      <c r="K896" s="30"/>
      <c r="L896" s="8"/>
    </row>
    <row r="897" spans="1:12" x14ac:dyDescent="0.2">
      <c r="A897" s="8"/>
      <c r="B897" s="8"/>
      <c r="C897" s="8"/>
      <c r="D897" s="8"/>
      <c r="E897" s="8"/>
      <c r="F897" s="8"/>
      <c r="G897" s="8"/>
      <c r="H897" s="8"/>
      <c r="I897" s="26"/>
      <c r="J897" s="30"/>
      <c r="K897" s="30"/>
      <c r="L897" s="8"/>
    </row>
    <row r="898" spans="1:12" x14ac:dyDescent="0.2">
      <c r="A898" s="8"/>
      <c r="B898" s="8"/>
      <c r="C898" s="8"/>
      <c r="D898" s="8"/>
      <c r="E898" s="8"/>
      <c r="F898" s="8"/>
      <c r="G898" s="8"/>
      <c r="H898" s="8"/>
      <c r="I898" s="26"/>
      <c r="J898" s="30"/>
      <c r="K898" s="30"/>
      <c r="L898" s="8"/>
    </row>
    <row r="899" spans="1:12" x14ac:dyDescent="0.2">
      <c r="A899" s="8"/>
      <c r="B899" s="8"/>
      <c r="C899" s="8"/>
      <c r="D899" s="8"/>
      <c r="E899" s="8"/>
      <c r="F899" s="8"/>
      <c r="G899" s="8"/>
      <c r="H899" s="8"/>
      <c r="I899" s="26"/>
      <c r="J899" s="30"/>
      <c r="K899" s="30"/>
      <c r="L899" s="8"/>
    </row>
    <row r="900" spans="1:12" x14ac:dyDescent="0.2">
      <c r="A900" s="8"/>
      <c r="B900" s="8"/>
      <c r="C900" s="8"/>
      <c r="D900" s="8"/>
      <c r="E900" s="8"/>
      <c r="F900" s="8"/>
      <c r="G900" s="8"/>
      <c r="H900" s="8"/>
      <c r="I900" s="26"/>
      <c r="J900" s="30"/>
      <c r="K900" s="30"/>
      <c r="L900" s="8"/>
    </row>
    <row r="901" spans="1:12" x14ac:dyDescent="0.2">
      <c r="A901" s="8"/>
      <c r="B901" s="8"/>
      <c r="C901" s="8"/>
      <c r="D901" s="8"/>
      <c r="E901" s="8"/>
      <c r="F901" s="8"/>
      <c r="G901" s="8"/>
      <c r="H901" s="8"/>
      <c r="I901" s="26"/>
      <c r="J901" s="30"/>
      <c r="K901" s="30"/>
      <c r="L901" s="8"/>
    </row>
    <row r="902" spans="1:12" x14ac:dyDescent="0.2">
      <c r="A902" s="8"/>
      <c r="B902" s="8"/>
      <c r="C902" s="8"/>
      <c r="D902" s="8"/>
      <c r="E902" s="8"/>
      <c r="F902" s="8"/>
      <c r="G902" s="8"/>
      <c r="H902" s="8"/>
      <c r="I902" s="26"/>
      <c r="J902" s="30"/>
      <c r="K902" s="30"/>
      <c r="L902" s="8"/>
    </row>
    <row r="903" spans="1:12" x14ac:dyDescent="0.2">
      <c r="A903" s="8"/>
      <c r="B903" s="8"/>
      <c r="C903" s="8"/>
      <c r="D903" s="8"/>
      <c r="E903" s="8"/>
      <c r="F903" s="8"/>
      <c r="G903" s="8"/>
      <c r="H903" s="8"/>
      <c r="I903" s="26"/>
      <c r="J903" s="30"/>
      <c r="K903" s="30"/>
      <c r="L903" s="8"/>
    </row>
    <row r="904" spans="1:12" x14ac:dyDescent="0.2">
      <c r="A904" s="8"/>
      <c r="B904" s="8"/>
      <c r="C904" s="8"/>
      <c r="D904" s="8"/>
      <c r="E904" s="8"/>
      <c r="F904" s="8"/>
      <c r="G904" s="8"/>
      <c r="H904" s="8"/>
      <c r="I904" s="26"/>
      <c r="J904" s="30"/>
      <c r="K904" s="30"/>
      <c r="L904" s="8"/>
    </row>
    <row r="905" spans="1:12" x14ac:dyDescent="0.2">
      <c r="A905" s="8"/>
      <c r="B905" s="8"/>
      <c r="C905" s="8"/>
      <c r="D905" s="8"/>
      <c r="E905" s="8"/>
      <c r="F905" s="8"/>
      <c r="G905" s="8"/>
      <c r="H905" s="8"/>
      <c r="I905" s="26"/>
      <c r="J905" s="30"/>
      <c r="K905" s="30"/>
      <c r="L905" s="8"/>
    </row>
    <row r="906" spans="1:12" x14ac:dyDescent="0.2">
      <c r="A906" s="8"/>
      <c r="B906" s="8"/>
      <c r="C906" s="8"/>
      <c r="D906" s="8"/>
      <c r="E906" s="8"/>
      <c r="F906" s="8"/>
      <c r="G906" s="8"/>
      <c r="H906" s="8"/>
      <c r="I906" s="26"/>
      <c r="J906" s="30"/>
      <c r="K906" s="30"/>
      <c r="L906" s="8"/>
    </row>
    <row r="907" spans="1:12" x14ac:dyDescent="0.2">
      <c r="A907" s="8"/>
      <c r="B907" s="8"/>
      <c r="C907" s="8"/>
      <c r="D907" s="8"/>
      <c r="E907" s="8"/>
      <c r="F907" s="8"/>
      <c r="G907" s="8"/>
      <c r="H907" s="8"/>
      <c r="I907" s="26"/>
      <c r="J907" s="30"/>
      <c r="K907" s="30"/>
      <c r="L907" s="8"/>
    </row>
    <row r="908" spans="1:12" x14ac:dyDescent="0.2">
      <c r="A908" s="8"/>
      <c r="B908" s="8"/>
      <c r="C908" s="8"/>
      <c r="D908" s="8"/>
      <c r="E908" s="8"/>
      <c r="F908" s="8"/>
      <c r="G908" s="8"/>
      <c r="H908" s="8"/>
      <c r="I908" s="26"/>
      <c r="J908" s="30"/>
      <c r="K908" s="30"/>
      <c r="L908" s="8"/>
    </row>
    <row r="909" spans="1:12" x14ac:dyDescent="0.2">
      <c r="A909" s="8"/>
      <c r="B909" s="8"/>
      <c r="C909" s="8"/>
      <c r="D909" s="8"/>
      <c r="E909" s="8"/>
      <c r="F909" s="8"/>
      <c r="G909" s="8"/>
      <c r="H909" s="8"/>
      <c r="I909" s="26"/>
      <c r="J909" s="30"/>
      <c r="K909" s="30"/>
      <c r="L909" s="8"/>
    </row>
    <row r="910" spans="1:12" x14ac:dyDescent="0.2">
      <c r="A910" s="8"/>
      <c r="B910" s="8"/>
      <c r="C910" s="8"/>
      <c r="D910" s="8"/>
      <c r="E910" s="8"/>
      <c r="F910" s="8"/>
      <c r="G910" s="8"/>
      <c r="H910" s="8"/>
      <c r="I910" s="26"/>
      <c r="J910" s="30"/>
      <c r="K910" s="30"/>
      <c r="L910" s="8"/>
    </row>
    <row r="911" spans="1:12" x14ac:dyDescent="0.2">
      <c r="A911" s="8"/>
      <c r="B911" s="8"/>
      <c r="C911" s="8"/>
      <c r="D911" s="8"/>
      <c r="E911" s="8"/>
      <c r="F911" s="8"/>
      <c r="G911" s="8"/>
      <c r="H911" s="8"/>
      <c r="I911" s="26"/>
      <c r="J911" s="30"/>
      <c r="K911" s="30"/>
      <c r="L911" s="8"/>
    </row>
    <row r="912" spans="1:12" x14ac:dyDescent="0.2">
      <c r="A912" s="8"/>
      <c r="B912" s="8"/>
      <c r="C912" s="8"/>
      <c r="D912" s="8"/>
      <c r="E912" s="8"/>
      <c r="F912" s="8"/>
      <c r="G912" s="8"/>
      <c r="H912" s="8"/>
      <c r="I912" s="26"/>
      <c r="J912" s="30"/>
      <c r="K912" s="30"/>
      <c r="L912" s="8"/>
    </row>
    <row r="913" spans="1:12" x14ac:dyDescent="0.2">
      <c r="A913" s="8"/>
      <c r="B913" s="8"/>
      <c r="C913" s="8"/>
      <c r="D913" s="8"/>
      <c r="E913" s="8"/>
      <c r="F913" s="8"/>
      <c r="G913" s="8"/>
      <c r="H913" s="8"/>
      <c r="I913" s="26"/>
      <c r="J913" s="30"/>
      <c r="K913" s="30"/>
      <c r="L913" s="8"/>
    </row>
    <row r="914" spans="1:12" x14ac:dyDescent="0.2">
      <c r="A914" s="8"/>
      <c r="B914" s="8"/>
      <c r="C914" s="8"/>
      <c r="D914" s="8"/>
      <c r="E914" s="8"/>
      <c r="F914" s="8"/>
      <c r="G914" s="8"/>
      <c r="H914" s="8"/>
      <c r="I914" s="26"/>
      <c r="J914" s="30"/>
      <c r="K914" s="30"/>
      <c r="L914" s="8"/>
    </row>
    <row r="915" spans="1:12" x14ac:dyDescent="0.2">
      <c r="A915" s="8"/>
      <c r="B915" s="8"/>
      <c r="C915" s="8"/>
      <c r="D915" s="8"/>
      <c r="E915" s="8"/>
      <c r="F915" s="8"/>
      <c r="G915" s="8"/>
      <c r="H915" s="8"/>
      <c r="I915" s="26"/>
      <c r="J915" s="30"/>
      <c r="K915" s="30"/>
      <c r="L915" s="8"/>
    </row>
    <row r="916" spans="1:12" x14ac:dyDescent="0.2">
      <c r="A916" s="8"/>
      <c r="B916" s="8"/>
      <c r="C916" s="8"/>
      <c r="D916" s="8"/>
      <c r="E916" s="8"/>
      <c r="F916" s="8"/>
      <c r="G916" s="8"/>
      <c r="H916" s="8"/>
      <c r="I916" s="26"/>
      <c r="J916" s="30"/>
      <c r="K916" s="30"/>
      <c r="L916" s="8"/>
    </row>
    <row r="917" spans="1:12" x14ac:dyDescent="0.2">
      <c r="A917" s="8"/>
      <c r="B917" s="8"/>
      <c r="C917" s="8"/>
      <c r="D917" s="8"/>
      <c r="E917" s="8"/>
      <c r="F917" s="8"/>
      <c r="G917" s="8"/>
      <c r="H917" s="8"/>
      <c r="I917" s="26"/>
      <c r="J917" s="30"/>
      <c r="K917" s="30"/>
      <c r="L917" s="8"/>
    </row>
    <row r="918" spans="1:12" x14ac:dyDescent="0.2">
      <c r="A918" s="8"/>
      <c r="B918" s="8"/>
      <c r="C918" s="8"/>
      <c r="D918" s="8"/>
      <c r="E918" s="8"/>
      <c r="F918" s="8"/>
      <c r="G918" s="8"/>
      <c r="H918" s="8"/>
      <c r="I918" s="26"/>
      <c r="J918" s="30"/>
      <c r="K918" s="30"/>
      <c r="L918" s="8"/>
    </row>
    <row r="919" spans="1:12" x14ac:dyDescent="0.2">
      <c r="A919" s="8"/>
      <c r="B919" s="8"/>
      <c r="C919" s="8"/>
      <c r="D919" s="8"/>
      <c r="E919" s="8"/>
      <c r="F919" s="8"/>
      <c r="G919" s="8"/>
      <c r="H919" s="8"/>
      <c r="I919" s="26"/>
      <c r="J919" s="30"/>
      <c r="K919" s="30"/>
      <c r="L919" s="8"/>
    </row>
    <row r="920" spans="1:12" x14ac:dyDescent="0.2">
      <c r="A920" s="8"/>
      <c r="B920" s="8"/>
      <c r="C920" s="8"/>
      <c r="D920" s="8"/>
      <c r="E920" s="8"/>
      <c r="F920" s="8"/>
      <c r="G920" s="8"/>
      <c r="H920" s="8"/>
      <c r="I920" s="26"/>
      <c r="J920" s="30"/>
      <c r="K920" s="30"/>
      <c r="L920" s="8"/>
    </row>
    <row r="921" spans="1:12" x14ac:dyDescent="0.2">
      <c r="A921" s="8"/>
      <c r="B921" s="8"/>
      <c r="C921" s="8"/>
      <c r="D921" s="8"/>
      <c r="E921" s="8"/>
      <c r="F921" s="8"/>
      <c r="G921" s="8"/>
      <c r="H921" s="8"/>
      <c r="I921" s="26"/>
      <c r="J921" s="30"/>
      <c r="K921" s="30"/>
      <c r="L921" s="8"/>
    </row>
    <row r="922" spans="1:12" x14ac:dyDescent="0.2">
      <c r="A922" s="8"/>
      <c r="B922" s="8"/>
      <c r="C922" s="8"/>
      <c r="D922" s="8"/>
      <c r="E922" s="8"/>
      <c r="F922" s="8"/>
      <c r="G922" s="8"/>
      <c r="H922" s="8"/>
      <c r="I922" s="26"/>
      <c r="J922" s="30"/>
      <c r="K922" s="30"/>
      <c r="L922" s="8"/>
    </row>
    <row r="923" spans="1:12" x14ac:dyDescent="0.2">
      <c r="A923" s="8"/>
      <c r="B923" s="8"/>
      <c r="C923" s="8"/>
      <c r="D923" s="8"/>
      <c r="E923" s="8"/>
      <c r="F923" s="8"/>
      <c r="G923" s="8"/>
      <c r="H923" s="8"/>
      <c r="I923" s="26"/>
      <c r="J923" s="30"/>
      <c r="K923" s="30"/>
      <c r="L923" s="8"/>
    </row>
    <row r="924" spans="1:12" x14ac:dyDescent="0.2">
      <c r="A924" s="8"/>
      <c r="B924" s="8"/>
      <c r="C924" s="8"/>
      <c r="D924" s="8"/>
      <c r="E924" s="8"/>
      <c r="F924" s="8"/>
      <c r="G924" s="8"/>
      <c r="H924" s="8"/>
      <c r="I924" s="26"/>
      <c r="J924" s="30"/>
      <c r="K924" s="30"/>
      <c r="L924" s="8"/>
    </row>
    <row r="925" spans="1:12" x14ac:dyDescent="0.2">
      <c r="A925" s="8"/>
      <c r="B925" s="8"/>
      <c r="C925" s="8"/>
      <c r="D925" s="8"/>
      <c r="E925" s="8"/>
      <c r="F925" s="8"/>
      <c r="G925" s="8"/>
      <c r="H925" s="8"/>
      <c r="I925" s="26"/>
      <c r="J925" s="30"/>
      <c r="K925" s="30"/>
      <c r="L925" s="8"/>
    </row>
    <row r="926" spans="1:12" x14ac:dyDescent="0.2">
      <c r="A926" s="8"/>
      <c r="B926" s="8"/>
      <c r="C926" s="8"/>
      <c r="D926" s="8"/>
      <c r="E926" s="8"/>
      <c r="F926" s="8"/>
      <c r="G926" s="8"/>
      <c r="H926" s="8"/>
      <c r="I926" s="26"/>
      <c r="J926" s="30"/>
      <c r="K926" s="30"/>
      <c r="L926" s="8"/>
    </row>
    <row r="927" spans="1:12" x14ac:dyDescent="0.2">
      <c r="A927" s="8"/>
      <c r="B927" s="8"/>
      <c r="C927" s="8"/>
      <c r="D927" s="8"/>
      <c r="E927" s="8"/>
      <c r="F927" s="8"/>
      <c r="G927" s="8"/>
      <c r="H927" s="8"/>
      <c r="I927" s="26"/>
      <c r="J927" s="30"/>
      <c r="K927" s="30"/>
      <c r="L927" s="8"/>
    </row>
    <row r="928" spans="1:12" x14ac:dyDescent="0.2">
      <c r="A928" s="8"/>
      <c r="B928" s="8"/>
      <c r="C928" s="8"/>
      <c r="D928" s="8"/>
      <c r="E928" s="8"/>
      <c r="F928" s="8"/>
      <c r="G928" s="8"/>
      <c r="H928" s="8"/>
      <c r="I928" s="26"/>
      <c r="J928" s="30"/>
      <c r="K928" s="30"/>
      <c r="L928" s="8"/>
    </row>
    <row r="929" spans="1:12" x14ac:dyDescent="0.2">
      <c r="A929" s="8"/>
      <c r="B929" s="8"/>
      <c r="C929" s="8"/>
      <c r="D929" s="8"/>
      <c r="E929" s="8"/>
      <c r="F929" s="8"/>
      <c r="G929" s="8"/>
      <c r="H929" s="8"/>
      <c r="I929" s="26"/>
      <c r="J929" s="30"/>
      <c r="K929" s="30"/>
      <c r="L929" s="8"/>
    </row>
    <row r="930" spans="1:12" x14ac:dyDescent="0.2">
      <c r="A930" s="8"/>
      <c r="B930" s="8"/>
      <c r="C930" s="8"/>
      <c r="D930" s="8"/>
      <c r="E930" s="8"/>
      <c r="F930" s="8"/>
      <c r="G930" s="8"/>
      <c r="H930" s="8"/>
      <c r="I930" s="26"/>
      <c r="J930" s="30"/>
      <c r="K930" s="30"/>
      <c r="L930" s="8"/>
    </row>
    <row r="931" spans="1:12" x14ac:dyDescent="0.2">
      <c r="A931" s="8"/>
      <c r="B931" s="8"/>
      <c r="C931" s="8"/>
      <c r="D931" s="8"/>
      <c r="E931" s="8"/>
      <c r="F931" s="8"/>
      <c r="G931" s="8"/>
      <c r="H931" s="8"/>
      <c r="I931" s="26"/>
      <c r="J931" s="30"/>
      <c r="K931" s="30"/>
      <c r="L931" s="8"/>
    </row>
    <row r="932" spans="1:12" x14ac:dyDescent="0.2">
      <c r="A932" s="8"/>
      <c r="B932" s="8"/>
      <c r="C932" s="8"/>
      <c r="D932" s="8"/>
      <c r="E932" s="8"/>
      <c r="F932" s="8"/>
      <c r="G932" s="8"/>
      <c r="H932" s="8"/>
      <c r="I932" s="26"/>
      <c r="J932" s="30"/>
      <c r="K932" s="30"/>
      <c r="L932" s="8"/>
    </row>
    <row r="933" spans="1:12" x14ac:dyDescent="0.2">
      <c r="A933" s="8"/>
      <c r="B933" s="8"/>
      <c r="C933" s="8"/>
      <c r="D933" s="8"/>
      <c r="E933" s="8"/>
      <c r="F933" s="8"/>
      <c r="G933" s="8"/>
      <c r="H933" s="8"/>
      <c r="I933" s="26"/>
      <c r="J933" s="30"/>
      <c r="K933" s="30"/>
      <c r="L933" s="8"/>
    </row>
    <row r="934" spans="1:12" x14ac:dyDescent="0.2">
      <c r="A934" s="8"/>
      <c r="B934" s="8"/>
      <c r="C934" s="8"/>
      <c r="D934" s="8"/>
      <c r="E934" s="8"/>
      <c r="F934" s="8"/>
      <c r="G934" s="8"/>
      <c r="H934" s="8"/>
      <c r="I934" s="26"/>
      <c r="J934" s="30"/>
      <c r="K934" s="30"/>
      <c r="L934" s="8"/>
    </row>
    <row r="935" spans="1:12" x14ac:dyDescent="0.2">
      <c r="A935" s="8"/>
      <c r="B935" s="8"/>
      <c r="C935" s="8"/>
      <c r="D935" s="8"/>
      <c r="E935" s="8"/>
      <c r="F935" s="8"/>
      <c r="G935" s="8"/>
      <c r="H935" s="8"/>
      <c r="I935" s="26"/>
      <c r="J935" s="30"/>
      <c r="K935" s="30"/>
      <c r="L935" s="8"/>
    </row>
    <row r="936" spans="1:12" x14ac:dyDescent="0.2">
      <c r="A936" s="8"/>
      <c r="B936" s="8"/>
      <c r="C936" s="8"/>
      <c r="D936" s="8"/>
      <c r="E936" s="8"/>
      <c r="F936" s="8"/>
      <c r="G936" s="8"/>
      <c r="H936" s="8"/>
      <c r="I936" s="26"/>
      <c r="J936" s="30"/>
      <c r="K936" s="30"/>
      <c r="L936" s="8"/>
    </row>
    <row r="937" spans="1:12" x14ac:dyDescent="0.2">
      <c r="A937" s="8"/>
      <c r="B937" s="8"/>
      <c r="C937" s="8"/>
      <c r="D937" s="8"/>
      <c r="E937" s="8"/>
      <c r="F937" s="8"/>
      <c r="G937" s="8"/>
      <c r="H937" s="8"/>
      <c r="I937" s="26"/>
      <c r="J937" s="30"/>
      <c r="K937" s="30"/>
      <c r="L937" s="8"/>
    </row>
    <row r="938" spans="1:12" x14ac:dyDescent="0.2">
      <c r="A938" s="8"/>
      <c r="B938" s="8"/>
      <c r="C938" s="8"/>
      <c r="D938" s="8"/>
      <c r="E938" s="8"/>
      <c r="F938" s="8"/>
      <c r="G938" s="8"/>
      <c r="H938" s="8"/>
      <c r="I938" s="26"/>
      <c r="J938" s="30"/>
      <c r="K938" s="30"/>
      <c r="L938" s="8"/>
    </row>
    <row r="939" spans="1:12" x14ac:dyDescent="0.2">
      <c r="A939" s="8"/>
      <c r="B939" s="8"/>
      <c r="C939" s="8"/>
      <c r="D939" s="8"/>
      <c r="E939" s="8"/>
      <c r="F939" s="8"/>
      <c r="G939" s="8"/>
      <c r="H939" s="8"/>
      <c r="I939" s="26"/>
      <c r="J939" s="30"/>
      <c r="K939" s="30"/>
      <c r="L939" s="8"/>
    </row>
    <row r="940" spans="1:12" x14ac:dyDescent="0.2">
      <c r="A940" s="8"/>
      <c r="B940" s="8"/>
      <c r="C940" s="8"/>
      <c r="D940" s="8"/>
      <c r="E940" s="8"/>
      <c r="F940" s="8"/>
      <c r="G940" s="8"/>
      <c r="H940" s="8"/>
      <c r="I940" s="26"/>
      <c r="J940" s="30"/>
      <c r="K940" s="30"/>
      <c r="L940" s="8"/>
    </row>
    <row r="941" spans="1:12" x14ac:dyDescent="0.2">
      <c r="A941" s="8"/>
      <c r="B941" s="8"/>
      <c r="C941" s="8"/>
      <c r="D941" s="8"/>
      <c r="E941" s="8"/>
      <c r="F941" s="8"/>
      <c r="G941" s="8"/>
      <c r="H941" s="8"/>
      <c r="I941" s="26"/>
      <c r="J941" s="30"/>
      <c r="K941" s="30"/>
      <c r="L941" s="8"/>
    </row>
    <row r="942" spans="1:12" x14ac:dyDescent="0.2">
      <c r="A942" s="8"/>
      <c r="B942" s="8"/>
      <c r="C942" s="8"/>
      <c r="D942" s="8"/>
      <c r="E942" s="8"/>
      <c r="F942" s="8"/>
      <c r="G942" s="8"/>
      <c r="H942" s="8"/>
      <c r="I942" s="26"/>
      <c r="J942" s="30"/>
      <c r="K942" s="30"/>
      <c r="L942" s="8"/>
    </row>
    <row r="943" spans="1:12" x14ac:dyDescent="0.2">
      <c r="A943" s="8"/>
      <c r="B943" s="8"/>
      <c r="C943" s="8"/>
      <c r="D943" s="8"/>
      <c r="E943" s="8"/>
      <c r="F943" s="8"/>
      <c r="G943" s="8"/>
      <c r="H943" s="8"/>
      <c r="I943" s="26"/>
      <c r="J943" s="30"/>
      <c r="K943" s="30"/>
      <c r="L943" s="8"/>
    </row>
    <row r="944" spans="1:12" x14ac:dyDescent="0.2">
      <c r="A944" s="8"/>
      <c r="B944" s="8"/>
      <c r="C944" s="8"/>
      <c r="D944" s="8"/>
      <c r="E944" s="8"/>
      <c r="F944" s="8"/>
      <c r="G944" s="8"/>
      <c r="H944" s="8"/>
      <c r="I944" s="26"/>
      <c r="J944" s="30"/>
      <c r="K944" s="30"/>
      <c r="L944" s="8"/>
    </row>
    <row r="945" spans="1:12" x14ac:dyDescent="0.2">
      <c r="A945" s="8"/>
      <c r="B945" s="8"/>
      <c r="C945" s="8"/>
      <c r="D945" s="8"/>
      <c r="E945" s="8"/>
      <c r="F945" s="8"/>
      <c r="G945" s="8"/>
      <c r="H945" s="8"/>
      <c r="I945" s="26"/>
      <c r="J945" s="30"/>
      <c r="K945" s="30"/>
      <c r="L945" s="8"/>
    </row>
    <row r="946" spans="1:12" x14ac:dyDescent="0.2">
      <c r="A946" s="8"/>
      <c r="B946" s="8"/>
      <c r="C946" s="8"/>
      <c r="D946" s="8"/>
      <c r="E946" s="8"/>
      <c r="F946" s="8"/>
      <c r="G946" s="8"/>
      <c r="H946" s="8"/>
      <c r="I946" s="26"/>
      <c r="J946" s="30"/>
      <c r="K946" s="30"/>
      <c r="L946" s="8"/>
    </row>
    <row r="947" spans="1:12" x14ac:dyDescent="0.2">
      <c r="A947" s="8"/>
      <c r="B947" s="8"/>
      <c r="C947" s="8"/>
      <c r="D947" s="8"/>
      <c r="E947" s="8"/>
      <c r="F947" s="8"/>
      <c r="G947" s="8"/>
      <c r="H947" s="8"/>
      <c r="I947" s="26"/>
      <c r="J947" s="30"/>
      <c r="K947" s="30"/>
      <c r="L947" s="8"/>
    </row>
    <row r="948" spans="1:12" x14ac:dyDescent="0.2">
      <c r="A948" s="8"/>
      <c r="B948" s="8"/>
      <c r="C948" s="8"/>
      <c r="D948" s="8"/>
      <c r="E948" s="8"/>
      <c r="F948" s="8"/>
      <c r="G948" s="8"/>
      <c r="H948" s="8"/>
      <c r="I948" s="26"/>
      <c r="J948" s="30"/>
      <c r="K948" s="30"/>
      <c r="L948" s="8"/>
    </row>
    <row r="949" spans="1:12" x14ac:dyDescent="0.2">
      <c r="A949" s="8"/>
      <c r="B949" s="8"/>
      <c r="C949" s="8"/>
      <c r="D949" s="8"/>
      <c r="E949" s="8"/>
      <c r="F949" s="8"/>
      <c r="G949" s="8"/>
      <c r="H949" s="8"/>
      <c r="I949" s="26"/>
      <c r="J949" s="30"/>
      <c r="K949" s="30"/>
      <c r="L949" s="8"/>
    </row>
    <row r="950" spans="1:12" x14ac:dyDescent="0.2">
      <c r="A950" s="8"/>
      <c r="B950" s="8"/>
      <c r="C950" s="8"/>
      <c r="D950" s="8"/>
      <c r="E950" s="8"/>
      <c r="F950" s="8"/>
      <c r="G950" s="8"/>
      <c r="H950" s="8"/>
      <c r="I950" s="26"/>
      <c r="J950" s="30"/>
      <c r="K950" s="30"/>
      <c r="L950" s="8"/>
    </row>
    <row r="951" spans="1:12" x14ac:dyDescent="0.2">
      <c r="A951" s="8"/>
      <c r="B951" s="8"/>
      <c r="C951" s="8"/>
      <c r="D951" s="8"/>
      <c r="E951" s="8"/>
      <c r="F951" s="8"/>
      <c r="G951" s="8"/>
      <c r="H951" s="8"/>
      <c r="I951" s="26"/>
      <c r="J951" s="30"/>
      <c r="K951" s="30"/>
      <c r="L951" s="8"/>
    </row>
    <row r="952" spans="1:12" x14ac:dyDescent="0.2">
      <c r="A952" s="8"/>
      <c r="B952" s="8"/>
      <c r="C952" s="8"/>
      <c r="D952" s="8"/>
      <c r="E952" s="8"/>
      <c r="F952" s="8"/>
      <c r="G952" s="8"/>
      <c r="H952" s="8"/>
      <c r="I952" s="26"/>
      <c r="J952" s="30"/>
      <c r="K952" s="30"/>
      <c r="L952" s="8"/>
    </row>
    <row r="953" spans="1:12" x14ac:dyDescent="0.2">
      <c r="A953" s="8"/>
      <c r="B953" s="8"/>
      <c r="C953" s="8"/>
      <c r="D953" s="8"/>
      <c r="E953" s="8"/>
      <c r="F953" s="8"/>
      <c r="G953" s="8"/>
      <c r="H953" s="8"/>
      <c r="I953" s="26"/>
      <c r="J953" s="30"/>
      <c r="K953" s="30"/>
      <c r="L953" s="8"/>
    </row>
    <row r="954" spans="1:12" x14ac:dyDescent="0.2">
      <c r="A954" s="8"/>
      <c r="B954" s="8"/>
      <c r="C954" s="8"/>
      <c r="D954" s="8"/>
      <c r="E954" s="8"/>
      <c r="F954" s="8"/>
      <c r="G954" s="8"/>
      <c r="H954" s="8"/>
      <c r="I954" s="26"/>
      <c r="J954" s="30"/>
      <c r="K954" s="30"/>
      <c r="L954" s="8"/>
    </row>
    <row r="955" spans="1:12" x14ac:dyDescent="0.2">
      <c r="A955" s="8"/>
      <c r="B955" s="8"/>
      <c r="C955" s="8"/>
      <c r="D955" s="8"/>
      <c r="E955" s="8"/>
      <c r="F955" s="8"/>
      <c r="G955" s="8"/>
      <c r="H955" s="8"/>
      <c r="I955" s="26"/>
      <c r="J955" s="30"/>
      <c r="K955" s="30"/>
      <c r="L955" s="8"/>
    </row>
    <row r="956" spans="1:12" x14ac:dyDescent="0.2">
      <c r="A956" s="8"/>
      <c r="B956" s="8"/>
      <c r="C956" s="8"/>
      <c r="D956" s="8"/>
      <c r="E956" s="8"/>
      <c r="F956" s="8"/>
      <c r="G956" s="8"/>
      <c r="H956" s="8"/>
      <c r="I956" s="26"/>
      <c r="J956" s="30"/>
      <c r="K956" s="30"/>
      <c r="L956" s="8"/>
    </row>
    <row r="957" spans="1:12" x14ac:dyDescent="0.2">
      <c r="A957" s="8"/>
      <c r="B957" s="8"/>
      <c r="C957" s="8"/>
      <c r="D957" s="8"/>
      <c r="E957" s="8"/>
      <c r="F957" s="8"/>
      <c r="G957" s="8"/>
      <c r="H957" s="8"/>
      <c r="I957" s="26"/>
      <c r="J957" s="30"/>
      <c r="K957" s="30"/>
      <c r="L957" s="8"/>
    </row>
    <row r="958" spans="1:12" x14ac:dyDescent="0.2">
      <c r="A958" s="8"/>
      <c r="B958" s="8"/>
      <c r="C958" s="8"/>
      <c r="D958" s="8"/>
      <c r="E958" s="8"/>
      <c r="F958" s="8"/>
      <c r="G958" s="8"/>
      <c r="H958" s="8"/>
      <c r="I958" s="26"/>
      <c r="J958" s="30"/>
      <c r="K958" s="30"/>
      <c r="L958" s="8"/>
    </row>
    <row r="959" spans="1:12" x14ac:dyDescent="0.2">
      <c r="A959" s="8"/>
      <c r="B959" s="8"/>
      <c r="C959" s="8"/>
      <c r="D959" s="8"/>
      <c r="E959" s="8"/>
      <c r="F959" s="8"/>
      <c r="G959" s="8"/>
      <c r="H959" s="8"/>
      <c r="I959" s="26"/>
      <c r="J959" s="30"/>
      <c r="K959" s="30"/>
      <c r="L959" s="8"/>
    </row>
    <row r="960" spans="1:12" x14ac:dyDescent="0.2">
      <c r="A960" s="8"/>
      <c r="B960" s="8"/>
      <c r="C960" s="8"/>
      <c r="D960" s="8"/>
      <c r="E960" s="8"/>
      <c r="F960" s="8"/>
      <c r="G960" s="8"/>
      <c r="H960" s="8"/>
      <c r="I960" s="26"/>
      <c r="J960" s="30"/>
      <c r="K960" s="30"/>
      <c r="L960" s="8"/>
    </row>
    <row r="961" spans="1:12" x14ac:dyDescent="0.2">
      <c r="A961" s="8"/>
      <c r="B961" s="8"/>
      <c r="C961" s="8"/>
      <c r="D961" s="8"/>
      <c r="E961" s="8"/>
      <c r="F961" s="8"/>
      <c r="G961" s="8"/>
      <c r="H961" s="8"/>
      <c r="I961" s="26"/>
      <c r="J961" s="30"/>
      <c r="K961" s="30"/>
      <c r="L961" s="8"/>
    </row>
    <row r="962" spans="1:12" x14ac:dyDescent="0.2">
      <c r="A962" s="8"/>
      <c r="B962" s="8"/>
      <c r="C962" s="8"/>
      <c r="D962" s="8"/>
      <c r="E962" s="8"/>
      <c r="F962" s="8"/>
      <c r="G962" s="8"/>
      <c r="H962" s="8"/>
      <c r="I962" s="26"/>
      <c r="J962" s="30"/>
      <c r="K962" s="30"/>
      <c r="L962" s="8"/>
    </row>
    <row r="963" spans="1:12" x14ac:dyDescent="0.2">
      <c r="A963" s="8"/>
      <c r="B963" s="8"/>
      <c r="C963" s="8"/>
      <c r="D963" s="8"/>
      <c r="E963" s="8"/>
      <c r="F963" s="8"/>
      <c r="G963" s="8"/>
      <c r="H963" s="8"/>
      <c r="I963" s="26"/>
      <c r="J963" s="30"/>
      <c r="K963" s="30"/>
      <c r="L963" s="8"/>
    </row>
    <row r="964" spans="1:12" x14ac:dyDescent="0.2">
      <c r="A964" s="8"/>
      <c r="B964" s="8"/>
      <c r="C964" s="8"/>
      <c r="D964" s="8"/>
      <c r="E964" s="8"/>
      <c r="F964" s="8"/>
      <c r="G964" s="8"/>
      <c r="H964" s="8"/>
      <c r="I964" s="26"/>
      <c r="J964" s="30"/>
      <c r="K964" s="30"/>
      <c r="L964" s="8"/>
    </row>
    <row r="965" spans="1:12" x14ac:dyDescent="0.2">
      <c r="A965" s="8"/>
      <c r="B965" s="8"/>
      <c r="C965" s="8"/>
      <c r="D965" s="8"/>
      <c r="E965" s="8"/>
      <c r="F965" s="8"/>
      <c r="G965" s="8"/>
      <c r="H965" s="8"/>
      <c r="I965" s="26"/>
      <c r="J965" s="30"/>
      <c r="K965" s="30"/>
      <c r="L965" s="8"/>
    </row>
    <row r="966" spans="1:12" x14ac:dyDescent="0.2">
      <c r="A966" s="8"/>
      <c r="B966" s="8"/>
      <c r="C966" s="8"/>
      <c r="D966" s="8"/>
      <c r="E966" s="8"/>
      <c r="F966" s="8"/>
      <c r="G966" s="8"/>
      <c r="H966" s="8"/>
      <c r="I966" s="26"/>
      <c r="J966" s="30"/>
      <c r="K966" s="30"/>
      <c r="L966" s="8"/>
    </row>
    <row r="967" spans="1:12" x14ac:dyDescent="0.2">
      <c r="A967" s="8"/>
      <c r="B967" s="8"/>
      <c r="C967" s="8"/>
      <c r="D967" s="8"/>
      <c r="E967" s="8"/>
      <c r="F967" s="8"/>
      <c r="G967" s="8"/>
      <c r="H967" s="8"/>
      <c r="I967" s="26"/>
      <c r="J967" s="30"/>
      <c r="K967" s="30"/>
      <c r="L967" s="8"/>
    </row>
    <row r="968" spans="1:12" x14ac:dyDescent="0.2">
      <c r="A968" s="8"/>
      <c r="B968" s="8"/>
      <c r="C968" s="8"/>
      <c r="D968" s="8"/>
      <c r="E968" s="8"/>
      <c r="F968" s="8"/>
      <c r="G968" s="8"/>
      <c r="H968" s="8"/>
      <c r="I968" s="26"/>
      <c r="J968" s="30"/>
      <c r="K968" s="30"/>
      <c r="L968" s="8"/>
    </row>
    <row r="969" spans="1:12" x14ac:dyDescent="0.2">
      <c r="A969" s="8"/>
      <c r="B969" s="8"/>
      <c r="C969" s="8"/>
      <c r="D969" s="8"/>
      <c r="E969" s="8"/>
      <c r="F969" s="8"/>
      <c r="G969" s="8"/>
      <c r="H969" s="8"/>
      <c r="I969" s="26"/>
      <c r="J969" s="30"/>
      <c r="K969" s="30"/>
      <c r="L969" s="8"/>
    </row>
    <row r="970" spans="1:12" x14ac:dyDescent="0.2">
      <c r="A970" s="8"/>
      <c r="B970" s="8"/>
      <c r="C970" s="8"/>
      <c r="D970" s="8"/>
      <c r="E970" s="8"/>
      <c r="F970" s="8"/>
      <c r="G970" s="8"/>
      <c r="H970" s="8"/>
      <c r="I970" s="26"/>
      <c r="J970" s="30"/>
      <c r="K970" s="30"/>
      <c r="L970" s="8"/>
    </row>
    <row r="971" spans="1:12" x14ac:dyDescent="0.2">
      <c r="A971" s="8"/>
      <c r="B971" s="8"/>
      <c r="C971" s="8"/>
      <c r="D971" s="8"/>
      <c r="E971" s="8"/>
      <c r="F971" s="8"/>
      <c r="G971" s="8"/>
      <c r="H971" s="8"/>
      <c r="I971" s="26"/>
      <c r="J971" s="30"/>
      <c r="K971" s="30"/>
      <c r="L971" s="8"/>
    </row>
    <row r="972" spans="1:12" x14ac:dyDescent="0.2">
      <c r="A972" s="8"/>
      <c r="B972" s="8"/>
      <c r="C972" s="8"/>
      <c r="D972" s="8"/>
      <c r="E972" s="8"/>
      <c r="F972" s="8"/>
      <c r="G972" s="8"/>
      <c r="H972" s="8"/>
      <c r="I972" s="26"/>
      <c r="J972" s="30"/>
      <c r="K972" s="30"/>
      <c r="L972" s="8"/>
    </row>
    <row r="973" spans="1:12" x14ac:dyDescent="0.2">
      <c r="A973" s="8"/>
      <c r="B973" s="8"/>
      <c r="C973" s="8"/>
      <c r="D973" s="8"/>
      <c r="E973" s="8"/>
      <c r="F973" s="8"/>
      <c r="G973" s="8"/>
      <c r="H973" s="8"/>
      <c r="I973" s="26"/>
      <c r="J973" s="30"/>
      <c r="K973" s="30"/>
      <c r="L973" s="8"/>
    </row>
    <row r="974" spans="1:12" x14ac:dyDescent="0.2">
      <c r="A974" s="8"/>
      <c r="B974" s="8"/>
      <c r="C974" s="8"/>
      <c r="D974" s="8"/>
      <c r="E974" s="8"/>
      <c r="F974" s="8"/>
      <c r="G974" s="8"/>
      <c r="H974" s="8"/>
      <c r="I974" s="26"/>
      <c r="J974" s="30"/>
      <c r="K974" s="30"/>
      <c r="L974" s="8"/>
    </row>
    <row r="975" spans="1:12" x14ac:dyDescent="0.2">
      <c r="A975" s="8"/>
      <c r="B975" s="8"/>
      <c r="C975" s="8"/>
      <c r="D975" s="8"/>
      <c r="E975" s="8"/>
      <c r="F975" s="8"/>
      <c r="G975" s="8"/>
      <c r="H975" s="8"/>
      <c r="I975" s="26"/>
      <c r="J975" s="30"/>
      <c r="K975" s="30"/>
      <c r="L975" s="8"/>
    </row>
    <row r="976" spans="1:12" x14ac:dyDescent="0.2">
      <c r="A976" s="8"/>
      <c r="B976" s="8"/>
      <c r="C976" s="8"/>
      <c r="D976" s="8"/>
      <c r="E976" s="8"/>
      <c r="F976" s="8"/>
      <c r="G976" s="8"/>
      <c r="H976" s="8"/>
      <c r="I976" s="26"/>
      <c r="J976" s="30"/>
      <c r="K976" s="30"/>
      <c r="L976" s="8"/>
    </row>
    <row r="977" spans="1:12" x14ac:dyDescent="0.2">
      <c r="A977" s="8"/>
      <c r="B977" s="8"/>
      <c r="C977" s="8"/>
      <c r="D977" s="8"/>
      <c r="E977" s="8"/>
      <c r="F977" s="8"/>
      <c r="G977" s="8"/>
      <c r="H977" s="8"/>
      <c r="I977" s="26"/>
      <c r="J977" s="30"/>
      <c r="K977" s="30"/>
      <c r="L977" s="8"/>
    </row>
    <row r="978" spans="1:12" x14ac:dyDescent="0.2">
      <c r="A978" s="8"/>
      <c r="B978" s="8"/>
      <c r="C978" s="8"/>
      <c r="D978" s="8"/>
      <c r="E978" s="8"/>
      <c r="F978" s="8"/>
      <c r="G978" s="8"/>
      <c r="H978" s="8"/>
      <c r="I978" s="26"/>
      <c r="J978" s="30"/>
      <c r="K978" s="30"/>
      <c r="L978" s="8"/>
    </row>
    <row r="979" spans="1:12" x14ac:dyDescent="0.2">
      <c r="A979" s="8"/>
      <c r="B979" s="8"/>
      <c r="C979" s="8"/>
      <c r="D979" s="8"/>
      <c r="E979" s="8"/>
      <c r="F979" s="8"/>
      <c r="G979" s="8"/>
      <c r="H979" s="8"/>
      <c r="I979" s="26"/>
      <c r="J979" s="30"/>
      <c r="K979" s="30"/>
      <c r="L979" s="8"/>
    </row>
    <row r="980" spans="1:12" x14ac:dyDescent="0.2">
      <c r="A980" s="8"/>
      <c r="B980" s="8"/>
      <c r="C980" s="8"/>
      <c r="D980" s="8"/>
      <c r="E980" s="8"/>
      <c r="F980" s="8"/>
      <c r="G980" s="8"/>
      <c r="H980" s="8"/>
      <c r="I980" s="26"/>
      <c r="J980" s="30"/>
      <c r="K980" s="30"/>
      <c r="L980" s="8"/>
    </row>
    <row r="981" spans="1:12" x14ac:dyDescent="0.2">
      <c r="A981" s="8"/>
      <c r="B981" s="8"/>
      <c r="C981" s="8"/>
      <c r="D981" s="8"/>
      <c r="E981" s="8"/>
      <c r="F981" s="8"/>
      <c r="G981" s="8"/>
      <c r="H981" s="8"/>
      <c r="I981" s="26"/>
      <c r="J981" s="30"/>
      <c r="K981" s="30"/>
      <c r="L981" s="8"/>
    </row>
    <row r="982" spans="1:12" x14ac:dyDescent="0.2">
      <c r="A982" s="8"/>
      <c r="B982" s="8"/>
      <c r="C982" s="8"/>
      <c r="D982" s="8"/>
      <c r="E982" s="8"/>
      <c r="F982" s="8"/>
      <c r="G982" s="8"/>
      <c r="H982" s="8"/>
      <c r="I982" s="26"/>
      <c r="J982" s="30"/>
      <c r="K982" s="30"/>
      <c r="L982" s="8"/>
    </row>
    <row r="983" spans="1:12" x14ac:dyDescent="0.2">
      <c r="A983" s="8"/>
      <c r="B983" s="8"/>
      <c r="C983" s="8"/>
      <c r="D983" s="8"/>
      <c r="E983" s="8"/>
      <c r="F983" s="8"/>
      <c r="G983" s="8"/>
      <c r="H983" s="8"/>
      <c r="I983" s="26"/>
      <c r="J983" s="30"/>
      <c r="K983" s="30"/>
      <c r="L983" s="8"/>
    </row>
    <row r="984" spans="1:12" x14ac:dyDescent="0.2">
      <c r="A984" s="8"/>
      <c r="B984" s="8"/>
      <c r="C984" s="8"/>
      <c r="D984" s="8"/>
      <c r="E984" s="8"/>
      <c r="F984" s="8"/>
      <c r="G984" s="8"/>
      <c r="H984" s="8"/>
      <c r="I984" s="26"/>
      <c r="J984" s="30"/>
      <c r="K984" s="30"/>
      <c r="L984" s="8"/>
    </row>
    <row r="985" spans="1:12" x14ac:dyDescent="0.2">
      <c r="A985" s="8"/>
      <c r="B985" s="8"/>
      <c r="C985" s="8"/>
      <c r="D985" s="8"/>
      <c r="E985" s="8"/>
      <c r="F985" s="8"/>
      <c r="G985" s="8"/>
      <c r="H985" s="8"/>
      <c r="I985" s="26"/>
      <c r="J985" s="30"/>
      <c r="K985" s="30"/>
      <c r="L985" s="8"/>
    </row>
    <row r="986" spans="1:12" x14ac:dyDescent="0.2">
      <c r="A986" s="8"/>
      <c r="B986" s="8"/>
      <c r="C986" s="8"/>
      <c r="D986" s="8"/>
      <c r="E986" s="8"/>
      <c r="F986" s="8"/>
      <c r="G986" s="8"/>
      <c r="H986" s="8"/>
      <c r="I986" s="26"/>
      <c r="J986" s="30"/>
      <c r="K986" s="30"/>
      <c r="L986" s="8"/>
    </row>
    <row r="987" spans="1:12" x14ac:dyDescent="0.2">
      <c r="A987" s="8"/>
      <c r="B987" s="8"/>
      <c r="C987" s="8"/>
      <c r="D987" s="8"/>
      <c r="E987" s="8"/>
      <c r="F987" s="8"/>
      <c r="G987" s="8"/>
      <c r="H987" s="8"/>
      <c r="I987" s="26"/>
      <c r="J987" s="30"/>
      <c r="K987" s="30"/>
      <c r="L987" s="8"/>
    </row>
    <row r="988" spans="1:12" x14ac:dyDescent="0.2">
      <c r="A988" s="8"/>
      <c r="B988" s="8"/>
      <c r="C988" s="8"/>
      <c r="D988" s="8"/>
      <c r="E988" s="8"/>
      <c r="F988" s="8"/>
      <c r="G988" s="8"/>
      <c r="H988" s="8"/>
      <c r="I988" s="26"/>
      <c r="J988" s="30"/>
      <c r="K988" s="30"/>
      <c r="L988" s="8"/>
    </row>
    <row r="989" spans="1:12" x14ac:dyDescent="0.2">
      <c r="A989" s="8"/>
      <c r="B989" s="8"/>
      <c r="C989" s="8"/>
      <c r="D989" s="8"/>
      <c r="E989" s="8"/>
      <c r="F989" s="8"/>
      <c r="G989" s="8"/>
      <c r="H989" s="8"/>
      <c r="I989" s="26"/>
      <c r="J989" s="30"/>
      <c r="K989" s="30"/>
      <c r="L989" s="8"/>
    </row>
    <row r="990" spans="1:12" x14ac:dyDescent="0.2">
      <c r="A990" s="8"/>
      <c r="B990" s="8"/>
      <c r="C990" s="8"/>
      <c r="D990" s="8"/>
      <c r="E990" s="8"/>
      <c r="F990" s="8"/>
      <c r="G990" s="8"/>
      <c r="H990" s="8"/>
      <c r="I990" s="26"/>
      <c r="J990" s="30"/>
      <c r="K990" s="30"/>
      <c r="L990" s="8"/>
    </row>
    <row r="991" spans="1:12" x14ac:dyDescent="0.2">
      <c r="A991" s="8"/>
      <c r="B991" s="8"/>
      <c r="C991" s="8"/>
      <c r="D991" s="8"/>
      <c r="E991" s="8"/>
      <c r="F991" s="8"/>
      <c r="G991" s="8"/>
      <c r="H991" s="8"/>
      <c r="I991" s="26"/>
      <c r="J991" s="30"/>
      <c r="K991" s="30"/>
      <c r="L991" s="8"/>
    </row>
    <row r="992" spans="1:12" x14ac:dyDescent="0.2">
      <c r="A992" s="8"/>
      <c r="B992" s="8"/>
      <c r="C992" s="8"/>
      <c r="D992" s="8"/>
      <c r="E992" s="8"/>
      <c r="F992" s="8"/>
      <c r="G992" s="8"/>
      <c r="H992" s="8"/>
      <c r="I992" s="26"/>
      <c r="J992" s="30"/>
      <c r="K992" s="30"/>
      <c r="L992" s="8"/>
    </row>
    <row r="993" spans="1:12" x14ac:dyDescent="0.2">
      <c r="A993" s="8"/>
      <c r="B993" s="8"/>
      <c r="C993" s="8"/>
      <c r="D993" s="8"/>
      <c r="E993" s="8"/>
      <c r="F993" s="8"/>
      <c r="G993" s="8"/>
      <c r="H993" s="8"/>
      <c r="I993" s="26"/>
      <c r="J993" s="30"/>
      <c r="K993" s="30"/>
      <c r="L993" s="8"/>
    </row>
    <row r="994" spans="1:12" x14ac:dyDescent="0.2">
      <c r="A994" s="8"/>
      <c r="B994" s="8"/>
      <c r="C994" s="8"/>
      <c r="D994" s="8"/>
      <c r="E994" s="8"/>
      <c r="F994" s="8"/>
      <c r="G994" s="8"/>
      <c r="H994" s="8"/>
      <c r="I994" s="26"/>
      <c r="J994" s="30"/>
      <c r="K994" s="30"/>
      <c r="L994" s="8"/>
    </row>
    <row r="995" spans="1:12" x14ac:dyDescent="0.2">
      <c r="A995" s="8"/>
      <c r="B995" s="8"/>
      <c r="C995" s="8"/>
      <c r="D995" s="8"/>
      <c r="E995" s="8"/>
      <c r="F995" s="8"/>
      <c r="G995" s="8"/>
      <c r="H995" s="8"/>
      <c r="I995" s="26"/>
      <c r="J995" s="30"/>
      <c r="K995" s="30"/>
      <c r="L995" s="8"/>
    </row>
    <row r="996" spans="1:12" x14ac:dyDescent="0.2">
      <c r="A996" s="8"/>
      <c r="B996" s="8"/>
      <c r="C996" s="8"/>
      <c r="D996" s="8"/>
      <c r="E996" s="8"/>
      <c r="F996" s="8"/>
      <c r="G996" s="8"/>
      <c r="H996" s="8"/>
      <c r="I996" s="26"/>
      <c r="J996" s="30"/>
      <c r="K996" s="30"/>
      <c r="L996" s="8"/>
    </row>
    <row r="997" spans="1:12" x14ac:dyDescent="0.2">
      <c r="A997" s="8"/>
      <c r="B997" s="8"/>
      <c r="C997" s="8"/>
      <c r="D997" s="8"/>
      <c r="E997" s="8"/>
      <c r="F997" s="8"/>
      <c r="G997" s="8"/>
      <c r="H997" s="8"/>
      <c r="I997" s="26"/>
      <c r="J997" s="30"/>
      <c r="K997" s="30"/>
      <c r="L997" s="8"/>
    </row>
    <row r="998" spans="1:12" x14ac:dyDescent="0.2">
      <c r="A998" s="8"/>
      <c r="B998" s="8"/>
      <c r="C998" s="8"/>
      <c r="D998" s="8"/>
      <c r="E998" s="8"/>
      <c r="F998" s="8"/>
      <c r="G998" s="8"/>
      <c r="H998" s="8"/>
      <c r="I998" s="26"/>
      <c r="J998" s="30"/>
      <c r="K998" s="30"/>
      <c r="L998" s="8"/>
    </row>
    <row r="999" spans="1:12" x14ac:dyDescent="0.2">
      <c r="A999" s="8"/>
      <c r="B999" s="8"/>
      <c r="C999" s="8"/>
      <c r="D999" s="8"/>
      <c r="E999" s="8"/>
      <c r="F999" s="8"/>
      <c r="G999" s="8"/>
      <c r="H999" s="8"/>
      <c r="I999" s="26"/>
      <c r="J999" s="30"/>
      <c r="K999" s="30"/>
      <c r="L999" s="8"/>
    </row>
    <row r="1000" spans="1:12" x14ac:dyDescent="0.2">
      <c r="A1000" s="8"/>
      <c r="B1000" s="8"/>
      <c r="C1000" s="8"/>
      <c r="D1000" s="8"/>
      <c r="E1000" s="8"/>
      <c r="F1000" s="8"/>
      <c r="G1000" s="8"/>
      <c r="H1000" s="8"/>
      <c r="I1000" s="26"/>
      <c r="J1000" s="30"/>
      <c r="K1000" s="30"/>
      <c r="L1000" s="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Field Restrictions</vt:lpstr>
      <vt:lpstr>Sheet2</vt:lpstr>
      <vt:lpstr>ZCALC Instructions</vt:lpstr>
      <vt:lpstr>ZCONVERT</vt:lpstr>
      <vt:lpstr>Main</vt:lpstr>
      <vt:lpstr>Product Data</vt:lpstr>
      <vt:lpstr>Pricing</vt:lpstr>
      <vt:lpstr>Location</vt:lpstr>
      <vt:lpstr>Vendor</vt:lpstr>
      <vt:lpstr>Bins</vt:lpstr>
      <vt:lpstr>Unused Fields</vt:lpstr>
      <vt:lpstr>Removed Fields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basudeos</dc:creator>
  <cp:lastModifiedBy>TJ Kaszubski</cp:lastModifiedBy>
  <cp:lastPrinted>2021-09-18T17:21:29Z</cp:lastPrinted>
  <dcterms:created xsi:type="dcterms:W3CDTF">2006-01-24T07:47:39Z</dcterms:created>
  <dcterms:modified xsi:type="dcterms:W3CDTF">2021-11-03T20:11:25Z</dcterms:modified>
</cp:coreProperties>
</file>